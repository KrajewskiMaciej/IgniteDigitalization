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290" yWindow="900" windowWidth="44445" windowHeight="18180" tabRatio="600" firstSheet="0" activeTab="0" autoFilterDateGrouping="1"/>
  </bookViews>
  <sheets>
    <sheet xmlns:r="http://schemas.openxmlformats.org/officeDocument/2006/relationships" name="Decisions" sheetId="1" state="visible" r:id="rId1"/>
    <sheet xmlns:r="http://schemas.openxmlformats.org/officeDocument/2006/relationships" name="Feedbacks" sheetId="2" state="visible" r:id="rId2"/>
    <sheet xmlns:r="http://schemas.openxmlformats.org/officeDocument/2006/relationships" name="Processes" sheetId="3" state="visible" r:id="rId3"/>
    <sheet xmlns:r="http://schemas.openxmlformats.org/officeDocument/2006/relationships" name="Cards" sheetId="4" state="hidden" r:id="rId4"/>
    <sheet xmlns:r="http://schemas.openxmlformats.org/officeDocument/2006/relationships" name="CardsWeights" sheetId="5" state="visible" r:id="rId5"/>
    <sheet xmlns:r="http://schemas.openxmlformats.org/officeDocument/2006/relationships" name="CardsEnablers" sheetId="6" state="hidden" r:id="rId6"/>
    <sheet xmlns:r="http://schemas.openxmlformats.org/officeDocument/2006/relationships" name="EconomyRul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Aptos Narrow"/>
      <color rgb="FF000000"/>
      <sz val="10"/>
      <scheme val="minor"/>
    </font>
    <font>
      <name val="Arial"/>
      <color theme="1"/>
      <sz val="10"/>
    </font>
    <font>
      <name val="Aptos Narrow"/>
      <color theme="1"/>
      <sz val="10"/>
      <scheme val="minor"/>
    </font>
    <font>
      <name val="Arial"/>
      <color theme="1"/>
      <sz val="10"/>
    </font>
    <font>
      <name val="Aptos Narrow"/>
      <color theme="1"/>
      <sz val="10"/>
    </font>
    <font>
      <name val="Arial"/>
      <b val="1"/>
      <color rgb="FFFFFFFF"/>
      <sz val="10"/>
    </font>
    <font>
      <name val="Arial"/>
      <b val="1"/>
      <color rgb="FF000000"/>
      <sz val="9"/>
    </font>
    <font>
      <name val="Arial"/>
      <color rgb="FF000000"/>
      <sz val="9"/>
    </font>
    <font>
      <name val="Arial"/>
      <b val="1"/>
      <color rgb="FF2E75B6"/>
      <sz val="9"/>
    </font>
    <font>
      <name val="Arial"/>
      <b val="1"/>
      <color rgb="FFBF8F00"/>
      <sz val="9"/>
    </font>
    <font>
      <name val="Arial"/>
      <b val="1"/>
      <color rgb="FF375623"/>
      <sz val="9"/>
    </font>
    <font>
      <name val="Arial"/>
      <sz val="9"/>
    </font>
    <font>
      <name val="Arial"/>
      <b val="1"/>
      <sz val="9"/>
    </font>
    <font>
      <name val="Arial"/>
      <b val="1"/>
      <color rgb="FF9C0006"/>
      <sz val="9"/>
    </font>
    <font>
      <name val="Arial"/>
      <b val="1"/>
      <color rgb="FF2E75B6"/>
      <sz val="10"/>
    </font>
    <font>
      <name val="Arial"/>
      <i val="1"/>
      <color rgb="FF595959"/>
      <sz val="9"/>
    </font>
    <font>
      <name val="Arial"/>
      <i val="1"/>
      <color rgb="FF375623"/>
      <sz val="9"/>
    </font>
    <font>
      <name val="Arial"/>
      <color rgb="FF375623"/>
      <sz val="9"/>
    </font>
    <font>
      <name val="Arial"/>
      <color rgb="FF833C00"/>
      <sz val="9"/>
    </font>
    <font>
      <name val="Arial"/>
      <color rgb="FF9C0006"/>
      <sz val="9"/>
    </font>
    <font>
      <name val="Arial"/>
      <b val="1"/>
      <color rgb="FFFFFFFF"/>
      <sz val="11"/>
    </font>
    <font>
      <name val="Arial"/>
      <b val="1"/>
      <color rgb="FFFFFFFF"/>
      <sz val="9"/>
    </font>
  </fonts>
  <fills count="18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FFD966"/>
      </patternFill>
    </fill>
    <fill>
      <patternFill patternType="solid">
        <fgColor rgb="FFC6EFCE"/>
      </patternFill>
    </fill>
    <fill>
      <patternFill patternType="solid">
        <fgColor rgb="FFFFCCCC"/>
      </patternFill>
    </fill>
    <fill>
      <patternFill patternType="solid">
        <fgColor rgb="FFFFF2CC"/>
      </patternFill>
    </fill>
    <fill>
      <patternFill patternType="solid">
        <fgColor rgb="FFDEEAF1"/>
      </patternFill>
    </fill>
    <fill>
      <patternFill patternType="solid">
        <fgColor rgb="FFEDE7F6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2CCCC"/>
      </patternFill>
    </fill>
    <fill>
      <patternFill patternType="solid">
        <fgColor rgb="FF4472C4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030A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1"/>
  </cellStyleXfs>
  <cellXfs count="1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1" fontId="2" fillId="0" borderId="0" applyAlignment="1" pivotButton="0" quotePrefix="0" xfId="0">
      <alignment horizontal="right"/>
    </xf>
    <xf numFmtId="0" fontId="4" fillId="0" borderId="0" pivotButton="0" quotePrefix="0" xfId="0"/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1" fontId="2" fillId="0" borderId="0" pivotButton="0" quotePrefix="0" xfId="0"/>
    <xf numFmtId="0" fontId="2" fillId="2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/>
    </xf>
    <xf numFmtId="49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1" fontId="6" fillId="4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left" vertical="top" wrapText="1"/>
    </xf>
    <xf numFmtId="0" fontId="7" fillId="4" borderId="2" applyAlignment="1" pivotButton="0" quotePrefix="0" xfId="0">
      <alignment horizontal="center" vertical="top" wrapText="1"/>
    </xf>
    <xf numFmtId="1" fontId="6" fillId="5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center" vertical="top" wrapText="1"/>
    </xf>
    <xf numFmtId="1" fontId="6" fillId="6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left" vertical="top" wrapText="1"/>
    </xf>
    <xf numFmtId="0" fontId="7" fillId="6" borderId="2" applyAlignment="1" pivotButton="0" quotePrefix="0" xfId="0">
      <alignment horizontal="center" vertical="top" wrapText="1"/>
    </xf>
    <xf numFmtId="0" fontId="10" fillId="6" borderId="2" applyAlignment="1" pivotButton="0" quotePrefix="0" xfId="0">
      <alignment horizontal="center" vertical="center"/>
    </xf>
    <xf numFmtId="0" fontId="11" fillId="4" borderId="2" applyAlignment="1" pivotButton="0" quotePrefix="0" xfId="0">
      <alignment vertical="top" wrapText="1"/>
    </xf>
    <xf numFmtId="0" fontId="13" fillId="7" borderId="2" applyAlignment="1" pivotButton="0" quotePrefix="0" xfId="0">
      <alignment horizontal="center" vertical="center"/>
    </xf>
    <xf numFmtId="0" fontId="11" fillId="5" borderId="2" applyAlignment="1" pivotButton="0" quotePrefix="0" xfId="0">
      <alignment vertical="top" wrapText="1"/>
    </xf>
    <xf numFmtId="0" fontId="11" fillId="6" borderId="2" applyAlignment="1" pivotButton="0" quotePrefix="0" xfId="0">
      <alignment vertical="top" wrapText="1"/>
    </xf>
    <xf numFmtId="4" fontId="5" fillId="3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top" wrapText="1"/>
    </xf>
    <xf numFmtId="0" fontId="12" fillId="8" borderId="2" applyAlignment="1" pivotButton="0" quotePrefix="0" xfId="0">
      <alignment horizontal="left" vertical="top" wrapText="1"/>
    </xf>
    <xf numFmtId="0" fontId="11" fillId="8" borderId="2" applyAlignment="1" pivotButton="0" quotePrefix="0" xfId="0">
      <alignment horizontal="left" vertical="top" wrapText="1"/>
    </xf>
    <xf numFmtId="0" fontId="11" fillId="8" borderId="2" applyAlignment="1" pivotButton="0" quotePrefix="0" xfId="0">
      <alignment horizontal="center" vertical="top" wrapText="1"/>
    </xf>
    <xf numFmtId="4" fontId="11" fillId="8" borderId="2" applyAlignment="1" pivotButton="0" quotePrefix="0" xfId="0">
      <alignment horizontal="center" vertical="top" wrapText="1"/>
    </xf>
    <xf numFmtId="0" fontId="12" fillId="9" borderId="2" applyAlignment="1" pivotButton="0" quotePrefix="0" xfId="0">
      <alignment horizontal="center" vertical="top" wrapText="1"/>
    </xf>
    <xf numFmtId="0" fontId="12" fillId="9" borderId="2" applyAlignment="1" pivotButton="0" quotePrefix="0" xfId="0">
      <alignment horizontal="left" vertical="top" wrapText="1"/>
    </xf>
    <xf numFmtId="0" fontId="11" fillId="9" borderId="2" applyAlignment="1" pivotButton="0" quotePrefix="0" xfId="0">
      <alignment horizontal="left" vertical="top" wrapText="1"/>
    </xf>
    <xf numFmtId="0" fontId="11" fillId="9" borderId="2" applyAlignment="1" pivotButton="0" quotePrefix="0" xfId="0">
      <alignment horizontal="center" vertical="top" wrapText="1"/>
    </xf>
    <xf numFmtId="4" fontId="11" fillId="9" borderId="2" applyAlignment="1" pivotButton="0" quotePrefix="0" xfId="0">
      <alignment horizontal="center" vertical="top" wrapText="1"/>
    </xf>
    <xf numFmtId="0" fontId="12" fillId="6" borderId="2" applyAlignment="1" pivotButton="0" quotePrefix="0" xfId="0">
      <alignment horizontal="center" vertical="top" wrapText="1"/>
    </xf>
    <xf numFmtId="0" fontId="12" fillId="6" borderId="2" applyAlignment="1" pivotButton="0" quotePrefix="0" xfId="0">
      <alignment horizontal="left" vertical="top" wrapText="1"/>
    </xf>
    <xf numFmtId="0" fontId="11" fillId="6" borderId="2" applyAlignment="1" pivotButton="0" quotePrefix="0" xfId="0">
      <alignment horizontal="left" vertical="top" wrapText="1"/>
    </xf>
    <xf numFmtId="0" fontId="11" fillId="6" borderId="2" applyAlignment="1" pivotButton="0" quotePrefix="0" xfId="0">
      <alignment horizontal="center" vertical="top" wrapText="1"/>
    </xf>
    <xf numFmtId="4" fontId="11" fillId="6" borderId="2" applyAlignment="1" pivotButton="0" quotePrefix="0" xfId="0">
      <alignment horizontal="center" vertical="top" wrapText="1"/>
    </xf>
    <xf numFmtId="0" fontId="12" fillId="10" borderId="2" applyAlignment="1" pivotButton="0" quotePrefix="0" xfId="0">
      <alignment horizontal="center" vertical="top" wrapText="1"/>
    </xf>
    <xf numFmtId="0" fontId="12" fillId="10" borderId="2" applyAlignment="1" pivotButton="0" quotePrefix="0" xfId="0">
      <alignment horizontal="left" vertical="top" wrapText="1"/>
    </xf>
    <xf numFmtId="0" fontId="11" fillId="10" borderId="2" applyAlignment="1" pivotButton="0" quotePrefix="0" xfId="0">
      <alignment horizontal="left" vertical="top" wrapText="1"/>
    </xf>
    <xf numFmtId="0" fontId="11" fillId="10" borderId="2" applyAlignment="1" pivotButton="0" quotePrefix="0" xfId="0">
      <alignment horizontal="center" vertical="top" wrapText="1"/>
    </xf>
    <xf numFmtId="4" fontId="11" fillId="10" borderId="2" applyAlignment="1" pivotButton="0" quotePrefix="0" xfId="0">
      <alignment horizontal="center" vertical="top" wrapText="1"/>
    </xf>
    <xf numFmtId="0" fontId="12" fillId="4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top" wrapText="1"/>
    </xf>
    <xf numFmtId="0" fontId="11" fillId="0" borderId="2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left" vertical="top" wrapText="1"/>
    </xf>
    <xf numFmtId="0" fontId="6" fillId="6" borderId="2" applyAlignment="1" pivotButton="0" quotePrefix="0" xfId="0">
      <alignment horizontal="left" vertical="top" wrapText="1"/>
    </xf>
    <xf numFmtId="1" fontId="11" fillId="0" borderId="0" applyAlignment="1" pivotButton="0" quotePrefix="0" xfId="0">
      <alignment horizontal="right"/>
    </xf>
    <xf numFmtId="0" fontId="11" fillId="0" borderId="0" pivotButton="0" quotePrefix="0" xfId="0"/>
    <xf numFmtId="0" fontId="11" fillId="0" borderId="0" applyAlignment="1" pivotButton="0" quotePrefix="0" xfId="0">
      <alignment horizontal="right"/>
    </xf>
    <xf numFmtId="0" fontId="8" fillId="4" borderId="2" applyAlignment="1" pivotButton="0" quotePrefix="0" xfId="0">
      <alignment horizontal="center" vertical="top" wrapText="1"/>
    </xf>
    <xf numFmtId="0" fontId="9" fillId="5" borderId="2" applyAlignment="1" pivotButton="0" quotePrefix="0" xfId="0">
      <alignment horizontal="center" vertical="top" wrapText="1"/>
    </xf>
    <xf numFmtId="0" fontId="10" fillId="6" borderId="2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left"/>
    </xf>
    <xf numFmtId="4" fontId="11" fillId="0" borderId="0" pivotButton="0" quotePrefix="0" xfId="0"/>
    <xf numFmtId="0" fontId="11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right"/>
    </xf>
    <xf numFmtId="0" fontId="11" fillId="0" borderId="0" applyAlignment="1" pivotButton="0" quotePrefix="0" xfId="0">
      <alignment horizontal="right" vertical="center"/>
    </xf>
    <xf numFmtId="0" fontId="11" fillId="0" borderId="2" pivotButton="0" quotePrefix="0" xfId="0"/>
    <xf numFmtId="0" fontId="5" fillId="3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left" vertical="center" wrapText="1"/>
    </xf>
    <xf numFmtId="0" fontId="17" fillId="11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left" vertical="center" wrapText="1"/>
    </xf>
    <xf numFmtId="0" fontId="18" fillId="12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 wrapText="1"/>
    </xf>
    <xf numFmtId="0" fontId="19" fillId="13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left" vertical="top"/>
    </xf>
    <xf numFmtId="0" fontId="12" fillId="4" borderId="0" applyAlignment="1" pivotButton="0" quotePrefix="0" xfId="0">
      <alignment horizontal="center" vertical="top"/>
    </xf>
    <xf numFmtId="0" fontId="12" fillId="6" borderId="0" applyAlignment="1" pivotButton="0" quotePrefix="0" xfId="0">
      <alignment horizontal="left" vertical="top"/>
    </xf>
    <xf numFmtId="0" fontId="12" fillId="6" borderId="0" applyAlignment="1" pivotButton="0" quotePrefix="0" xfId="0">
      <alignment horizontal="center" vertical="top" wrapText="1"/>
    </xf>
    <xf numFmtId="0" fontId="12" fillId="10" borderId="0" applyAlignment="1" pivotButton="0" quotePrefix="0" xfId="0">
      <alignment horizontal="center" vertical="top"/>
    </xf>
    <xf numFmtId="0" fontId="12" fillId="8" borderId="0" applyAlignment="1" pivotButton="0" quotePrefix="0" xfId="0">
      <alignment horizontal="center" vertical="top"/>
    </xf>
    <xf numFmtId="0" fontId="14" fillId="0" borderId="1" applyAlignment="1" pivotButton="0" quotePrefix="0" xfId="0">
      <alignment horizontal="right"/>
    </xf>
    <xf numFmtId="0" fontId="0" fillId="0" borderId="0" pivotButton="0" quotePrefix="0" xfId="0"/>
    <xf numFmtId="0" fontId="15" fillId="0" borderId="1" applyAlignment="1" pivotButton="0" quotePrefix="0" xfId="0">
      <alignment vertical="top" wrapText="1"/>
    </xf>
    <xf numFmtId="0" fontId="16" fillId="0" borderId="1" applyAlignment="1" pivotButton="0" quotePrefix="0" xfId="0">
      <alignment horizontal="right"/>
    </xf>
    <xf numFmtId="0" fontId="11" fillId="8" borderId="0" applyAlignment="1" pivotButton="0" quotePrefix="0" xfId="0">
      <alignment horizontal="left" vertical="top" wrapText="1"/>
    </xf>
    <xf numFmtId="0" fontId="21" fillId="16" borderId="0" applyAlignment="1" pivotButton="0" quotePrefix="0" xfId="0">
      <alignment horizontal="center" vertical="top"/>
    </xf>
    <xf numFmtId="0" fontId="21" fillId="0" borderId="0" pivotButton="0" quotePrefix="0" xfId="0"/>
    <xf numFmtId="0" fontId="7" fillId="16" borderId="0" applyAlignment="1" pivotButton="0" quotePrefix="0" xfId="0">
      <alignment horizontal="left" vertical="top" wrapText="1"/>
    </xf>
    <xf numFmtId="0" fontId="7" fillId="0" borderId="0" pivotButton="0" quotePrefix="0" xfId="0"/>
    <xf numFmtId="0" fontId="11" fillId="6" borderId="0" applyAlignment="1" pivotButton="0" quotePrefix="0" xfId="0">
      <alignment horizontal="left" vertical="top" wrapText="1"/>
    </xf>
    <xf numFmtId="0" fontId="11" fillId="10" borderId="0" applyAlignment="1" pivotButton="0" quotePrefix="0" xfId="0">
      <alignment horizontal="left" vertical="top"/>
    </xf>
    <xf numFmtId="0" fontId="11" fillId="4" borderId="0" applyAlignment="1" pivotButton="0" quotePrefix="0" xfId="0">
      <alignment horizontal="left" vertical="top" wrapText="1"/>
    </xf>
    <xf numFmtId="0" fontId="21" fillId="17" borderId="0" applyAlignment="1" pivotButton="0" quotePrefix="0" xfId="0">
      <alignment horizontal="center" vertical="top"/>
    </xf>
    <xf numFmtId="0" fontId="11" fillId="9" borderId="0" applyAlignment="1" pivotButton="0" quotePrefix="0" xfId="0">
      <alignment horizontal="left" vertical="top" wrapText="1"/>
    </xf>
    <xf numFmtId="0" fontId="5" fillId="14" borderId="0" applyAlignment="1" pivotButton="0" quotePrefix="0" xfId="0">
      <alignment horizontal="left" vertical="center"/>
    </xf>
    <xf numFmtId="0" fontId="7" fillId="17" borderId="0" applyAlignment="1" pivotButton="0" quotePrefix="0" xfId="0">
      <alignment horizontal="left" vertical="top" wrapText="1"/>
    </xf>
    <xf numFmtId="0" fontId="21" fillId="3" borderId="0" applyAlignment="1" pivotButton="0" quotePrefix="0" xfId="0">
      <alignment horizontal="center" vertical="top"/>
    </xf>
    <xf numFmtId="0" fontId="5" fillId="15" borderId="0" applyAlignment="1" pivotButton="0" quotePrefix="0" xfId="0">
      <alignment horizontal="left" vertical="center"/>
    </xf>
    <xf numFmtId="0" fontId="20" fillId="3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12" fillId="9" borderId="0" applyAlignment="1" pivotButton="0" quotePrefix="0" xfId="0">
      <alignment horizontal="center" vertical="top"/>
    </xf>
    <xf numFmtId="0" fontId="21" fillId="15" borderId="0" applyAlignment="1" pivotButton="0" quotePrefix="0" xfId="0">
      <alignment horizontal="center" vertical="top"/>
    </xf>
    <xf numFmtId="0" fontId="7" fillId="15" borderId="0" applyAlignment="1" pivotButton="0" quotePrefix="0" xfId="0">
      <alignment horizontal="left" vertical="top" wrapText="1"/>
    </xf>
    <xf numFmtId="0" fontId="5" fillId="16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top" wrapText="1"/>
    </xf>
    <xf numFmtId="0" fontId="20" fillId="3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left" vertical="center"/>
    </xf>
    <xf numFmtId="0" fontId="5" fillId="15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top" wrapText="1"/>
    </xf>
    <xf numFmtId="0" fontId="5" fillId="1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top" wrapText="1"/>
    </xf>
    <xf numFmtId="0" fontId="5" fillId="17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left" vertical="top"/>
    </xf>
    <xf numFmtId="0" fontId="12" fillId="9" borderId="1" applyAlignment="1" pivotButton="0" quotePrefix="0" xfId="0">
      <alignment horizontal="center" vertical="top"/>
    </xf>
    <xf numFmtId="0" fontId="11" fillId="9" borderId="1" applyAlignment="1" pivotButton="0" quotePrefix="0" xfId="0">
      <alignment horizontal="left" vertical="top" wrapText="1"/>
    </xf>
    <xf numFmtId="0" fontId="11" fillId="8" borderId="1" applyAlignment="1" pivotButton="0" quotePrefix="0" xfId="0">
      <alignment horizontal="left" vertical="top" wrapText="1"/>
    </xf>
    <xf numFmtId="0" fontId="21" fillId="3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left" vertical="top" wrapText="1"/>
    </xf>
    <xf numFmtId="0" fontId="21" fillId="15" borderId="1" applyAlignment="1" pivotButton="0" quotePrefix="0" xfId="0">
      <alignment horizontal="center" vertical="top"/>
    </xf>
    <xf numFmtId="0" fontId="7" fillId="15" borderId="1" applyAlignment="1" pivotButton="0" quotePrefix="0" xfId="0">
      <alignment horizontal="left" vertical="top" wrapText="1"/>
    </xf>
    <xf numFmtId="0" fontId="21" fillId="16" borderId="1" applyAlignment="1" pivotButton="0" quotePrefix="0" xfId="0">
      <alignment horizontal="center" vertical="top"/>
    </xf>
    <xf numFmtId="0" fontId="7" fillId="16" borderId="1" applyAlignment="1" pivotButton="0" quotePrefix="0" xfId="0">
      <alignment horizontal="left" vertical="top" wrapText="1"/>
    </xf>
    <xf numFmtId="0" fontId="21" fillId="17" borderId="1" applyAlignment="1" pivotButton="0" quotePrefix="0" xfId="0">
      <alignment horizontal="center" vertical="top"/>
    </xf>
    <xf numFmtId="0" fontId="7" fillId="17" borderId="1" applyAlignment="1" pivotButton="0" quotePrefix="0" xfId="0">
      <alignment horizontal="left" vertical="top" wrapText="1"/>
    </xf>
  </cellXfs>
  <cellStyles count="1">
    <cellStyle name="Normalny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7"/>
  <sheetViews>
    <sheetView tabSelected="1" workbookViewId="0">
      <pane ySplit="1" topLeftCell="A36" activePane="bottomLeft" state="frozen"/>
      <selection pane="bottomLeft" activeCell="F35" sqref="F35"/>
    </sheetView>
  </sheetViews>
  <sheetFormatPr baseColWidth="8" defaultColWidth="14.42578125" defaultRowHeight="15" customHeight="1"/>
  <cols>
    <col width="8" customWidth="1" style="90" min="1" max="1"/>
    <col width="32" customWidth="1" style="90" min="2" max="2"/>
    <col width="65" customWidth="1" style="90" min="3" max="3"/>
    <col width="13" customWidth="1" style="90" min="4" max="4"/>
    <col width="14" customWidth="1" style="90" min="5" max="6"/>
    <col width="22" customWidth="1" style="90" min="7" max="7"/>
    <col width="14" customWidth="1" style="90" min="8" max="8"/>
    <col width="12" customWidth="1" style="90" min="9" max="10"/>
    <col width="18" customWidth="1" style="90" min="11" max="11"/>
  </cols>
  <sheetData>
    <row r="1" ht="12.75" customHeight="1" s="90">
      <c r="A1" s="12" t="inlineStr">
        <is>
          <t>Cards_Id</t>
        </is>
      </c>
      <c r="B1" s="13" t="inlineStr">
        <is>
          <t>Decisions_Short_Desc</t>
        </is>
      </c>
      <c r="C1" s="13" t="inlineStr">
        <is>
          <t>Decisions_Long_Desc</t>
        </is>
      </c>
      <c r="D1" s="13" t="inlineStr">
        <is>
          <t>Decisions_Cost_Bits</t>
        </is>
      </c>
      <c r="E1" s="13" t="inlineStr">
        <is>
          <t>Decisions_Cost_Bits_Weight</t>
        </is>
      </c>
      <c r="F1" s="13" t="inlineStr">
        <is>
          <t>Enablers_Id</t>
        </is>
      </c>
      <c r="G1" s="13" t="inlineStr">
        <is>
          <t>Card_Phase</t>
        </is>
      </c>
      <c r="H1" s="13" t="inlineStr">
        <is>
          <t>Default_Weight_Y</t>
        </is>
      </c>
      <c r="I1" s="13" t="inlineStr">
        <is>
          <t>Default_Booster_X</t>
        </is>
      </c>
      <c r="J1" s="13" t="inlineStr">
        <is>
          <t>Default_Booster_Y</t>
        </is>
      </c>
      <c r="K1" s="13" t="inlineStr">
        <is>
          <t>Card_Phase</t>
        </is>
      </c>
    </row>
    <row r="2" ht="62.1" customHeight="1" s="90">
      <c r="A2" s="14" t="n">
        <v>1</v>
      </c>
      <c r="B2" s="55" t="inlineStr">
        <is>
          <t>Audyt dojrzałości cyfrowej</t>
        </is>
      </c>
      <c r="C2" s="15" t="inlineStr">
        <is>
          <t>Zanim zaczniesz inwestować, sprawdź gdzie jesteś. Oceń stan infrastruktury IT, kompetencje zespołu i jakość danych w firmie. Wynik audytu pokaże Ci, które obszary wymagają wzmocnienia przed wejściem do e-commerce. To Twoja mapa startowa – bez niej działasz w ciemno.</t>
        </is>
      </c>
      <c r="D2" s="16" t="n">
        <v>2</v>
      </c>
      <c r="E2" s="16" t="n">
        <v>1</v>
      </c>
      <c r="F2" s="16" t="n"/>
      <c r="G2" s="63" t="inlineStr">
        <is>
          <t>PRZYGOTOWAWCZA (Mapa 1)</t>
        </is>
      </c>
      <c r="H2" s="56" t="n"/>
      <c r="I2" s="56" t="n"/>
      <c r="J2" s="56" t="n"/>
      <c r="K2" s="57" t="n"/>
    </row>
    <row r="3" ht="62.1" customHeight="1" s="90">
      <c r="A3" s="14" t="n">
        <v>2</v>
      </c>
      <c r="B3" s="55" t="inlineStr">
        <is>
          <t>Segmentacja klientów</t>
        </is>
      </c>
      <c r="C3" s="15" t="inlineStr">
        <is>
          <t>Kim są Twoi klienci? Podziel ich na grupy według zachowań, potrzeb i możliwości zakupowych. Dla każdego segmentu zrozum co ich boli, czego pragną i jakie zadania chcą wykonać. Ten krok sprawi, że każda kolejna decyzja – od ceny po marketing – będzie celniejsza.</t>
        </is>
      </c>
      <c r="D3" s="16" t="n">
        <v>2</v>
      </c>
      <c r="E3" s="16" t="n">
        <v>1</v>
      </c>
      <c r="F3" s="16" t="n"/>
      <c r="G3" s="63" t="inlineStr">
        <is>
          <t>PRZYGOTOWAWCZA (Mapa 1)</t>
        </is>
      </c>
      <c r="H3" s="56" t="n"/>
      <c r="I3" s="56" t="n"/>
      <c r="J3" s="56" t="n"/>
      <c r="K3" s="57" t="n"/>
    </row>
    <row r="4" ht="62.1" customHeight="1" s="90">
      <c r="A4" s="14" t="n">
        <v>3</v>
      </c>
      <c r="B4" s="55" t="inlineStr">
        <is>
          <t>Propozycja wartości online</t>
        </is>
      </c>
      <c r="C4" s="15" t="inlineStr">
        <is>
          <t>Dlaczego klient miałby kupić grill u Ciebie, a nie u konkurencji? Zdefiniuj swoją unikalną ofertę dla kanału online – co zyskuje klient, jakich problemów mu oszczędzasz i czym naprawdę się wyróżniasz. Bez wyraźnej odpowiedzi na to pytanie reszta działań jest przepalaniem budżetu.</t>
        </is>
      </c>
      <c r="D4" s="16" t="n">
        <v>3</v>
      </c>
      <c r="E4" s="16" t="n">
        <v>1</v>
      </c>
      <c r="F4" s="16" t="n"/>
      <c r="G4" s="63" t="inlineStr">
        <is>
          <t>PRZYGOTOWAWCZA (Mapa 1)</t>
        </is>
      </c>
      <c r="H4" s="56" t="n"/>
      <c r="I4" s="56" t="n"/>
      <c r="J4" s="56" t="n"/>
      <c r="K4" s="57" t="n"/>
    </row>
    <row r="5" ht="62.1" customHeight="1" s="90">
      <c r="A5" s="14" t="n">
        <v>4</v>
      </c>
      <c r="B5" s="55" t="inlineStr">
        <is>
          <t>Analiza konkurencji</t>
        </is>
      </c>
      <c r="C5" s="15" t="inlineStr">
        <is>
          <t>Sprawdź co robią rywale. Przejrzyj ich sklepy, ceny, komunikację i opinie klientów. Zidentyfikuj ich słabe strony i luki w ofercie – to miejsca, w które możesz uderzyć. Znajomość konkurencji to przewaga, której nie da się kupić.</t>
        </is>
      </c>
      <c r="D5" s="16" t="n">
        <v>2</v>
      </c>
      <c r="E5" s="16" t="n">
        <v>1</v>
      </c>
      <c r="F5" s="16" t="n"/>
      <c r="G5" s="63" t="inlineStr">
        <is>
          <t>PRZYGOTOWAWCZA (Mapa 1)</t>
        </is>
      </c>
      <c r="H5" s="56" t="n"/>
      <c r="I5" s="56" t="n"/>
      <c r="J5" s="56" t="n"/>
      <c r="K5" s="57" t="n"/>
    </row>
    <row r="6" ht="62.1" customHeight="1" s="90">
      <c r="A6" s="14" t="n">
        <v>5</v>
      </c>
      <c r="B6" s="55" t="inlineStr">
        <is>
          <t>Wybór platformy e-commerce</t>
        </is>
      </c>
      <c r="C6" s="15" t="inlineStr">
        <is>
          <t>Wybierz silnik swojego sklepu – platformę na której zbudujesz całą sprzedaż online. Oceń możliwości integracji z Twoimi systemami, koszty oraz łatwość obsługi. To decyzja na lata, więc warto ją podjąć świadomie zamiast przeprowadzać kosztowne migracje w przyszłości.</t>
        </is>
      </c>
      <c r="D6" s="16" t="n">
        <v>4</v>
      </c>
      <c r="E6" s="16" t="n">
        <v>1</v>
      </c>
      <c r="F6" s="16" t="n"/>
      <c r="G6" s="63" t="inlineStr">
        <is>
          <t>PRZYGOTOWAWCZA (Mapa 1)</t>
        </is>
      </c>
      <c r="H6" s="56" t="n"/>
      <c r="I6" s="56" t="n"/>
      <c r="J6" s="56" t="n"/>
      <c r="K6" s="57" t="n"/>
    </row>
    <row r="7" ht="62.1" customHeight="1" s="90">
      <c r="A7" s="14" t="n">
        <v>6</v>
      </c>
      <c r="B7" s="55" t="inlineStr">
        <is>
          <t>Cyfryzacja katalogu produktów</t>
        </is>
      </c>
      <c r="C7" s="15" t="inlineStr">
        <is>
          <t>Przenieś swoje produkty do świata online w sposób który sprzedaje. Profesjonalne zdjęcia, rzetelne opisy, jasne specyfikacje i dane techniczne – to wszystko, czego klient szuka zanim kliknie 'kup'. Dobry katalog zastępuje sprzedawcę i pracuje przez całą dobę.</t>
        </is>
      </c>
      <c r="D7" s="16" t="n">
        <v>3</v>
      </c>
      <c r="E7" s="16" t="n">
        <v>1</v>
      </c>
      <c r="F7" s="16" t="n"/>
      <c r="G7" s="63" t="inlineStr">
        <is>
          <t>PRZYGOTOWAWCZA (Mapa 1)</t>
        </is>
      </c>
      <c r="H7" s="56" t="n"/>
      <c r="I7" s="56" t="n"/>
      <c r="J7" s="56" t="n"/>
      <c r="K7" s="57" t="n"/>
    </row>
    <row r="8" ht="62.1" customHeight="1" s="90">
      <c r="A8" s="14" t="n">
        <v>7</v>
      </c>
      <c r="B8" s="55" t="inlineStr">
        <is>
          <t>Strategia cenowa online</t>
        </is>
      </c>
      <c r="C8" s="15" t="inlineStr">
        <is>
          <t>Ustal ceny które zarabiają i jednocześnie wygrywają z konkurencją. Przemyśl relację cen online do oferty stacjonarnej, uwzględnij koszty dostawy i możliwości promocji. Pamiętaj: zbyt niska cena niszczy marżę, zbyt wysoka wyklucza z rynku.</t>
        </is>
      </c>
      <c r="D8" s="16" t="n">
        <v>2</v>
      </c>
      <c r="E8" s="16" t="n">
        <v>1</v>
      </c>
      <c r="F8" s="16" t="n"/>
      <c r="G8" s="63" t="inlineStr">
        <is>
          <t>PRZYGOTOWAWCZA (Mapa 1)</t>
        </is>
      </c>
      <c r="H8" s="56" t="n"/>
      <c r="I8" s="56" t="n"/>
      <c r="J8" s="56" t="n"/>
      <c r="K8" s="57" t="n"/>
    </row>
    <row r="9" ht="62.1" customHeight="1" s="90">
      <c r="A9" s="14" t="n">
        <v>8</v>
      </c>
      <c r="B9" s="55" t="inlineStr">
        <is>
          <t>Integracja systemów ERP i CRM</t>
        </is>
      </c>
      <c r="C9" s="15" t="inlineStr">
        <is>
          <t>Połącz sklep internetowy z systemem, w którym zarządzasz magazynem i klientami. Dzięki temu stany magazynowe aktualizują się automatycznie, a historia każdego klienta jest dostępna w jednym miejscu. Bez tej integracji przy większej skali sprzedaży grzęźniesz w ręcznej pracy.
⚠ Wymaga: Wyboru platformy e-commerce (karta 5)</t>
        </is>
      </c>
      <c r="D9" s="16" t="n">
        <v>5</v>
      </c>
      <c r="E9" s="16" t="n">
        <v>1</v>
      </c>
      <c r="F9" s="16" t="inlineStr">
        <is>
          <t>5</t>
        </is>
      </c>
      <c r="G9" s="63" t="inlineStr">
        <is>
          <t>PRZYGOTOWAWCZA (Mapa 1)</t>
        </is>
      </c>
      <c r="H9" s="56" t="n"/>
      <c r="I9" s="56" t="n"/>
      <c r="J9" s="56" t="n"/>
      <c r="K9" s="57" t="n"/>
    </row>
    <row r="10" ht="62.1" customHeight="1" s="90">
      <c r="A10" s="14" t="n">
        <v>9</v>
      </c>
      <c r="B10" s="55" t="inlineStr">
        <is>
          <t>Strategia logistyczna</t>
        </is>
      </c>
      <c r="C10" s="15" t="inlineStr">
        <is>
          <t>Zaplanuj jak produkt dotrze do klienta i co się stanie gdy zechce go zwrócić. Wybierz operatorów kurierskich, ustal progi darmowej dostawy i politykę zwrotów. Szybka dostawa i bezproblemowy zwrot to dziś standard – bez tego tracisz klientów na finiszu zakupu.</t>
        </is>
      </c>
      <c r="D10" s="16" t="n">
        <v>3</v>
      </c>
      <c r="E10" s="16" t="n">
        <v>1</v>
      </c>
      <c r="F10" s="16" t="n"/>
      <c r="G10" s="63" t="inlineStr">
        <is>
          <t>PRZYGOTOWAWCZA (Mapa 1)</t>
        </is>
      </c>
      <c r="H10" s="56" t="n"/>
      <c r="I10" s="56" t="n"/>
      <c r="J10" s="56" t="n"/>
      <c r="K10" s="57" t="n"/>
    </row>
    <row r="11" ht="62.1" customHeight="1" s="90">
      <c r="A11" s="14" t="n">
        <v>10</v>
      </c>
      <c r="B11" s="55" t="inlineStr">
        <is>
          <t>Zielona logistyka i ekologiczne opakowania</t>
        </is>
      </c>
      <c r="C11" s="15" t="inlineStr">
        <is>
          <t>Twoja firma może dostarczać grille i jednocześnie dbać o środowisko. Wprowadź opakowania z recyclingu, wybierz przewoźników kompensujących emisję CO₂ i konsoliduj przesyłki. Coraz więcej klientów świadomie wybiera marki odpowiedzialne ekologicznie – to Twoja szansa na wyróżnienie.</t>
        </is>
      </c>
      <c r="D11" s="16" t="n">
        <v>2</v>
      </c>
      <c r="E11" s="16" t="n">
        <v>1</v>
      </c>
      <c r="F11" s="16" t="n"/>
      <c r="G11" s="63" t="inlineStr">
        <is>
          <t>PRZYGOTOWAWCZA (Mapa 1)</t>
        </is>
      </c>
      <c r="H11" s="56" t="n"/>
      <c r="I11" s="56" t="n"/>
      <c r="J11" s="56" t="n"/>
      <c r="K11" s="57" t="n"/>
    </row>
    <row r="12" ht="62.1" customHeight="1" s="90">
      <c r="A12" s="14" t="n">
        <v>11</v>
      </c>
      <c r="B12" s="55" t="inlineStr">
        <is>
          <t>Implementacja bramek płatniczych</t>
        </is>
      </c>
      <c r="C12" s="15" t="inlineStr">
        <is>
          <t>Daj klientom zapłacić tak jak lubią. BLIK, karty, PayPal, przelewy ekspresowe, płatności odroczone – im więcej opcji, tym mniej powodów do porzucenia koszyka. Brak ulubionej metody płatności to jeden z najczęstszych powodów rezygnacji z zakupu w ostatniej chwili.</t>
        </is>
      </c>
      <c r="D12" s="16" t="n">
        <v>3</v>
      </c>
      <c r="E12" s="16" t="n">
        <v>1</v>
      </c>
      <c r="F12" s="16" t="n"/>
      <c r="G12" s="63" t="inlineStr">
        <is>
          <t>PRZYGOTOWAWCZA (Mapa 1)</t>
        </is>
      </c>
      <c r="H12" s="56" t="n"/>
      <c r="I12" s="56" t="n"/>
      <c r="J12" s="56" t="n"/>
      <c r="K12" s="57" t="n"/>
    </row>
    <row r="13" ht="62.1" customHeight="1" s="90">
      <c r="A13" s="14" t="n">
        <v>12</v>
      </c>
      <c r="B13" s="55" t="inlineStr">
        <is>
          <t>Standard obsługi klienta online</t>
        </is>
      </c>
      <c r="C13" s="15" t="inlineStr">
        <is>
          <t>Zadbaj o to, żeby klient nigdy nie czuł się sam. Wdróż live chat, jasne FAQ i przejrzystą politykę zwrotów. Szybka i pomocna obsługa zamienia jednorazowych kupujących w lojalnych klientów i pozytywne opinie – które z kolei przyciągają kolejnych.</t>
        </is>
      </c>
      <c r="D13" s="16" t="n">
        <v>2</v>
      </c>
      <c r="E13" s="16" t="n">
        <v>1</v>
      </c>
      <c r="F13" s="16" t="n"/>
      <c r="G13" s="63" t="inlineStr">
        <is>
          <t>PRZYGOTOWAWCZA (Mapa 1)</t>
        </is>
      </c>
      <c r="H13" s="56" t="n"/>
      <c r="I13" s="56" t="n"/>
      <c r="J13" s="56" t="n"/>
      <c r="K13" s="57" t="n"/>
    </row>
    <row r="14" ht="62.1" customHeight="1" s="90">
      <c r="A14" s="14" t="n">
        <v>13</v>
      </c>
      <c r="B14" s="55" t="inlineStr">
        <is>
          <t>Szkolenie zespołu</t>
        </is>
      </c>
      <c r="C14" s="15" t="inlineStr">
        <is>
          <t>Twoje systemy są tak dobre jak ludzie, którzy z nich korzystają. Przeszkól zespół z obsługi platformy, podstaw SEO, analityki i procesów logistycznych. Wyznacz e-commerce managera który będzie koordynował całość. Kompetentny zespół to fundament sprawnego sklepu.</t>
        </is>
      </c>
      <c r="D14" s="16" t="n">
        <v>2</v>
      </c>
      <c r="E14" s="16" t="n">
        <v>1</v>
      </c>
      <c r="F14" s="16" t="n"/>
      <c r="G14" s="63" t="inlineStr">
        <is>
          <t>PRZYGOTOWAWCZA (Mapa 1)</t>
        </is>
      </c>
      <c r="H14" s="56" t="n"/>
      <c r="I14" s="56" t="n"/>
      <c r="J14" s="56" t="n"/>
      <c r="K14" s="57" t="n"/>
    </row>
    <row r="15" ht="62.1" customHeight="1" s="90">
      <c r="A15" s="14" t="n">
        <v>14</v>
      </c>
      <c r="B15" s="55" t="inlineStr">
        <is>
          <t>Plan marketingu cyfrowego</t>
        </is>
      </c>
      <c r="C15" s="15" t="inlineStr">
        <is>
          <t>Zaplanuj jak dotrzesz do klientów zanim zaczniesz wydawać pieniądze. Wybierz kanały – SEO, Google Ads, social media, email – i określ co chcesz osiągnąć w każdym z nich. Plan marketingowy zamienia chaotyczne wydatki w inwestycję z mierzalnym zwrotem.</t>
        </is>
      </c>
      <c r="D15" s="16" t="n">
        <v>3</v>
      </c>
      <c r="E15" s="16" t="n">
        <v>1</v>
      </c>
      <c r="F15" s="16" t="n"/>
      <c r="G15" s="63" t="inlineStr">
        <is>
          <t>PRZYGOTOWAWCZA (Mapa 1)</t>
        </is>
      </c>
      <c r="H15" s="56" t="n"/>
      <c r="I15" s="56" t="n"/>
      <c r="J15" s="56" t="n"/>
      <c r="K15" s="57" t="n"/>
    </row>
    <row r="16" ht="62.1" customHeight="1" s="90">
      <c r="A16" s="14" t="n">
        <v>15</v>
      </c>
      <c r="B16" s="55" t="inlineStr">
        <is>
          <t>Projektowanie UX/UI sklepu</t>
        </is>
      </c>
      <c r="C16" s="15" t="inlineStr">
        <is>
          <t>Zadbaj o to, żeby zakupy w Twoim sklepie były przyjemnością a nie frustracją. Intuicyjna nawigacja, szybkie ładowanie, prosty checkout i doskonałe działanie na telefonie to dziś obowiązkowe minimum. 7 na 10 porzuconych koszyków wynika ze złego doświadczenia zakupowego.
⚠ Wymaga: Cyfryzacji katalogu produktów (karta 6) + Wyboru platformy (karta 5)</t>
        </is>
      </c>
      <c r="D16" s="16" t="n">
        <v>4</v>
      </c>
      <c r="E16" s="16" t="n">
        <v>1</v>
      </c>
      <c r="F16" s="16" t="inlineStr">
        <is>
          <t>6;5</t>
        </is>
      </c>
      <c r="G16" s="63" t="inlineStr">
        <is>
          <t>PRZYGOTOWAWCZA (Mapa 1)</t>
        </is>
      </c>
      <c r="H16" s="56" t="n"/>
      <c r="I16" s="56" t="n"/>
      <c r="J16" s="56" t="n"/>
      <c r="K16" s="57" t="n"/>
    </row>
    <row r="17" ht="62.1" customHeight="1" s="90">
      <c r="A17" s="14" t="n">
        <v>16</v>
      </c>
      <c r="B17" s="55" t="inlineStr">
        <is>
          <t>System monitorowania KPI</t>
        </is>
      </c>
      <c r="C17" s="15" t="inlineStr">
        <is>
          <t>Ustaw liczniki, które powiedzą Ci czy idzie dobrze czy źle. Wskaźniki konwersji, średnia wartość zamówienia, koszt pozyskania klienta – to Twoja tablica rozdzielcza. Sklep bez analityki to jak jazda samochodem bez deski rozdzielczej – nie wiesz kiedy skończy się benzyna.</t>
        </is>
      </c>
      <c r="D17" s="16" t="n">
        <v>2</v>
      </c>
      <c r="E17" s="16" t="n">
        <v>1</v>
      </c>
      <c r="F17" s="16" t="n"/>
      <c r="G17" s="63" t="inlineStr">
        <is>
          <t>PRZYGOTOWAWCZA (Mapa 1)</t>
        </is>
      </c>
      <c r="H17" s="56" t="n"/>
      <c r="I17" s="56" t="n"/>
      <c r="J17" s="56" t="n"/>
      <c r="K17" s="57" t="n"/>
    </row>
    <row r="18" ht="62.1" customHeight="1" s="90">
      <c r="A18" s="14" t="n">
        <v>17</v>
      </c>
      <c r="B18" s="55" t="inlineStr">
        <is>
          <t>Testy i odbiór techniczny sklepu</t>
        </is>
      </c>
      <c r="C18" s="15" t="inlineStr">
        <is>
          <t>Przetestuj wszystko zanim klient zobaczy sklep. Sprawdź czy płatności działają, strona szybko się ładuje i nie ma błędów na ścieżce zakupowej. Problemy techniczne w dniu startu kosztują reputację i sprzedaż – i bardzo trudno je odrobić.</t>
        </is>
      </c>
      <c r="D18" s="16" t="n">
        <v>2</v>
      </c>
      <c r="E18" s="16" t="n">
        <v>1</v>
      </c>
      <c r="F18" s="16" t="n"/>
      <c r="G18" s="63" t="inlineStr">
        <is>
          <t>PRZYGOTOWAWCZA (Mapa 1)</t>
        </is>
      </c>
      <c r="H18" s="56" t="n"/>
      <c r="I18" s="56" t="n"/>
      <c r="J18" s="56" t="n"/>
      <c r="K18" s="57" t="n"/>
    </row>
    <row r="19" ht="62.1" customHeight="1" s="90">
      <c r="A19" s="14" t="n">
        <v>18</v>
      </c>
      <c r="B19" s="55" t="inlineStr">
        <is>
          <t>Compliance prawne</t>
        </is>
      </c>
      <c r="C19" s="15" t="inlineStr">
        <is>
          <t>Zadbaj o regulamin, politykę prywatności i informacje wymagane przez prawo konsumenckie. To nie biurokracja – to fundament zaufania klienta i ochrona przed karami finansowymi. Przejrzyste warunki zakupu to sygnał, że jesteś wiarygodnym sprzedawcą.</t>
        </is>
      </c>
      <c r="D19" s="16" t="n">
        <v>1</v>
      </c>
      <c r="E19" s="16" t="n">
        <v>1</v>
      </c>
      <c r="F19" s="16" t="n"/>
      <c r="G19" s="63" t="inlineStr">
        <is>
          <t>PRZYGOTOWAWCZA (Mapa 1)</t>
        </is>
      </c>
      <c r="H19" s="56" t="n"/>
      <c r="I19" s="56" t="n"/>
      <c r="J19" s="56" t="n"/>
      <c r="K19" s="57" t="n"/>
    </row>
    <row r="20" ht="62.1" customHeight="1" s="90">
      <c r="A20" s="14" t="n">
        <v>19</v>
      </c>
      <c r="B20" s="55" t="inlineStr">
        <is>
          <t>Kampania zapowiedzi – pre-launch</t>
        </is>
      </c>
      <c r="C20" s="15" t="inlineStr">
        <is>
          <t>Zacznij budować widownię zanim sklep ruszy. Landing page z zapisem do newslettera, zapowiedzi w social media i oferty early bird zbierają potencjalnych klientów przed startem. Dzięki temu w dniu uruchomienia masz do kogo napisać – i generujesz sprzedaż od pierwszego dnia.
⚠ Wymaga: Planu marketingu cyfrowego (karta 14) + Segmentacji klientów (karta 2)</t>
        </is>
      </c>
      <c r="D20" s="16" t="n">
        <v>2</v>
      </c>
      <c r="E20" s="16" t="n">
        <v>1</v>
      </c>
      <c r="F20" s="16" t="inlineStr">
        <is>
          <t>14;2</t>
        </is>
      </c>
      <c r="G20" s="63" t="inlineStr">
        <is>
          <t>PRZYGOTOWAWCZA (Mapa 1)</t>
        </is>
      </c>
      <c r="H20" s="56" t="n"/>
      <c r="I20" s="56" t="n"/>
      <c r="J20" s="56" t="n"/>
      <c r="K20" s="57" t="n"/>
    </row>
    <row r="21" ht="62.1" customHeight="1" s="90">
      <c r="A21" s="14" t="n">
        <v>20</v>
      </c>
      <c r="B21" s="55" t="inlineStr">
        <is>
          <t>Model finansowy e-commerce</t>
        </is>
      </c>
      <c r="C21" s="15" t="inlineStr">
        <is>
          <t>Policz zanim zapłacisz. Stwórz prosty model który pokaże Ci: ile musisz sprzedać żeby wyjść na zero, jaki budżet marketingowy jest rozsądny i kiedy inwestycja w e-commerce się zwróci. Firmy które działają bez modelu finansowego zazwyczaj dowiadują się że 'coś nie gra' za późno.</t>
        </is>
      </c>
      <c r="D21" s="16" t="n">
        <v>3</v>
      </c>
      <c r="E21" s="16" t="n">
        <v>1</v>
      </c>
      <c r="F21" s="16" t="n"/>
      <c r="G21" s="63" t="inlineStr">
        <is>
          <t>PRZYGOTOWAWCZA (Mapa 1)</t>
        </is>
      </c>
      <c r="H21" s="56" t="n"/>
      <c r="I21" s="56" t="n"/>
      <c r="J21" s="56" t="n"/>
      <c r="K21" s="57" t="n"/>
    </row>
    <row r="22" ht="62.1" customHeight="1" s="90">
      <c r="A22" s="14" t="n">
        <v>21</v>
      </c>
      <c r="B22" s="55" t="inlineStr">
        <is>
          <t>Mapa podróży klienta</t>
        </is>
      </c>
      <c r="C22" s="15" t="inlineStr">
        <is>
          <t>Przejdź ścieżką klienta krok po kroku – od momentu gdy po raz pierwszy słyszy o Twojej marce, przez rozważanie zakupu, aż po doświadczenie po dostawie. Zidentyfikuj momenty w których możesz go zachwycić i te, w których możesz go stracić. Kto rozumie klienta lepiej niż konkurencja – wygrywa.</t>
        </is>
      </c>
      <c r="D22" s="16" t="n">
        <v>2</v>
      </c>
      <c r="E22" s="16" t="n">
        <v>1</v>
      </c>
      <c r="F22" s="16" t="n"/>
      <c r="G22" s="63" t="inlineStr">
        <is>
          <t>PRZYGOTOWAWCZA (Mapa 1)</t>
        </is>
      </c>
      <c r="H22" s="56" t="n"/>
      <c r="I22" s="56" t="n"/>
      <c r="J22" s="56" t="n"/>
      <c r="K22" s="57" t="n"/>
    </row>
    <row r="23" ht="62.1" customHeight="1" s="90">
      <c r="A23" s="14" t="n">
        <v>22</v>
      </c>
      <c r="B23" s="55" t="inlineStr">
        <is>
          <t>Pilotaż z grupą testową – soft launch</t>
        </is>
      </c>
      <c r="C23" s="15" t="inlineStr">
        <is>
          <t>Uruchom sklep w cichym trybie dla wybranej grupy klientów – zanim otworzy się dla wszystkich. Zbierz prawdziwy feedback, sprawdź co nie działa pod presją rzeczywistych zakupów i popraw zanim błędy zobaczą tysiące osób. Lepszy problem zgłoszony przez 10 osób niż przez 10 000.</t>
        </is>
      </c>
      <c r="D23" s="16" t="n">
        <v>3</v>
      </c>
      <c r="E23" s="16" t="n">
        <v>1</v>
      </c>
      <c r="F23" s="16" t="n"/>
      <c r="G23" s="63" t="inlineStr">
        <is>
          <t>PRZYGOTOWAWCZA (Mapa 1)</t>
        </is>
      </c>
      <c r="H23" s="56" t="n"/>
      <c r="I23" s="56" t="n"/>
      <c r="J23" s="56" t="n"/>
      <c r="K23" s="57" t="n"/>
    </row>
    <row r="24" ht="84.95" customHeight="1" s="90">
      <c r="A24" s="17" t="n">
        <v>23</v>
      </c>
      <c r="B24" s="58" t="inlineStr">
        <is>
          <t>★ WEJŚCIE NA RYNEK E-COMMERCE ★</t>
        </is>
      </c>
      <c r="C24" s="18" t="inlineStr">
        <is>
          <t>To jest moment. Oficjalnie uruchamiasz sklep internetowy i wchodzisz na rynek e-commerce. Od tej chwili zaczyna się Mapa 2 – walka o klientów, widoczność i zysk. Im lepiej przygotowałeś się na Mapie 1, tym silniejsze będą efekty każdej kolejnej decyzji.
⚠ Wymaga: Wyboru platformy (karta 5) + Implementacji płatności (karta 11) + Testów technicznych (karta 17)</t>
        </is>
      </c>
      <c r="D24" s="19" t="n">
        <v>0</v>
      </c>
      <c r="E24" s="19" t="n">
        <v>1</v>
      </c>
      <c r="F24" s="19" t="inlineStr">
        <is>
          <t>5;11;17</t>
        </is>
      </c>
      <c r="G24" s="64" t="inlineStr">
        <is>
          <t>WEJŚCIE NA RYNEK ★</t>
        </is>
      </c>
      <c r="H24" s="56" t="n"/>
      <c r="I24" s="56" t="n"/>
      <c r="J24" s="56" t="n"/>
      <c r="K24" s="57" t="n"/>
    </row>
    <row r="25" ht="62.1" customHeight="1" s="90">
      <c r="A25" s="20" t="n">
        <v>24</v>
      </c>
      <c r="B25" s="59" t="inlineStr">
        <is>
          <t>Kampania SEO – widoczność organiczna</t>
        </is>
      </c>
      <c r="C25" s="21" t="inlineStr">
        <is>
          <t>Pojawiaj się na szczycie Google gdy klient szuka grilla. Optymalizuj opisy produktów pod słowa kluczowe, buduj wartościowe treści i zdobywaj linki z innych stron. SEO to inwestycja która procentuje latami – każdy zaoszczędzony złoty na reklamach przekłada się bezpośrednio na zysk.</t>
        </is>
      </c>
      <c r="D25" s="22" t="n">
        <v>3</v>
      </c>
      <c r="E25" s="22" t="n">
        <v>1</v>
      </c>
      <c r="F25" s="22" t="n"/>
      <c r="G25" s="65" t="inlineStr">
        <is>
          <t>RYNKOWA (Mapa 2)</t>
        </is>
      </c>
      <c r="H25" s="56" t="n"/>
      <c r="I25" s="56" t="n"/>
      <c r="J25" s="56" t="n"/>
      <c r="K25" s="57" t="n"/>
    </row>
    <row r="26" ht="62.1" customHeight="1" s="90">
      <c r="A26" s="20" t="n">
        <v>25</v>
      </c>
      <c r="B26" s="59" t="inlineStr">
        <is>
          <t>Kampanie Google Ads (SEM)</t>
        </is>
      </c>
      <c r="C26" s="21" t="inlineStr">
        <is>
          <t>Kup widoczność tam gdzie klienci szukają produktów. Kampanie w wyszukiwarce i Google Shopping trafiają do ludzi z konkretną intencją zakupu – w chwili gdy są gotowi zapłacić. Efekty są natychmiastowe, choć wymagają stałego budżetu i systematycznej optymalizacji.</t>
        </is>
      </c>
      <c r="D26" s="22" t="n">
        <v>4</v>
      </c>
      <c r="E26" s="22" t="n">
        <v>1</v>
      </c>
      <c r="F26" s="22" t="n"/>
      <c r="G26" s="65" t="inlineStr">
        <is>
          <t>RYNKOWA (Mapa 2)</t>
        </is>
      </c>
      <c r="H26" s="56" t="n"/>
      <c r="I26" s="56" t="n"/>
      <c r="J26" s="56" t="n"/>
      <c r="K26" s="57" t="n"/>
    </row>
    <row r="27" ht="62.1" customHeight="1" s="90">
      <c r="A27" s="20" t="n">
        <v>26</v>
      </c>
      <c r="B27" s="59" t="inlineStr">
        <is>
          <t>Marketing w social mediach</t>
        </is>
      </c>
      <c r="C27" s="21" t="inlineStr">
        <is>
          <t>Buduj społeczność wokół grillowania. Regularne posty, tutoriale, sezonowe inspiracje i kampanie Meta Ads docierają do pasjonatów BBQ zanim jeszcze pomyślą o zakupie. Silna marka w social media to długoterminowy zasób, który obniża koszty reklamy z każdym miesiącem.</t>
        </is>
      </c>
      <c r="D27" s="22" t="n">
        <v>3</v>
      </c>
      <c r="E27" s="22" t="n">
        <v>1</v>
      </c>
      <c r="F27" s="22" t="n"/>
      <c r="G27" s="65" t="inlineStr">
        <is>
          <t>RYNKOWA (Mapa 2)</t>
        </is>
      </c>
      <c r="H27" s="56" t="n"/>
      <c r="I27" s="56" t="n"/>
      <c r="J27" s="56" t="n"/>
      <c r="K27" s="57" t="n"/>
    </row>
    <row r="28" ht="62.1" customHeight="1" s="90">
      <c r="A28" s="20" t="n">
        <v>27</v>
      </c>
      <c r="B28" s="59" t="inlineStr">
        <is>
          <t>Content marketing – blog grillowy</t>
        </is>
      </c>
      <c r="C28" s="21" t="inlineStr">
        <is>
          <t>Zostań ekspertem którego klienci szukają. Artykuły z przepisami, poradniki, rankingi i porównania grilli przyciągają ruch organiczny i budują zaufanie do marki. Wartościowy content sprzedaje subtelniej niż reklama – i nie kończy się gdy skończy się budżet.
⚠ Wymaga: Kampanii SEO (karta 24)</t>
        </is>
      </c>
      <c r="D28" s="22" t="n">
        <v>2</v>
      </c>
      <c r="E28" s="22" t="n">
        <v>1</v>
      </c>
      <c r="F28" s="22" t="inlineStr">
        <is>
          <t>24</t>
        </is>
      </c>
      <c r="G28" s="65" t="inlineStr">
        <is>
          <t>RYNKOWA (Mapa 2)</t>
        </is>
      </c>
      <c r="H28" s="56" t="n"/>
      <c r="I28" s="56" t="n"/>
      <c r="J28" s="56" t="n"/>
      <c r="K28" s="57" t="n"/>
    </row>
    <row r="29" ht="62.1" customHeight="1" s="90">
      <c r="A29" s="20" t="n">
        <v>28</v>
      </c>
      <c r="B29" s="59" t="inlineStr">
        <is>
          <t>Email marketing i automatyzacja</t>
        </is>
      </c>
      <c r="C29" s="21" t="inlineStr">
        <is>
          <t>Wyślij właściwą wiadomość do właściwej osoby we właściwym momencie. Automatyczne sekwencje emaili witają nowych klientów, przypominają o porzuconym koszyku i reaktywują nieaktywnych kupujących. Dobrze ustawiona automatyzacja pracuje na sprzedaż przez całą dobę bez Twojej interwencji.</t>
        </is>
      </c>
      <c r="D29" s="22" t="n">
        <v>3</v>
      </c>
      <c r="E29" s="22" t="n">
        <v>1</v>
      </c>
      <c r="F29" s="22" t="n"/>
      <c r="G29" s="65" t="inlineStr">
        <is>
          <t>RYNKOWA (Mapa 2)</t>
        </is>
      </c>
      <c r="H29" s="56" t="n"/>
      <c r="I29" s="56" t="n"/>
      <c r="J29" s="56" t="n"/>
      <c r="K29" s="57" t="n"/>
    </row>
    <row r="30" ht="62.1" customHeight="1" s="90">
      <c r="A30" s="20" t="n">
        <v>29</v>
      </c>
      <c r="B30" s="59" t="inlineStr">
        <is>
          <t>Optymalizacja UX na podstawie danych</t>
        </is>
      </c>
      <c r="C30" s="21" t="inlineStr">
        <is>
          <t>Śledź jak klienci poruszają się po sklepie i usuń bariery które zatrzymują ich przed zakupem. Nagrania sesji, mapy ciepła i analiza lejka wskazują gdzie tracisz sprzedaż. Poprawa jednego kroku w ścieżce zakupowej może zwiększyć konwersję o kilkadziesiąt procent.</t>
        </is>
      </c>
      <c r="D30" s="22" t="n">
        <v>3</v>
      </c>
      <c r="E30" s="22" t="n">
        <v>1</v>
      </c>
      <c r="F30" s="22" t="n"/>
      <c r="G30" s="65" t="inlineStr">
        <is>
          <t>RYNKOWA (Mapa 2)</t>
        </is>
      </c>
      <c r="H30" s="56" t="n"/>
      <c r="I30" s="56" t="n"/>
      <c r="J30" s="56" t="n"/>
      <c r="K30" s="57" t="n"/>
    </row>
    <row r="31" ht="62.1" customHeight="1" s="90">
      <c r="A31" s="20" t="n">
        <v>30</v>
      </c>
      <c r="B31" s="59" t="inlineStr">
        <is>
          <t>A/B Testing – optymalizacja konwersji</t>
        </is>
      </c>
      <c r="C31" s="21" t="inlineStr">
        <is>
          <t>Testuj dwie wersje strony i sprawdź która sprzedaje lepiej. Nagłówek, kolor przycisku, układ zdjęć, opis produktu – każdy element wpływa na decyzję klienta. Systematyczne testy zamieniają intuicję w pewność.
⚠ Wymaga: Optymalizacji UX na podstawie danych (karta 29) + Systemu monitorowania KPI (karta 16)</t>
        </is>
      </c>
      <c r="D31" s="22" t="n">
        <v>2</v>
      </c>
      <c r="E31" s="22" t="n">
        <v>1</v>
      </c>
      <c r="F31" s="22" t="inlineStr">
        <is>
          <t>29;16</t>
        </is>
      </c>
      <c r="G31" s="65" t="inlineStr">
        <is>
          <t>RYNKOWA (Mapa 2)</t>
        </is>
      </c>
      <c r="H31" s="56" t="n"/>
      <c r="I31" s="56" t="n"/>
      <c r="J31" s="56" t="n"/>
      <c r="K31" s="57" t="n"/>
    </row>
    <row r="32" ht="62.1" customHeight="1" s="90">
      <c r="A32" s="20" t="n">
        <v>31</v>
      </c>
      <c r="B32" s="59" t="inlineStr">
        <is>
          <t>Program lojalnościowy</t>
        </is>
      </c>
      <c r="C32" s="21" t="inlineStr">
        <is>
          <t>Nagradzaj klientów którzy wracają. Punkty za zakupy, rabaty urodzinowe, ekskluzywne oferty dla stałych kupujących i program 'poleć znajomego' sprawiają że jednorazowy klient staje się ambasadorem marki. Zatrzymanie klienta jest 5 razy tańsze niż pozyskanie nowego.</t>
        </is>
      </c>
      <c r="D32" s="22" t="n">
        <v>3</v>
      </c>
      <c r="E32" s="22" t="n">
        <v>1</v>
      </c>
      <c r="F32" s="22" t="n"/>
      <c r="G32" s="65" t="inlineStr">
        <is>
          <t>RYNKOWA (Mapa 2)</t>
        </is>
      </c>
      <c r="H32" s="56" t="n"/>
      <c r="I32" s="56" t="n"/>
      <c r="J32" s="56" t="n"/>
      <c r="K32" s="57" t="n"/>
    </row>
    <row r="33" ht="62.1" customHeight="1" s="90">
      <c r="A33" s="20" t="n">
        <v>32</v>
      </c>
      <c r="B33" s="59" t="inlineStr">
        <is>
          <t>Sprzedaż na marketplace – Allegro / Amazon</t>
        </is>
      </c>
      <c r="C33" s="21" t="inlineStr">
        <is>
          <t>Wejdź tam gdzie klienci już kupują. Allegro i Amazon dają Ci natychmiastowy dostęp do milionów kupujących bez konieczności budowania własnego ruchu. Marketplace to świetny kanał pozyskiwania nowych klientów – a do własnego sklepu przyciągniesz ich programem lojalnościowym.</t>
        </is>
      </c>
      <c r="D33" s="22" t="n">
        <v>4</v>
      </c>
      <c r="E33" s="22" t="n">
        <v>1</v>
      </c>
      <c r="F33" s="22" t="n"/>
      <c r="G33" s="65" t="inlineStr">
        <is>
          <t>RYNKOWA (Mapa 2)</t>
        </is>
      </c>
      <c r="H33" s="56" t="n"/>
      <c r="I33" s="56" t="n"/>
      <c r="J33" s="56" t="n"/>
      <c r="K33" s="57" t="n"/>
    </row>
    <row r="34" ht="62.1" customHeight="1" s="90">
      <c r="A34" s="20" t="n">
        <v>33</v>
      </c>
      <c r="B34" s="59" t="inlineStr">
        <is>
          <t>Influencer marketing i program afiliacyjny</t>
        </is>
      </c>
      <c r="C34" s="21" t="inlineStr">
        <is>
          <t>Niech inni mówią o Twoich produktach. Współpraca z blogerami kulinarnymi, YouTuberami grillowymi i twórcami na TikToku przynosi autentyczne rekomendacje które trafiają do zaangażowanej społeczności. Model afiliacyjny jest bezpieczny – płacisz prowizję tylko od realnej sprzedaży.</t>
        </is>
      </c>
      <c r="D34" s="22" t="n">
        <v>3</v>
      </c>
      <c r="E34" s="22" t="n">
        <v>1</v>
      </c>
      <c r="F34" s="22" t="n"/>
      <c r="G34" s="65" t="inlineStr">
        <is>
          <t>RYNKOWA (Mapa 2)</t>
        </is>
      </c>
      <c r="H34" s="56" t="n"/>
      <c r="I34" s="56" t="n"/>
      <c r="J34" s="56" t="n"/>
      <c r="K34" s="57" t="n"/>
    </row>
    <row r="35" ht="62.1" customHeight="1" s="90">
      <c r="A35" s="20" t="n">
        <v>34</v>
      </c>
      <c r="B35" s="59" t="inlineStr">
        <is>
          <t>Kampanie remarketingowe</t>
        </is>
      </c>
      <c r="C35" s="21" t="inlineStr">
        <is>
          <t>Przypomnij o sobie klientom którzy oglądali produkty ale nie kupili. Reklamy remarketingowe w Google i Meta pokazują dokładnie te produkty które ich interesowały – w momencie gdy są gotowi do decyzji. To jedne z najtańszych i najskuteczniejszych reklam w e-commerce.
⚠ Wymaga: Kampanii Google Ads (karta 25)</t>
        </is>
      </c>
      <c r="D35" s="22" t="n">
        <v>3</v>
      </c>
      <c r="E35" s="22" t="n">
        <v>1</v>
      </c>
      <c r="F35" s="22" t="inlineStr">
        <is>
          <t>25</t>
        </is>
      </c>
      <c r="G35" s="65" t="inlineStr">
        <is>
          <t>RYNKOWA (Mapa 2)</t>
        </is>
      </c>
      <c r="H35" s="56" t="n"/>
      <c r="I35" s="56" t="n"/>
      <c r="J35" s="56" t="n"/>
      <c r="K35" s="57" t="n"/>
    </row>
    <row r="36" ht="62.1" customHeight="1" s="90">
      <c r="A36" s="20" t="n">
        <v>35</v>
      </c>
      <c r="B36" s="59" t="inlineStr">
        <is>
          <t>Cross-selling i up-selling</t>
        </is>
      </c>
      <c r="C36" s="21" t="inlineStr">
        <is>
          <t>Zwiększaj wartość każdego zamówienia. Proponuj klientom akcesoria do kupionego grilla, lepsze modele, zestawy i uzupełnienia. Inteligentne rekomendacje w koszyku i na stronie produktu podnoszą średnią wartość zamówienia – bez dodatkowego kosztu pozyskania klienta.</t>
        </is>
      </c>
      <c r="D36" s="22" t="n">
        <v>2</v>
      </c>
      <c r="E36" s="22" t="n">
        <v>1</v>
      </c>
      <c r="F36" s="22" t="n"/>
      <c r="G36" s="65" t="inlineStr">
        <is>
          <t>RYNKOWA (Mapa 2)</t>
        </is>
      </c>
      <c r="H36" s="56" t="n"/>
      <c r="I36" s="56" t="n"/>
      <c r="J36" s="56" t="n"/>
      <c r="K36" s="57" t="n"/>
    </row>
    <row r="37" ht="62.1" customHeight="1" s="90">
      <c r="A37" s="20" t="n">
        <v>36</v>
      </c>
      <c r="B37" s="59" t="inlineStr">
        <is>
          <t>Model subskrypcyjny – Grill Box</t>
        </is>
      </c>
      <c r="C37" s="21" t="inlineStr">
        <is>
          <t>Zamień jednorazowych kupujących w regularnych klientów. Miesięczna skrzynka z węglem premium, sosami i akcesoriami grillowymi dostarcza wartość co miesiąc i generuje przewidywalny przychód. Subskrypcja to najstabilniejszy model przychodów.
⚠ Wymaga: Programu lojalnościowego (karta 31) + Email marketingu i automatyzacji (karta 28)</t>
        </is>
      </c>
      <c r="D37" s="22" t="n">
        <v>4</v>
      </c>
      <c r="E37" s="22" t="n">
        <v>1</v>
      </c>
      <c r="F37" s="22" t="inlineStr">
        <is>
          <t>31;28</t>
        </is>
      </c>
      <c r="G37" s="65" t="inlineStr">
        <is>
          <t>RYNKOWA (Mapa 2)</t>
        </is>
      </c>
      <c r="H37" s="56" t="n"/>
      <c r="I37" s="56" t="n"/>
      <c r="J37" s="56" t="n"/>
      <c r="K37" s="57" t="n"/>
    </row>
    <row r="38" ht="62.1" customHeight="1" s="90">
      <c r="A38" s="20" t="n">
        <v>37</v>
      </c>
      <c r="B38" s="59" t="inlineStr">
        <is>
          <t>Optymalizacja kosztów operacyjnych</t>
        </is>
      </c>
      <c r="C38" s="21" t="inlineStr">
        <is>
          <t>Zarabiaj więcej bez podnoszenia cen. Zautomatyzuj wystawianie faktur, negocjuj stawki kurierskie, uprość obsługę zwrotów i zoptymalizuj opakowania. Redukcja kosztów operacyjnych o 10% przekłada się bezpośrednio na wzrost marży – to czysty zysk bez dodatkowej sprzedaży.</t>
        </is>
      </c>
      <c r="D38" s="22" t="n">
        <v>3</v>
      </c>
      <c r="E38" s="22" t="n">
        <v>1</v>
      </c>
      <c r="F38" s="22" t="n"/>
      <c r="G38" s="65" t="inlineStr">
        <is>
          <t>RYNKOWA (Mapa 2)</t>
        </is>
      </c>
      <c r="H38" s="56" t="n"/>
      <c r="I38" s="56" t="n"/>
      <c r="J38" s="56" t="n"/>
      <c r="K38" s="57" t="n"/>
    </row>
    <row r="39" ht="62.1" customHeight="1" s="90">
      <c r="A39" s="20" t="n">
        <v>38</v>
      </c>
      <c r="B39" s="59" t="inlineStr">
        <is>
          <t>Social proof – recenzje i certyfikaty</t>
        </is>
      </c>
      <c r="C39" s="21" t="inlineStr">
        <is>
          <t>Daj klientom powód żeby Ci zaufali. Zbieraj opinie po każdym zakupie i pokazuj je na stronach produktów. Certyfikaty jakości, nagrody branżowe i setki pozytywnych recenzji mówią więcej niż najlepsza reklama. Nowy klient który widzi 4,8/5 z 200 opinii rzadko odchodzi do konkurencji.</t>
        </is>
      </c>
      <c r="D39" s="22" t="n">
        <v>2</v>
      </c>
      <c r="E39" s="22" t="n">
        <v>1</v>
      </c>
      <c r="F39" s="22" t="n"/>
      <c r="G39" s="65" t="inlineStr">
        <is>
          <t>RYNKOWA (Mapa 2)</t>
        </is>
      </c>
      <c r="H39" s="56" t="n"/>
      <c r="I39" s="56" t="n"/>
      <c r="J39" s="56" t="n"/>
      <c r="K39" s="57" t="n"/>
    </row>
    <row r="40" ht="62.1" customHeight="1" s="90">
      <c r="A40" s="20" t="n">
        <v>39</v>
      </c>
      <c r="B40" s="59" t="inlineStr">
        <is>
          <t>Ekspansja na nowe rynki</t>
        </is>
      </c>
      <c r="C40" s="21" t="inlineStr">
        <is>
          <t>Wyjdź poza Polskę. Czesi, Słowacy i Niemcy też grillują – a tamtejsze rynki mogą być mniej konkurencyjne niż polski. Allegro CZ i Amazon DE to bezpieczne pierwsze kroki na nowe terytoria.
⚠ Wymaga: Sprzedaży na marketplace (karta 32) + Strategii logistycznej (karta 9)</t>
        </is>
      </c>
      <c r="D40" s="22" t="n">
        <v>5</v>
      </c>
      <c r="E40" s="22" t="n">
        <v>1</v>
      </c>
      <c r="F40" s="22" t="inlineStr">
        <is>
          <t>32;9</t>
        </is>
      </c>
      <c r="G40" s="65" t="inlineStr">
        <is>
          <t>RYNKOWA (Mapa 2)</t>
        </is>
      </c>
      <c r="H40" s="61" t="n"/>
      <c r="I40" s="61" t="n"/>
      <c r="J40" s="61" t="n"/>
      <c r="K40" s="61" t="n"/>
    </row>
    <row r="41" ht="62.1" customHeight="1" s="90">
      <c r="A41" s="20" t="n">
        <v>40</v>
      </c>
      <c r="B41" s="59" t="inlineStr">
        <is>
          <t>Linia eco-friendly – green economy</t>
        </is>
      </c>
      <c r="C41" s="21" t="inlineStr">
        <is>
          <t>Daj klientom możliwość grillowania z czystym sumieniem. Wprowadź do oferty grille elektryczne, na bioetanol lub wodór oraz akcesoria z materiałów ekologicznych. Certyfikaty środowiskowe i transparentna komunikacja budują wiarygodność wśród rosnącej grupy świadomych konsumentów – i otwierają zupełnie nowy segment rynku.</t>
        </is>
      </c>
      <c r="D41" s="22" t="n">
        <v>3</v>
      </c>
      <c r="E41" s="22" t="n">
        <v>1</v>
      </c>
      <c r="F41" s="22" t="n"/>
      <c r="G41" s="65" t="inlineStr">
        <is>
          <t>RYNKOWA (Mapa 2)</t>
        </is>
      </c>
      <c r="H41" s="61" t="n"/>
      <c r="I41" s="61" t="n"/>
      <c r="J41" s="61" t="n"/>
      <c r="K41" s="61" t="n"/>
    </row>
    <row r="42" ht="62.1" customHeight="1" s="90">
      <c r="A42" s="20" t="n">
        <v>41</v>
      </c>
      <c r="B42" s="59" t="inlineStr">
        <is>
          <t>Business Intelligence i analityka</t>
        </is>
      </c>
      <c r="C42" s="21" t="inlineStr">
        <is>
          <t>Zamień dane w decyzje. Połącz informacje z Google Analytics, CRM i platformy e-commerce w jeden dashboard który pokazuje co napędza sprzedaż, kto jest Twoim najlepszym klientem i gdzie tracisz pieniądze. Firmy które decydują na podstawie danych rosną szybciej niż te które ufają przeczuciom.</t>
        </is>
      </c>
      <c r="D42" s="22" t="n">
        <v>4</v>
      </c>
      <c r="E42" s="22" t="n">
        <v>1</v>
      </c>
      <c r="F42" s="22" t="n"/>
      <c r="G42" s="65" t="inlineStr">
        <is>
          <t>RYNKOWA (Mapa 2)</t>
        </is>
      </c>
      <c r="H42" s="61" t="n"/>
      <c r="I42" s="61" t="n"/>
      <c r="J42" s="61" t="n"/>
      <c r="K42" s="61" t="n"/>
    </row>
    <row r="43" ht="62.1" customHeight="1" s="90">
      <c r="A43" s="20" t="n">
        <v>42</v>
      </c>
      <c r="B43" s="59" t="inlineStr">
        <is>
          <t>Sezonowe kampanie promocyjne</t>
        </is>
      </c>
      <c r="C43" s="21" t="inlineStr">
        <is>
          <t>Grill to produkt sezonowy – wykorzystaj to. Zaplanuj kampanie na kluczowe momenty roku: start sezonu grillowego (kwiecień-maj), Dzień Ojca, letnie promocje, Black Friday i przedświąteczne zestawy. Odpowiednia kampania we właściwym momencie generuje wielokrotność miesięcznej sprzedaży w kilka dni.</t>
        </is>
      </c>
      <c r="D43" s="22" t="n">
        <v>3</v>
      </c>
      <c r="E43" s="22" t="n">
        <v>1</v>
      </c>
      <c r="F43" s="22" t="n"/>
      <c r="G43" s="65" t="inlineStr">
        <is>
          <t>RYNKOWA (Mapa 2)</t>
        </is>
      </c>
      <c r="H43" s="61" t="n"/>
      <c r="I43" s="61" t="n"/>
      <c r="J43" s="61" t="n"/>
      <c r="K43" s="61" t="n"/>
    </row>
    <row r="44" ht="62.1" customHeight="1" s="90">
      <c r="A44" s="20" t="n">
        <v>43</v>
      </c>
      <c r="B44" s="59" t="inlineStr">
        <is>
          <t>Ceneo i porównywarki cenowe</t>
        </is>
      </c>
      <c r="C44" s="21" t="inlineStr">
        <is>
          <t>Bądź widoczny tam gdzie klienci porównują ceny. Integracja z Ceneo, Skąpiec i Google Shopping sprawia że Twoje produkty pojawiają się obok konkurencji – z Twoją ceną, dostępnością i opiniami. Klienci którzy trafią do Ciebie przez porównywarkę są gotowi kupić – wystarczy wygrać ceną lub jakością oferty.</t>
        </is>
      </c>
      <c r="D44" s="22" t="n">
        <v>2</v>
      </c>
      <c r="E44" s="22" t="n">
        <v>1</v>
      </c>
      <c r="F44" s="22" t="n"/>
      <c r="G44" s="65" t="inlineStr">
        <is>
          <t>RYNKOWA (Mapa 2)</t>
        </is>
      </c>
      <c r="H44" s="61" t="n"/>
      <c r="I44" s="61" t="n"/>
      <c r="J44" s="61" t="n"/>
      <c r="K44" s="61" t="n"/>
    </row>
    <row r="45" ht="12.75" customHeight="1" s="90">
      <c r="A45" s="60" t="n"/>
      <c r="B45" s="61" t="n"/>
      <c r="C45" s="61" t="n"/>
      <c r="D45" s="61" t="n"/>
      <c r="E45" s="61" t="n"/>
      <c r="F45" s="62" t="n"/>
      <c r="G45" s="61" t="n"/>
      <c r="H45" s="61" t="n"/>
      <c r="I45" s="61" t="n"/>
      <c r="J45" s="61" t="n"/>
      <c r="K45" s="61" t="n"/>
    </row>
    <row r="46" ht="12.75" customHeight="1" s="90">
      <c r="A46" s="60" t="n"/>
      <c r="B46" s="61" t="n"/>
      <c r="C46" s="61" t="n"/>
      <c r="D46" s="61" t="n"/>
      <c r="E46" s="61" t="n"/>
      <c r="F46" s="62" t="n"/>
      <c r="G46" s="61" t="n"/>
      <c r="H46" s="61" t="n"/>
      <c r="I46" s="61" t="n"/>
      <c r="J46" s="61" t="n"/>
      <c r="K46" s="61" t="n"/>
    </row>
    <row r="47" ht="12.75" customHeight="1" s="90">
      <c r="A47" s="60" t="n"/>
      <c r="B47" s="61" t="n"/>
      <c r="C47" s="61" t="n"/>
      <c r="D47" s="61" t="n"/>
      <c r="E47" s="61" t="n"/>
      <c r="F47" s="62" t="n"/>
      <c r="G47" s="61" t="n"/>
      <c r="H47" s="61" t="n"/>
      <c r="I47" s="61" t="n"/>
      <c r="J47" s="61" t="n"/>
      <c r="K47" s="61" t="n"/>
    </row>
    <row r="48" ht="12.75" customHeight="1" s="90">
      <c r="A48" s="60" t="n"/>
      <c r="B48" s="61" t="n"/>
      <c r="C48" s="61" t="n"/>
      <c r="D48" s="61" t="n"/>
      <c r="E48" s="61" t="n"/>
      <c r="F48" s="62" t="n"/>
      <c r="G48" s="61" t="n"/>
      <c r="H48" s="61" t="n"/>
      <c r="I48" s="61" t="n"/>
      <c r="J48" s="61" t="n"/>
      <c r="K48" s="61" t="n"/>
    </row>
    <row r="49" ht="12.75" customHeight="1" s="90">
      <c r="A49" s="60" t="n"/>
      <c r="B49" s="61" t="n"/>
      <c r="C49" s="61" t="n"/>
      <c r="D49" s="61" t="n"/>
      <c r="E49" s="61" t="n"/>
      <c r="F49" s="62" t="n"/>
      <c r="G49" s="61" t="n"/>
      <c r="H49" s="61" t="n"/>
      <c r="I49" s="61" t="n"/>
      <c r="J49" s="61" t="n"/>
      <c r="K49" s="61" t="n"/>
    </row>
    <row r="50" ht="12.75" customHeight="1" s="90">
      <c r="A50" s="60" t="n"/>
      <c r="B50" s="61" t="n"/>
      <c r="C50" s="61" t="n"/>
      <c r="D50" s="61" t="n"/>
      <c r="E50" s="61" t="n"/>
      <c r="F50" s="62" t="n"/>
      <c r="G50" s="61" t="n"/>
      <c r="H50" s="61" t="n"/>
      <c r="I50" s="61" t="n"/>
      <c r="J50" s="61" t="n"/>
      <c r="K50" s="61" t="n"/>
    </row>
    <row r="51" ht="12.75" customHeight="1" s="90">
      <c r="A51" s="60" t="n"/>
      <c r="B51" s="61" t="n"/>
      <c r="C51" s="61" t="n"/>
      <c r="D51" s="61" t="n"/>
      <c r="E51" s="61" t="n"/>
      <c r="F51" s="62" t="n"/>
      <c r="G51" s="61" t="n"/>
      <c r="H51" s="61" t="n"/>
      <c r="I51" s="61" t="n"/>
      <c r="J51" s="61" t="n"/>
      <c r="K51" s="61" t="n"/>
    </row>
    <row r="52" ht="12.75" customHeight="1" s="90">
      <c r="A52" s="60" t="n"/>
      <c r="B52" s="61" t="n"/>
      <c r="C52" s="61" t="n"/>
      <c r="D52" s="61" t="n"/>
      <c r="E52" s="61" t="n"/>
      <c r="F52" s="62" t="n"/>
      <c r="G52" s="61" t="n"/>
      <c r="H52" s="61" t="n"/>
      <c r="I52" s="61" t="n"/>
      <c r="J52" s="61" t="n"/>
      <c r="K52" s="61" t="n"/>
    </row>
    <row r="53" ht="12.75" customHeight="1" s="90">
      <c r="A53" s="60" t="n"/>
      <c r="B53" s="61" t="n"/>
      <c r="C53" s="61" t="n"/>
      <c r="D53" s="61" t="n"/>
      <c r="E53" s="61" t="n"/>
      <c r="F53" s="62" t="n"/>
      <c r="G53" s="61" t="n"/>
      <c r="H53" s="61" t="n"/>
      <c r="I53" s="61" t="n"/>
      <c r="J53" s="61" t="n"/>
      <c r="K53" s="61" t="n"/>
    </row>
    <row r="54" ht="12.75" customHeight="1" s="90">
      <c r="A54" s="60" t="n"/>
      <c r="B54" s="61" t="n"/>
      <c r="C54" s="61" t="n"/>
      <c r="D54" s="61" t="n"/>
      <c r="E54" s="61" t="n"/>
      <c r="F54" s="62" t="n"/>
      <c r="G54" s="61" t="n"/>
      <c r="H54" s="61" t="n"/>
      <c r="I54" s="61" t="n"/>
      <c r="J54" s="61" t="n"/>
      <c r="K54" s="61" t="n"/>
    </row>
    <row r="55" ht="12.75" customHeight="1" s="90">
      <c r="A55" s="60" t="n"/>
      <c r="B55" s="61" t="n"/>
      <c r="C55" s="61" t="n"/>
      <c r="D55" s="61" t="n"/>
      <c r="E55" s="61" t="n"/>
      <c r="F55" s="62" t="n"/>
      <c r="G55" s="61" t="n"/>
      <c r="H55" s="61" t="n"/>
      <c r="I55" s="61" t="n"/>
      <c r="J55" s="61" t="n"/>
      <c r="K55" s="61" t="n"/>
    </row>
    <row r="56" ht="12.75" customHeight="1" s="90">
      <c r="A56" s="60" t="n"/>
      <c r="B56" s="61" t="n"/>
      <c r="C56" s="61" t="n"/>
      <c r="D56" s="61" t="n"/>
      <c r="E56" s="61" t="n"/>
      <c r="F56" s="62" t="n"/>
      <c r="G56" s="61" t="n"/>
      <c r="H56" s="61" t="n"/>
      <c r="I56" s="61" t="n"/>
      <c r="J56" s="61" t="n"/>
      <c r="K56" s="61" t="n"/>
    </row>
    <row r="57" ht="12.75" customHeight="1" s="90">
      <c r="A57" s="60" t="n"/>
      <c r="B57" s="61" t="n"/>
      <c r="C57" s="61" t="n"/>
      <c r="D57" s="61" t="n"/>
      <c r="E57" s="61" t="n"/>
      <c r="F57" s="62" t="n"/>
      <c r="G57" s="61" t="n"/>
      <c r="H57" s="61" t="n"/>
      <c r="I57" s="61" t="n"/>
      <c r="J57" s="61" t="n"/>
      <c r="K57" s="61" t="n"/>
    </row>
    <row r="58" ht="12.75" customHeight="1" s="90">
      <c r="A58" s="60" t="n"/>
      <c r="B58" s="61" t="n"/>
      <c r="C58" s="61" t="n"/>
      <c r="D58" s="61" t="n"/>
      <c r="E58" s="61" t="n"/>
      <c r="F58" s="62" t="n"/>
      <c r="G58" s="61" t="n"/>
      <c r="H58" s="61" t="n"/>
      <c r="I58" s="61" t="n"/>
      <c r="J58" s="61" t="n"/>
      <c r="K58" s="61" t="n"/>
    </row>
    <row r="59" ht="12.75" customHeight="1" s="90">
      <c r="A59" s="60" t="n"/>
      <c r="B59" s="61" t="n"/>
      <c r="C59" s="61" t="n"/>
      <c r="D59" s="61" t="n"/>
      <c r="E59" s="61" t="n"/>
      <c r="F59" s="62" t="n"/>
      <c r="G59" s="61" t="n"/>
      <c r="H59" s="61" t="n"/>
      <c r="I59" s="61" t="n"/>
      <c r="J59" s="61" t="n"/>
      <c r="K59" s="61" t="n"/>
    </row>
    <row r="60" ht="12.75" customHeight="1" s="90">
      <c r="A60" s="60" t="n"/>
      <c r="B60" s="61" t="n"/>
      <c r="C60" s="61" t="n"/>
      <c r="D60" s="61" t="n"/>
      <c r="E60" s="61" t="n"/>
      <c r="F60" s="62" t="n"/>
      <c r="G60" s="61" t="n"/>
      <c r="H60" s="61" t="n"/>
      <c r="I60" s="61" t="n"/>
      <c r="J60" s="61" t="n"/>
      <c r="K60" s="61" t="n"/>
    </row>
    <row r="61" ht="12.75" customHeight="1" s="90">
      <c r="A61" s="60" t="n"/>
      <c r="B61" s="61" t="n"/>
      <c r="C61" s="61" t="n"/>
      <c r="D61" s="61" t="n"/>
      <c r="E61" s="61" t="n"/>
      <c r="F61" s="62" t="n"/>
      <c r="G61" s="61" t="n"/>
      <c r="H61" s="61" t="n"/>
      <c r="I61" s="61" t="n"/>
      <c r="J61" s="61" t="n"/>
      <c r="K61" s="61" t="n"/>
    </row>
    <row r="62" ht="12.75" customHeight="1" s="90">
      <c r="A62" s="60" t="n"/>
      <c r="B62" s="61" t="n"/>
      <c r="C62" s="61" t="n"/>
      <c r="D62" s="61" t="n"/>
      <c r="E62" s="61" t="n"/>
      <c r="F62" s="62" t="n"/>
      <c r="G62" s="61" t="n"/>
      <c r="H62" s="61" t="n"/>
      <c r="I62" s="61" t="n"/>
      <c r="J62" s="61" t="n"/>
      <c r="K62" s="61" t="n"/>
    </row>
    <row r="63" ht="12.75" customHeight="1" s="90">
      <c r="A63" s="60" t="n"/>
      <c r="B63" s="61" t="n"/>
      <c r="C63" s="61" t="n"/>
      <c r="D63" s="61" t="n"/>
      <c r="E63" s="61" t="n"/>
      <c r="F63" s="62" t="n"/>
      <c r="G63" s="61" t="n"/>
      <c r="H63" s="61" t="n"/>
      <c r="I63" s="61" t="n"/>
      <c r="J63" s="61" t="n"/>
      <c r="K63" s="61" t="n"/>
    </row>
    <row r="64" ht="12.75" customHeight="1" s="90">
      <c r="A64" s="60" t="n"/>
      <c r="B64" s="61" t="n"/>
      <c r="C64" s="61" t="n"/>
      <c r="D64" s="61" t="n"/>
      <c r="E64" s="61" t="n"/>
      <c r="F64" s="62" t="n"/>
      <c r="G64" s="61" t="n"/>
      <c r="H64" s="61" t="n"/>
      <c r="I64" s="61" t="n"/>
      <c r="J64" s="61" t="n"/>
      <c r="K64" s="61" t="n"/>
    </row>
    <row r="65" ht="12.75" customHeight="1" s="90">
      <c r="A65" s="60" t="n"/>
      <c r="B65" s="61" t="n"/>
      <c r="C65" s="61" t="n"/>
      <c r="D65" s="61" t="n"/>
      <c r="E65" s="61" t="n"/>
      <c r="F65" s="62" t="n"/>
      <c r="G65" s="61" t="n"/>
      <c r="H65" s="61" t="n"/>
      <c r="I65" s="61" t="n"/>
      <c r="J65" s="61" t="n"/>
      <c r="K65" s="61" t="n"/>
    </row>
    <row r="66" ht="12.75" customHeight="1" s="90">
      <c r="A66" s="60" t="n"/>
      <c r="B66" s="61" t="n"/>
      <c r="C66" s="61" t="n"/>
      <c r="D66" s="61" t="n"/>
      <c r="E66" s="61" t="n"/>
      <c r="F66" s="62" t="n"/>
      <c r="G66" s="61" t="n"/>
      <c r="H66" s="61" t="n"/>
      <c r="I66" s="61" t="n"/>
      <c r="J66" s="61" t="n"/>
      <c r="K66" s="61" t="n"/>
    </row>
    <row r="67" ht="12.75" customHeight="1" s="90">
      <c r="A67" s="60" t="n"/>
      <c r="B67" s="61" t="n"/>
      <c r="C67" s="61" t="n"/>
      <c r="D67" s="61" t="n"/>
      <c r="E67" s="61" t="n"/>
      <c r="F67" s="62" t="n"/>
      <c r="G67" s="61" t="n"/>
      <c r="H67" s="61" t="n"/>
      <c r="I67" s="61" t="n"/>
      <c r="J67" s="61" t="n"/>
      <c r="K67" s="61" t="n"/>
    </row>
    <row r="68" ht="12.75" customHeight="1" s="90">
      <c r="A68" s="60" t="n"/>
      <c r="B68" s="61" t="n"/>
      <c r="C68" s="61" t="n"/>
      <c r="D68" s="61" t="n"/>
      <c r="E68" s="61" t="n"/>
      <c r="F68" s="62" t="n"/>
      <c r="G68" s="61" t="n"/>
      <c r="H68" s="61" t="n"/>
      <c r="I68" s="61" t="n"/>
      <c r="J68" s="61" t="n"/>
      <c r="K68" s="61" t="n"/>
    </row>
    <row r="69" ht="12.75" customHeight="1" s="90">
      <c r="A69" s="60" t="n"/>
      <c r="B69" s="61" t="n"/>
      <c r="C69" s="61" t="n"/>
      <c r="D69" s="61" t="n"/>
      <c r="E69" s="61" t="n"/>
      <c r="F69" s="62" t="n"/>
      <c r="G69" s="61" t="n"/>
      <c r="H69" s="61" t="n"/>
      <c r="I69" s="61" t="n"/>
      <c r="J69" s="61" t="n"/>
      <c r="K69" s="61" t="n"/>
    </row>
    <row r="70" ht="12.75" customHeight="1" s="90">
      <c r="A70" s="60" t="n"/>
      <c r="B70" s="61" t="n"/>
      <c r="C70" s="61" t="n"/>
      <c r="D70" s="61" t="n"/>
      <c r="E70" s="61" t="n"/>
      <c r="F70" s="62" t="n"/>
      <c r="G70" s="61" t="n"/>
      <c r="H70" s="61" t="n"/>
      <c r="I70" s="61" t="n"/>
      <c r="J70" s="61" t="n"/>
      <c r="K70" s="61" t="n"/>
    </row>
    <row r="71" ht="12.75" customHeight="1" s="90">
      <c r="A71" s="60" t="n"/>
      <c r="B71" s="61" t="n"/>
      <c r="C71" s="61" t="n"/>
      <c r="D71" s="61" t="n"/>
      <c r="E71" s="61" t="n"/>
      <c r="F71" s="62" t="n"/>
      <c r="G71" s="61" t="n"/>
      <c r="H71" s="61" t="n"/>
      <c r="I71" s="61" t="n"/>
      <c r="J71" s="61" t="n"/>
      <c r="K71" s="61" t="n"/>
    </row>
    <row r="72" ht="12.75" customHeight="1" s="90">
      <c r="A72" s="60" t="n"/>
      <c r="B72" s="61" t="n"/>
      <c r="C72" s="61" t="n"/>
      <c r="D72" s="61" t="n"/>
      <c r="E72" s="61" t="n"/>
      <c r="F72" s="62" t="n"/>
      <c r="G72" s="61" t="n"/>
      <c r="H72" s="61" t="n"/>
      <c r="I72" s="61" t="n"/>
      <c r="J72" s="61" t="n"/>
      <c r="K72" s="61" t="n"/>
    </row>
    <row r="73" ht="12.75" customHeight="1" s="90">
      <c r="A73" s="60" t="n"/>
      <c r="B73" s="61" t="n"/>
      <c r="C73" s="61" t="n"/>
      <c r="D73" s="61" t="n"/>
      <c r="E73" s="61" t="n"/>
      <c r="F73" s="62" t="n"/>
      <c r="G73" s="61" t="n"/>
      <c r="H73" s="61" t="n"/>
      <c r="I73" s="61" t="n"/>
      <c r="J73" s="61" t="n"/>
      <c r="K73" s="61" t="n"/>
    </row>
    <row r="74" ht="12.75" customHeight="1" s="90">
      <c r="A74" s="60" t="n"/>
      <c r="B74" s="61" t="n"/>
      <c r="C74" s="61" t="n"/>
      <c r="D74" s="61" t="n"/>
      <c r="E74" s="61" t="n"/>
      <c r="F74" s="62" t="n"/>
      <c r="G74" s="61" t="n"/>
      <c r="H74" s="61" t="n"/>
      <c r="I74" s="61" t="n"/>
      <c r="J74" s="61" t="n"/>
      <c r="K74" s="61" t="n"/>
    </row>
    <row r="75" ht="12.75" customHeight="1" s="90">
      <c r="A75" s="60" t="n"/>
      <c r="B75" s="61" t="n"/>
      <c r="C75" s="61" t="n"/>
      <c r="D75" s="61" t="n"/>
      <c r="E75" s="61" t="n"/>
      <c r="F75" s="62" t="n"/>
      <c r="G75" s="61" t="n"/>
      <c r="H75" s="61" t="n"/>
      <c r="I75" s="61" t="n"/>
      <c r="J75" s="61" t="n"/>
      <c r="K75" s="61" t="n"/>
    </row>
    <row r="76" ht="12.75" customHeight="1" s="90">
      <c r="A76" s="60" t="n"/>
      <c r="B76" s="61" t="n"/>
      <c r="C76" s="61" t="n"/>
      <c r="D76" s="61" t="n"/>
      <c r="E76" s="61" t="n"/>
      <c r="F76" s="62" t="n"/>
      <c r="G76" s="61" t="n"/>
      <c r="H76" s="61" t="n"/>
      <c r="I76" s="61" t="n"/>
      <c r="J76" s="61" t="n"/>
      <c r="K76" s="61" t="n"/>
    </row>
    <row r="77" ht="12.75" customHeight="1" s="90">
      <c r="A77" s="60" t="n"/>
      <c r="B77" s="61" t="n"/>
      <c r="C77" s="61" t="n"/>
      <c r="D77" s="61" t="n"/>
      <c r="E77" s="61" t="n"/>
      <c r="F77" s="62" t="n"/>
      <c r="G77" s="61" t="n"/>
      <c r="H77" s="61" t="n"/>
      <c r="I77" s="61" t="n"/>
      <c r="J77" s="61" t="n"/>
      <c r="K77" s="61" t="n"/>
    </row>
    <row r="78" ht="12.75" customHeight="1" s="90">
      <c r="A78" s="60" t="n"/>
      <c r="B78" s="61" t="n"/>
      <c r="C78" s="61" t="n"/>
      <c r="D78" s="61" t="n"/>
      <c r="E78" s="61" t="n"/>
      <c r="F78" s="62" t="n"/>
      <c r="G78" s="61" t="n"/>
      <c r="H78" s="61" t="n"/>
      <c r="I78" s="61" t="n"/>
      <c r="J78" s="61" t="n"/>
      <c r="K78" s="61" t="n"/>
    </row>
    <row r="79" ht="12.75" customHeight="1" s="90">
      <c r="A79" s="60" t="n"/>
      <c r="B79" s="61" t="n"/>
      <c r="C79" s="61" t="n"/>
      <c r="D79" s="61" t="n"/>
      <c r="E79" s="61" t="n"/>
      <c r="F79" s="62" t="n"/>
      <c r="G79" s="61" t="n"/>
      <c r="H79" s="61" t="n"/>
      <c r="I79" s="61" t="n"/>
      <c r="J79" s="61" t="n"/>
      <c r="K79" s="61" t="n"/>
    </row>
    <row r="80" ht="12.75" customHeight="1" s="90">
      <c r="A80" s="60" t="n"/>
      <c r="B80" s="61" t="n"/>
      <c r="C80" s="61" t="n"/>
      <c r="D80" s="61" t="n"/>
      <c r="E80" s="61" t="n"/>
      <c r="F80" s="62" t="n"/>
      <c r="G80" s="61" t="n"/>
      <c r="H80" s="61" t="n"/>
      <c r="I80" s="61" t="n"/>
      <c r="J80" s="61" t="n"/>
      <c r="K80" s="61" t="n"/>
    </row>
    <row r="81" ht="12.75" customHeight="1" s="90">
      <c r="A81" s="60" t="n"/>
      <c r="B81" s="61" t="n"/>
      <c r="C81" s="61" t="n"/>
      <c r="D81" s="61" t="n"/>
      <c r="E81" s="61" t="n"/>
      <c r="F81" s="62" t="n"/>
      <c r="G81" s="61" t="n"/>
      <c r="H81" s="61" t="n"/>
      <c r="I81" s="61" t="n"/>
      <c r="J81" s="61" t="n"/>
      <c r="K81" s="61" t="n"/>
    </row>
    <row r="82" ht="12.75" customHeight="1" s="90">
      <c r="A82" s="60" t="n"/>
      <c r="B82" s="61" t="n"/>
      <c r="C82" s="61" t="n"/>
      <c r="D82" s="61" t="n"/>
      <c r="E82" s="61" t="n"/>
      <c r="F82" s="62" t="n"/>
      <c r="G82" s="61" t="n"/>
      <c r="H82" s="61" t="n"/>
      <c r="I82" s="61" t="n"/>
      <c r="J82" s="61" t="n"/>
      <c r="K82" s="61" t="n"/>
    </row>
    <row r="83" ht="12.75" customHeight="1" s="90">
      <c r="A83" s="60" t="n"/>
      <c r="B83" s="61" t="n"/>
      <c r="C83" s="61" t="n"/>
      <c r="D83" s="61" t="n"/>
      <c r="E83" s="61" t="n"/>
      <c r="F83" s="62" t="n"/>
      <c r="G83" s="61" t="n"/>
      <c r="H83" s="61" t="n"/>
      <c r="I83" s="61" t="n"/>
      <c r="J83" s="61" t="n"/>
      <c r="K83" s="61" t="n"/>
    </row>
    <row r="84" ht="12.75" customHeight="1" s="90">
      <c r="A84" s="60" t="n"/>
      <c r="B84" s="61" t="n"/>
      <c r="C84" s="61" t="n"/>
      <c r="D84" s="61" t="n"/>
      <c r="E84" s="61" t="n"/>
      <c r="F84" s="62" t="n"/>
      <c r="G84" s="61" t="n"/>
      <c r="H84" s="61" t="n"/>
      <c r="I84" s="61" t="n"/>
      <c r="J84" s="61" t="n"/>
      <c r="K84" s="61" t="n"/>
    </row>
    <row r="85" ht="12.75" customHeight="1" s="90">
      <c r="A85" s="60" t="n"/>
      <c r="B85" s="61" t="n"/>
      <c r="C85" s="61" t="n"/>
      <c r="D85" s="61" t="n"/>
      <c r="E85" s="61" t="n"/>
      <c r="F85" s="62" t="n"/>
      <c r="G85" s="61" t="n"/>
      <c r="H85" s="61" t="n"/>
      <c r="I85" s="61" t="n"/>
      <c r="J85" s="61" t="n"/>
      <c r="K85" s="61" t="n"/>
    </row>
    <row r="86" ht="12.75" customHeight="1" s="90">
      <c r="A86" s="60" t="n"/>
      <c r="B86" s="61" t="n"/>
      <c r="C86" s="61" t="n"/>
      <c r="D86" s="61" t="n"/>
      <c r="E86" s="61" t="n"/>
      <c r="F86" s="62" t="n"/>
      <c r="G86" s="61" t="n"/>
      <c r="H86" s="61" t="n"/>
      <c r="I86" s="61" t="n"/>
      <c r="J86" s="61" t="n"/>
      <c r="K86" s="61" t="n"/>
    </row>
    <row r="87" ht="12.75" customHeight="1" s="90">
      <c r="A87" s="60" t="n"/>
      <c r="B87" s="61" t="n"/>
      <c r="C87" s="61" t="n"/>
      <c r="D87" s="61" t="n"/>
      <c r="E87" s="61" t="n"/>
      <c r="F87" s="62" t="n"/>
      <c r="G87" s="61" t="n"/>
      <c r="H87" s="61" t="n"/>
      <c r="I87" s="61" t="n"/>
      <c r="J87" s="61" t="n"/>
      <c r="K87" s="61" t="n"/>
    </row>
    <row r="88" ht="12.75" customHeight="1" s="90">
      <c r="A88" s="60" t="n"/>
      <c r="B88" s="61" t="n"/>
      <c r="C88" s="61" t="n"/>
      <c r="D88" s="61" t="n"/>
      <c r="E88" s="61" t="n"/>
      <c r="F88" s="62" t="n"/>
      <c r="G88" s="61" t="n"/>
      <c r="H88" s="61" t="n"/>
      <c r="I88" s="61" t="n"/>
      <c r="J88" s="61" t="n"/>
      <c r="K88" s="61" t="n"/>
    </row>
    <row r="89" ht="12.75" customHeight="1" s="90">
      <c r="A89" s="60" t="n"/>
      <c r="B89" s="61" t="n"/>
      <c r="C89" s="61" t="n"/>
      <c r="D89" s="61" t="n"/>
      <c r="E89" s="61" t="n"/>
      <c r="F89" s="62" t="n"/>
      <c r="G89" s="61" t="n"/>
      <c r="H89" s="61" t="n"/>
      <c r="I89" s="61" t="n"/>
      <c r="J89" s="61" t="n"/>
      <c r="K89" s="61" t="n"/>
    </row>
    <row r="90" ht="12.75" customHeight="1" s="90">
      <c r="A90" s="60" t="n"/>
      <c r="B90" s="61" t="n"/>
      <c r="C90" s="61" t="n"/>
      <c r="D90" s="61" t="n"/>
      <c r="E90" s="61" t="n"/>
      <c r="F90" s="62" t="n"/>
      <c r="G90" s="61" t="n"/>
      <c r="H90" s="61" t="n"/>
      <c r="I90" s="61" t="n"/>
      <c r="J90" s="61" t="n"/>
      <c r="K90" s="61" t="n"/>
    </row>
    <row r="91" ht="12.75" customHeight="1" s="90">
      <c r="A91" s="60" t="n"/>
      <c r="B91" s="61" t="n"/>
      <c r="C91" s="61" t="n"/>
      <c r="D91" s="61" t="n"/>
      <c r="E91" s="61" t="n"/>
      <c r="F91" s="62" t="n"/>
      <c r="G91" s="61" t="n"/>
      <c r="H91" s="61" t="n"/>
      <c r="I91" s="61" t="n"/>
      <c r="J91" s="61" t="n"/>
      <c r="K91" s="61" t="n"/>
    </row>
    <row r="92" ht="12.75" customHeight="1" s="90">
      <c r="A92" s="60" t="n"/>
      <c r="B92" s="61" t="n"/>
      <c r="C92" s="61" t="n"/>
      <c r="D92" s="61" t="n"/>
      <c r="E92" s="61" t="n"/>
      <c r="F92" s="62" t="n"/>
      <c r="G92" s="61" t="n"/>
      <c r="H92" s="61" t="n"/>
      <c r="I92" s="61" t="n"/>
      <c r="J92" s="61" t="n"/>
      <c r="K92" s="61" t="n"/>
    </row>
    <row r="93" ht="12.75" customHeight="1" s="90">
      <c r="A93" s="60" t="n"/>
      <c r="B93" s="61" t="n"/>
      <c r="C93" s="61" t="n"/>
      <c r="D93" s="61" t="n"/>
      <c r="E93" s="61" t="n"/>
      <c r="F93" s="62" t="n"/>
      <c r="G93" s="61" t="n"/>
      <c r="H93" s="61" t="n"/>
      <c r="I93" s="61" t="n"/>
      <c r="J93" s="61" t="n"/>
      <c r="K93" s="61" t="n"/>
    </row>
    <row r="94" ht="12.75" customHeight="1" s="90">
      <c r="A94" s="60" t="n"/>
      <c r="B94" s="61" t="n"/>
      <c r="C94" s="61" t="n"/>
      <c r="D94" s="61" t="n"/>
      <c r="E94" s="61" t="n"/>
      <c r="F94" s="62" t="n"/>
      <c r="G94" s="61" t="n"/>
      <c r="H94" s="61" t="n"/>
      <c r="I94" s="61" t="n"/>
      <c r="J94" s="61" t="n"/>
      <c r="K94" s="61" t="n"/>
    </row>
    <row r="95" ht="12.75" customHeight="1" s="90">
      <c r="A95" s="60" t="n"/>
      <c r="B95" s="61" t="n"/>
      <c r="C95" s="61" t="n"/>
      <c r="D95" s="61" t="n"/>
      <c r="E95" s="61" t="n"/>
      <c r="F95" s="62" t="n"/>
      <c r="G95" s="61" t="n"/>
      <c r="H95" s="61" t="n"/>
      <c r="I95" s="61" t="n"/>
      <c r="J95" s="61" t="n"/>
      <c r="K95" s="61" t="n"/>
    </row>
    <row r="96" ht="12.75" customHeight="1" s="90">
      <c r="A96" s="60" t="n"/>
      <c r="B96" s="61" t="n"/>
      <c r="C96" s="61" t="n"/>
      <c r="D96" s="61" t="n"/>
      <c r="E96" s="61" t="n"/>
      <c r="F96" s="62" t="n"/>
      <c r="G96" s="61" t="n"/>
      <c r="H96" s="61" t="n"/>
      <c r="I96" s="61" t="n"/>
      <c r="J96" s="61" t="n"/>
      <c r="K96" s="61" t="n"/>
    </row>
    <row r="97" ht="12.75" customHeight="1" s="90">
      <c r="A97" s="60" t="n"/>
      <c r="B97" s="61" t="n"/>
      <c r="C97" s="61" t="n"/>
      <c r="D97" s="61" t="n"/>
      <c r="E97" s="61" t="n"/>
      <c r="F97" s="62" t="n"/>
      <c r="G97" s="61" t="n"/>
      <c r="H97" s="61" t="n"/>
      <c r="I97" s="61" t="n"/>
      <c r="J97" s="61" t="n"/>
      <c r="K97" s="61" t="n"/>
    </row>
    <row r="98" ht="12.75" customHeight="1" s="90">
      <c r="A98" s="60" t="n"/>
      <c r="B98" s="61" t="n"/>
      <c r="C98" s="61" t="n"/>
      <c r="D98" s="61" t="n"/>
      <c r="E98" s="61" t="n"/>
      <c r="F98" s="62" t="n"/>
      <c r="G98" s="61" t="n"/>
      <c r="H98" s="61" t="n"/>
      <c r="I98" s="61" t="n"/>
      <c r="J98" s="61" t="n"/>
      <c r="K98" s="61" t="n"/>
    </row>
    <row r="99" ht="12.75" customHeight="1" s="90">
      <c r="A99" s="60" t="n"/>
      <c r="B99" s="61" t="n"/>
      <c r="C99" s="61" t="n"/>
      <c r="D99" s="61" t="n"/>
      <c r="E99" s="61" t="n"/>
      <c r="F99" s="62" t="n"/>
      <c r="G99" s="61" t="n"/>
      <c r="H99" s="61" t="n"/>
      <c r="I99" s="61" t="n"/>
      <c r="J99" s="61" t="n"/>
      <c r="K99" s="61" t="n"/>
    </row>
    <row r="100" ht="12.75" customHeight="1" s="90">
      <c r="A100" s="60" t="n"/>
      <c r="B100" s="61" t="n"/>
      <c r="C100" s="61" t="n"/>
      <c r="D100" s="61" t="n"/>
      <c r="E100" s="61" t="n"/>
      <c r="F100" s="62" t="n"/>
      <c r="G100" s="61" t="n"/>
      <c r="H100" s="61" t="n"/>
      <c r="I100" s="61" t="n"/>
      <c r="J100" s="61" t="n"/>
      <c r="K100" s="61" t="n"/>
    </row>
    <row r="101" ht="12.75" customHeight="1" s="90">
      <c r="A101" s="60" t="n"/>
      <c r="B101" s="61" t="n"/>
      <c r="C101" s="61" t="n"/>
      <c r="D101" s="61" t="n"/>
      <c r="E101" s="61" t="n"/>
      <c r="F101" s="62" t="n"/>
      <c r="G101" s="61" t="n"/>
      <c r="H101" s="61" t="n"/>
      <c r="I101" s="61" t="n"/>
      <c r="J101" s="61" t="n"/>
      <c r="K101" s="61" t="n"/>
    </row>
    <row r="102" ht="12.75" customHeight="1" s="90">
      <c r="A102" s="60" t="n"/>
      <c r="B102" s="61" t="n"/>
      <c r="C102" s="61" t="n"/>
      <c r="D102" s="61" t="n"/>
      <c r="E102" s="61" t="n"/>
      <c r="F102" s="62" t="n"/>
      <c r="G102" s="61" t="n"/>
      <c r="H102" s="61" t="n"/>
      <c r="I102" s="61" t="n"/>
      <c r="J102" s="61" t="n"/>
      <c r="K102" s="61" t="n"/>
    </row>
    <row r="103" ht="12.75" customHeight="1" s="90">
      <c r="A103" s="60" t="n"/>
      <c r="B103" s="61" t="n"/>
      <c r="C103" s="61" t="n"/>
      <c r="D103" s="61" t="n"/>
      <c r="E103" s="61" t="n"/>
      <c r="F103" s="62" t="n"/>
      <c r="G103" s="61" t="n"/>
      <c r="H103" s="61" t="n"/>
      <c r="I103" s="61" t="n"/>
      <c r="J103" s="61" t="n"/>
      <c r="K103" s="61" t="n"/>
    </row>
    <row r="104" ht="12.75" customHeight="1" s="90">
      <c r="A104" s="60" t="n"/>
      <c r="B104" s="61" t="n"/>
      <c r="C104" s="61" t="n"/>
      <c r="D104" s="61" t="n"/>
      <c r="E104" s="61" t="n"/>
      <c r="F104" s="62" t="n"/>
      <c r="G104" s="61" t="n"/>
      <c r="H104" s="61" t="n"/>
      <c r="I104" s="61" t="n"/>
      <c r="J104" s="61" t="n"/>
      <c r="K104" s="61" t="n"/>
    </row>
    <row r="105" ht="12.75" customHeight="1" s="90">
      <c r="A105" s="60" t="n"/>
      <c r="B105" s="61" t="n"/>
      <c r="C105" s="61" t="n"/>
      <c r="D105" s="61" t="n"/>
      <c r="E105" s="61" t="n"/>
      <c r="F105" s="62" t="n"/>
      <c r="G105" s="61" t="n"/>
      <c r="H105" s="61" t="n"/>
      <c r="I105" s="61" t="n"/>
      <c r="J105" s="61" t="n"/>
      <c r="K105" s="61" t="n"/>
    </row>
    <row r="106" ht="12.75" customHeight="1" s="90">
      <c r="A106" s="60" t="n"/>
      <c r="B106" s="61" t="n"/>
      <c r="C106" s="61" t="n"/>
      <c r="D106" s="61" t="n"/>
      <c r="E106" s="61" t="n"/>
      <c r="F106" s="62" t="n"/>
      <c r="G106" s="61" t="n"/>
      <c r="H106" s="61" t="n"/>
      <c r="I106" s="61" t="n"/>
      <c r="J106" s="61" t="n"/>
      <c r="K106" s="61" t="n"/>
    </row>
    <row r="107" ht="12.75" customHeight="1" s="90">
      <c r="A107" s="60" t="n"/>
      <c r="B107" s="61" t="n"/>
      <c r="C107" s="61" t="n"/>
      <c r="D107" s="61" t="n"/>
      <c r="E107" s="61" t="n"/>
      <c r="F107" s="62" t="n"/>
      <c r="G107" s="61" t="n"/>
      <c r="H107" s="61" t="n"/>
      <c r="I107" s="61" t="n"/>
      <c r="J107" s="61" t="n"/>
      <c r="K107" s="61" t="n"/>
    </row>
    <row r="108" ht="12.75" customHeight="1" s="90">
      <c r="A108" s="60" t="n"/>
      <c r="B108" s="61" t="n"/>
      <c r="C108" s="61" t="n"/>
      <c r="D108" s="61" t="n"/>
      <c r="E108" s="61" t="n"/>
      <c r="F108" s="62" t="n"/>
      <c r="G108" s="61" t="n"/>
      <c r="H108" s="61" t="n"/>
      <c r="I108" s="61" t="n"/>
      <c r="J108" s="61" t="n"/>
      <c r="K108" s="61" t="n"/>
    </row>
    <row r="109" ht="12.75" customHeight="1" s="90">
      <c r="A109" s="60" t="n"/>
      <c r="B109" s="61" t="n"/>
      <c r="C109" s="61" t="n"/>
      <c r="D109" s="61" t="n"/>
      <c r="E109" s="61" t="n"/>
      <c r="F109" s="62" t="n"/>
      <c r="G109" s="61" t="n"/>
      <c r="H109" s="61" t="n"/>
      <c r="I109" s="61" t="n"/>
      <c r="J109" s="61" t="n"/>
      <c r="K109" s="61" t="n"/>
    </row>
    <row r="110" ht="12.75" customHeight="1" s="90">
      <c r="A110" s="60" t="n"/>
      <c r="B110" s="61" t="n"/>
      <c r="C110" s="61" t="n"/>
      <c r="D110" s="61" t="n"/>
      <c r="E110" s="61" t="n"/>
      <c r="F110" s="62" t="n"/>
      <c r="G110" s="61" t="n"/>
      <c r="H110" s="61" t="n"/>
      <c r="I110" s="61" t="n"/>
      <c r="J110" s="61" t="n"/>
      <c r="K110" s="61" t="n"/>
    </row>
    <row r="111" ht="12.75" customHeight="1" s="90">
      <c r="A111" s="60" t="n"/>
      <c r="B111" s="61" t="n"/>
      <c r="C111" s="61" t="n"/>
      <c r="D111" s="61" t="n"/>
      <c r="E111" s="61" t="n"/>
      <c r="F111" s="62" t="n"/>
      <c r="G111" s="61" t="n"/>
      <c r="H111" s="61" t="n"/>
      <c r="I111" s="61" t="n"/>
      <c r="J111" s="61" t="n"/>
      <c r="K111" s="61" t="n"/>
    </row>
    <row r="112" ht="12.75" customHeight="1" s="90">
      <c r="A112" s="60" t="n"/>
      <c r="B112" s="61" t="n"/>
      <c r="C112" s="61" t="n"/>
      <c r="D112" s="61" t="n"/>
      <c r="E112" s="61" t="n"/>
      <c r="F112" s="62" t="n"/>
      <c r="G112" s="61" t="n"/>
      <c r="H112" s="61" t="n"/>
      <c r="I112" s="61" t="n"/>
      <c r="J112" s="61" t="n"/>
      <c r="K112" s="61" t="n"/>
    </row>
    <row r="113" ht="12.75" customHeight="1" s="90">
      <c r="A113" s="60" t="n"/>
      <c r="B113" s="61" t="n"/>
      <c r="C113" s="61" t="n"/>
      <c r="D113" s="61" t="n"/>
      <c r="E113" s="61" t="n"/>
      <c r="F113" s="62" t="n"/>
      <c r="G113" s="61" t="n"/>
      <c r="H113" s="61" t="n"/>
      <c r="I113" s="61" t="n"/>
      <c r="J113" s="61" t="n"/>
      <c r="K113" s="61" t="n"/>
    </row>
    <row r="114" ht="12.75" customHeight="1" s="90">
      <c r="A114" s="60" t="n"/>
      <c r="B114" s="61" t="n"/>
      <c r="C114" s="61" t="n"/>
      <c r="D114" s="61" t="n"/>
      <c r="E114" s="61" t="n"/>
      <c r="F114" s="62" t="n"/>
      <c r="G114" s="61" t="n"/>
      <c r="H114" s="61" t="n"/>
      <c r="I114" s="61" t="n"/>
      <c r="J114" s="61" t="n"/>
      <c r="K114" s="61" t="n"/>
    </row>
    <row r="115" ht="12.75" customHeight="1" s="90">
      <c r="A115" s="60" t="n"/>
      <c r="B115" s="61" t="n"/>
      <c r="C115" s="61" t="n"/>
      <c r="D115" s="61" t="n"/>
      <c r="E115" s="61" t="n"/>
      <c r="F115" s="62" t="n"/>
      <c r="G115" s="61" t="n"/>
      <c r="H115" s="61" t="n"/>
      <c r="I115" s="61" t="n"/>
      <c r="J115" s="61" t="n"/>
      <c r="K115" s="61" t="n"/>
    </row>
    <row r="116" ht="12.75" customHeight="1" s="90">
      <c r="A116" s="60" t="n"/>
      <c r="B116" s="61" t="n"/>
      <c r="C116" s="61" t="n"/>
      <c r="D116" s="61" t="n"/>
      <c r="E116" s="61" t="n"/>
      <c r="F116" s="62" t="n"/>
      <c r="G116" s="61" t="n"/>
      <c r="H116" s="61" t="n"/>
      <c r="I116" s="61" t="n"/>
      <c r="J116" s="61" t="n"/>
      <c r="K116" s="61" t="n"/>
    </row>
    <row r="117" ht="12.75" customHeight="1" s="90">
      <c r="A117" s="60" t="n"/>
      <c r="B117" s="61" t="n"/>
      <c r="C117" s="61" t="n"/>
      <c r="D117" s="61" t="n"/>
      <c r="E117" s="61" t="n"/>
      <c r="F117" s="62" t="n"/>
      <c r="G117" s="61" t="n"/>
      <c r="H117" s="61" t="n"/>
      <c r="I117" s="61" t="n"/>
      <c r="J117" s="61" t="n"/>
      <c r="K117" s="61" t="n"/>
    </row>
    <row r="118" ht="12.75" customHeight="1" s="90">
      <c r="A118" s="60" t="n"/>
      <c r="B118" s="61" t="n"/>
      <c r="C118" s="61" t="n"/>
      <c r="D118" s="61" t="n"/>
      <c r="E118" s="61" t="n"/>
      <c r="F118" s="62" t="n"/>
      <c r="G118" s="61" t="n"/>
      <c r="H118" s="61" t="n"/>
      <c r="I118" s="61" t="n"/>
      <c r="J118" s="61" t="n"/>
      <c r="K118" s="61" t="n"/>
    </row>
    <row r="119" ht="12.75" customHeight="1" s="90">
      <c r="A119" s="60" t="n"/>
      <c r="B119" s="61" t="n"/>
      <c r="C119" s="61" t="n"/>
      <c r="D119" s="61" t="n"/>
      <c r="E119" s="61" t="n"/>
      <c r="F119" s="62" t="n"/>
      <c r="G119" s="61" t="n"/>
      <c r="H119" s="61" t="n"/>
      <c r="I119" s="61" t="n"/>
      <c r="J119" s="61" t="n"/>
      <c r="K119" s="61" t="n"/>
    </row>
    <row r="120" ht="12.75" customHeight="1" s="90">
      <c r="A120" s="60" t="n"/>
      <c r="B120" s="61" t="n"/>
      <c r="C120" s="61" t="n"/>
      <c r="D120" s="61" t="n"/>
      <c r="E120" s="61" t="n"/>
      <c r="F120" s="62" t="n"/>
      <c r="G120" s="61" t="n"/>
      <c r="H120" s="61" t="n"/>
      <c r="I120" s="61" t="n"/>
      <c r="J120" s="61" t="n"/>
      <c r="K120" s="61" t="n"/>
    </row>
    <row r="121" ht="12.75" customHeight="1" s="90">
      <c r="A121" s="60" t="n"/>
      <c r="B121" s="61" t="n"/>
      <c r="C121" s="61" t="n"/>
      <c r="D121" s="61" t="n"/>
      <c r="E121" s="61" t="n"/>
      <c r="F121" s="62" t="n"/>
      <c r="G121" s="61" t="n"/>
      <c r="H121" s="61" t="n"/>
      <c r="I121" s="61" t="n"/>
      <c r="J121" s="61" t="n"/>
      <c r="K121" s="61" t="n"/>
    </row>
    <row r="122" ht="12.75" customHeight="1" s="90">
      <c r="A122" s="60" t="n"/>
      <c r="B122" s="61" t="n"/>
      <c r="C122" s="61" t="n"/>
      <c r="D122" s="61" t="n"/>
      <c r="E122" s="61" t="n"/>
      <c r="F122" s="62" t="n"/>
      <c r="G122" s="61" t="n"/>
      <c r="H122" s="61" t="n"/>
      <c r="I122" s="61" t="n"/>
      <c r="J122" s="61" t="n"/>
      <c r="K122" s="61" t="n"/>
    </row>
    <row r="123" ht="12.75" customHeight="1" s="90">
      <c r="A123" s="60" t="n"/>
      <c r="B123" s="61" t="n"/>
      <c r="C123" s="61" t="n"/>
      <c r="D123" s="61" t="n"/>
      <c r="E123" s="61" t="n"/>
      <c r="F123" s="62" t="n"/>
      <c r="G123" s="61" t="n"/>
      <c r="H123" s="61" t="n"/>
      <c r="I123" s="61" t="n"/>
      <c r="J123" s="61" t="n"/>
      <c r="K123" s="61" t="n"/>
    </row>
    <row r="124" ht="12.75" customHeight="1" s="90">
      <c r="A124" s="60" t="n"/>
      <c r="B124" s="61" t="n"/>
      <c r="C124" s="61" t="n"/>
      <c r="D124" s="61" t="n"/>
      <c r="E124" s="61" t="n"/>
      <c r="F124" s="62" t="n"/>
      <c r="G124" s="61" t="n"/>
      <c r="H124" s="61" t="n"/>
      <c r="I124" s="61" t="n"/>
      <c r="J124" s="61" t="n"/>
      <c r="K124" s="61" t="n"/>
    </row>
    <row r="125" ht="12.75" customHeight="1" s="90">
      <c r="A125" s="60" t="n"/>
      <c r="B125" s="61" t="n"/>
      <c r="C125" s="61" t="n"/>
      <c r="D125" s="61" t="n"/>
      <c r="E125" s="61" t="n"/>
      <c r="F125" s="62" t="n"/>
      <c r="G125" s="61" t="n"/>
      <c r="H125" s="61" t="n"/>
      <c r="I125" s="61" t="n"/>
      <c r="J125" s="61" t="n"/>
      <c r="K125" s="61" t="n"/>
    </row>
    <row r="126" ht="12.75" customHeight="1" s="90">
      <c r="A126" s="60" t="n"/>
      <c r="B126" s="61" t="n"/>
      <c r="C126" s="61" t="n"/>
      <c r="D126" s="61" t="n"/>
      <c r="E126" s="61" t="n"/>
      <c r="F126" s="62" t="n"/>
      <c r="G126" s="61" t="n"/>
      <c r="H126" s="61" t="n"/>
      <c r="I126" s="61" t="n"/>
      <c r="J126" s="61" t="n"/>
      <c r="K126" s="61" t="n"/>
    </row>
    <row r="127" ht="12.75" customHeight="1" s="90">
      <c r="A127" s="60" t="n"/>
      <c r="B127" s="61" t="n"/>
      <c r="C127" s="61" t="n"/>
      <c r="D127" s="61" t="n"/>
      <c r="E127" s="61" t="n"/>
      <c r="F127" s="62" t="n"/>
      <c r="G127" s="61" t="n"/>
      <c r="H127" s="61" t="n"/>
      <c r="I127" s="61" t="n"/>
      <c r="J127" s="61" t="n"/>
      <c r="K127" s="61" t="n"/>
    </row>
    <row r="128" ht="12.75" customHeight="1" s="90">
      <c r="A128" s="60" t="n"/>
      <c r="B128" s="61" t="n"/>
      <c r="C128" s="61" t="n"/>
      <c r="D128" s="61" t="n"/>
      <c r="E128" s="61" t="n"/>
      <c r="F128" s="62" t="n"/>
      <c r="G128" s="61" t="n"/>
      <c r="H128" s="61" t="n"/>
      <c r="I128" s="61" t="n"/>
      <c r="J128" s="61" t="n"/>
      <c r="K128" s="61" t="n"/>
    </row>
    <row r="129" ht="12.75" customHeight="1" s="90">
      <c r="A129" s="60" t="n"/>
      <c r="B129" s="61" t="n"/>
      <c r="C129" s="61" t="n"/>
      <c r="D129" s="61" t="n"/>
      <c r="E129" s="61" t="n"/>
      <c r="F129" s="62" t="n"/>
      <c r="G129" s="61" t="n"/>
      <c r="H129" s="61" t="n"/>
      <c r="I129" s="61" t="n"/>
      <c r="J129" s="61" t="n"/>
      <c r="K129" s="61" t="n"/>
    </row>
    <row r="130" ht="12.75" customHeight="1" s="90">
      <c r="A130" s="60" t="n"/>
      <c r="B130" s="61" t="n"/>
      <c r="C130" s="61" t="n"/>
      <c r="D130" s="61" t="n"/>
      <c r="E130" s="61" t="n"/>
      <c r="F130" s="62" t="n"/>
      <c r="G130" s="61" t="n"/>
      <c r="H130" s="61" t="n"/>
      <c r="I130" s="61" t="n"/>
      <c r="J130" s="61" t="n"/>
      <c r="K130" s="61" t="n"/>
    </row>
    <row r="131" ht="12.75" customHeight="1" s="90">
      <c r="A131" s="60" t="n"/>
      <c r="B131" s="61" t="n"/>
      <c r="C131" s="61" t="n"/>
      <c r="D131" s="61" t="n"/>
      <c r="E131" s="61" t="n"/>
      <c r="F131" s="62" t="n"/>
      <c r="G131" s="61" t="n"/>
      <c r="H131" s="61" t="n"/>
      <c r="I131" s="61" t="n"/>
      <c r="J131" s="61" t="n"/>
      <c r="K131" s="61" t="n"/>
    </row>
    <row r="132" ht="12.75" customHeight="1" s="90">
      <c r="A132" s="60" t="n"/>
      <c r="B132" s="61" t="n"/>
      <c r="C132" s="61" t="n"/>
      <c r="D132" s="61" t="n"/>
      <c r="E132" s="61" t="n"/>
      <c r="F132" s="62" t="n"/>
      <c r="G132" s="61" t="n"/>
      <c r="H132" s="61" t="n"/>
      <c r="I132" s="61" t="n"/>
      <c r="J132" s="61" t="n"/>
      <c r="K132" s="61" t="n"/>
    </row>
    <row r="133" ht="12.75" customHeight="1" s="90">
      <c r="A133" s="60" t="n"/>
      <c r="B133" s="61" t="n"/>
      <c r="C133" s="61" t="n"/>
      <c r="D133" s="61" t="n"/>
      <c r="E133" s="61" t="n"/>
      <c r="F133" s="62" t="n"/>
      <c r="G133" s="61" t="n"/>
      <c r="H133" s="61" t="n"/>
      <c r="I133" s="61" t="n"/>
      <c r="J133" s="61" t="n"/>
      <c r="K133" s="61" t="n"/>
    </row>
    <row r="134" ht="12.75" customHeight="1" s="90">
      <c r="A134" s="60" t="n"/>
      <c r="B134" s="61" t="n"/>
      <c r="C134" s="61" t="n"/>
      <c r="D134" s="61" t="n"/>
      <c r="E134" s="61" t="n"/>
      <c r="F134" s="62" t="n"/>
      <c r="G134" s="61" t="n"/>
      <c r="H134" s="61" t="n"/>
      <c r="I134" s="61" t="n"/>
      <c r="J134" s="61" t="n"/>
      <c r="K134" s="61" t="n"/>
    </row>
    <row r="135" ht="12.75" customHeight="1" s="90">
      <c r="A135" s="60" t="n"/>
      <c r="B135" s="61" t="n"/>
      <c r="C135" s="61" t="n"/>
      <c r="D135" s="61" t="n"/>
      <c r="E135" s="61" t="n"/>
      <c r="F135" s="62" t="n"/>
      <c r="G135" s="61" t="n"/>
      <c r="H135" s="61" t="n"/>
      <c r="I135" s="61" t="n"/>
      <c r="J135" s="61" t="n"/>
      <c r="K135" s="61" t="n"/>
    </row>
    <row r="136" ht="12.75" customHeight="1" s="90">
      <c r="A136" s="60" t="n"/>
      <c r="B136" s="61" t="n"/>
      <c r="C136" s="61" t="n"/>
      <c r="D136" s="61" t="n"/>
      <c r="E136" s="61" t="n"/>
      <c r="F136" s="62" t="n"/>
      <c r="G136" s="61" t="n"/>
      <c r="H136" s="61" t="n"/>
      <c r="I136" s="61" t="n"/>
      <c r="J136" s="61" t="n"/>
      <c r="K136" s="61" t="n"/>
    </row>
    <row r="137" ht="12.75" customHeight="1" s="90">
      <c r="A137" s="60" t="n"/>
      <c r="B137" s="61" t="n"/>
      <c r="C137" s="61" t="n"/>
      <c r="D137" s="61" t="n"/>
      <c r="E137" s="61" t="n"/>
      <c r="F137" s="62" t="n"/>
      <c r="G137" s="61" t="n"/>
      <c r="H137" s="61" t="n"/>
      <c r="I137" s="61" t="n"/>
      <c r="J137" s="61" t="n"/>
      <c r="K137" s="61" t="n"/>
    </row>
    <row r="138" ht="12.75" customHeight="1" s="90">
      <c r="A138" s="60" t="n"/>
      <c r="B138" s="61" t="n"/>
      <c r="C138" s="61" t="n"/>
      <c r="D138" s="61" t="n"/>
      <c r="E138" s="61" t="n"/>
      <c r="F138" s="62" t="n"/>
      <c r="G138" s="61" t="n"/>
      <c r="H138" s="61" t="n"/>
      <c r="I138" s="61" t="n"/>
      <c r="J138" s="61" t="n"/>
      <c r="K138" s="61" t="n"/>
    </row>
    <row r="139" ht="12.75" customHeight="1" s="90">
      <c r="A139" s="60" t="n"/>
      <c r="B139" s="61" t="n"/>
      <c r="C139" s="61" t="n"/>
      <c r="D139" s="61" t="n"/>
      <c r="E139" s="61" t="n"/>
      <c r="F139" s="62" t="n"/>
      <c r="G139" s="61" t="n"/>
      <c r="H139" s="61" t="n"/>
      <c r="I139" s="61" t="n"/>
      <c r="J139" s="61" t="n"/>
      <c r="K139" s="61" t="n"/>
    </row>
    <row r="140" ht="12.75" customHeight="1" s="90">
      <c r="A140" s="60" t="n"/>
      <c r="B140" s="61" t="n"/>
      <c r="C140" s="61" t="n"/>
      <c r="D140" s="61" t="n"/>
      <c r="E140" s="61" t="n"/>
      <c r="F140" s="62" t="n"/>
      <c r="G140" s="61" t="n"/>
      <c r="H140" s="61" t="n"/>
      <c r="I140" s="61" t="n"/>
      <c r="J140" s="61" t="n"/>
      <c r="K140" s="61" t="n"/>
    </row>
    <row r="141" ht="12.75" customHeight="1" s="90">
      <c r="A141" s="60" t="n"/>
      <c r="B141" s="61" t="n"/>
      <c r="C141" s="61" t="n"/>
      <c r="D141" s="61" t="n"/>
      <c r="E141" s="61" t="n"/>
      <c r="F141" s="62" t="n"/>
      <c r="G141" s="61" t="n"/>
      <c r="H141" s="61" t="n"/>
      <c r="I141" s="61" t="n"/>
      <c r="J141" s="61" t="n"/>
      <c r="K141" s="61" t="n"/>
    </row>
    <row r="142" ht="12.75" customHeight="1" s="90">
      <c r="A142" s="60" t="n"/>
      <c r="B142" s="61" t="n"/>
      <c r="C142" s="61" t="n"/>
      <c r="D142" s="61" t="n"/>
      <c r="E142" s="61" t="n"/>
      <c r="F142" s="62" t="n"/>
      <c r="G142" s="61" t="n"/>
      <c r="H142" s="61" t="n"/>
      <c r="I142" s="61" t="n"/>
      <c r="J142" s="61" t="n"/>
      <c r="K142" s="61" t="n"/>
    </row>
    <row r="143" ht="12.75" customHeight="1" s="90">
      <c r="A143" s="60" t="n"/>
      <c r="B143" s="61" t="n"/>
      <c r="C143" s="61" t="n"/>
      <c r="D143" s="61" t="n"/>
      <c r="E143" s="61" t="n"/>
      <c r="F143" s="62" t="n"/>
      <c r="G143" s="61" t="n"/>
      <c r="H143" s="61" t="n"/>
      <c r="I143" s="61" t="n"/>
      <c r="J143" s="61" t="n"/>
      <c r="K143" s="61" t="n"/>
    </row>
    <row r="144" ht="12.75" customHeight="1" s="90">
      <c r="A144" s="60" t="n"/>
      <c r="B144" s="61" t="n"/>
      <c r="C144" s="61" t="n"/>
      <c r="D144" s="61" t="n"/>
      <c r="E144" s="61" t="n"/>
      <c r="F144" s="62" t="n"/>
      <c r="G144" s="61" t="n"/>
      <c r="H144" s="61" t="n"/>
      <c r="I144" s="61" t="n"/>
      <c r="J144" s="61" t="n"/>
      <c r="K144" s="61" t="n"/>
    </row>
    <row r="145" ht="12.75" customHeight="1" s="90">
      <c r="A145" s="60" t="n"/>
      <c r="B145" s="61" t="n"/>
      <c r="C145" s="61" t="n"/>
      <c r="D145" s="61" t="n"/>
      <c r="E145" s="61" t="n"/>
      <c r="F145" s="62" t="n"/>
      <c r="G145" s="61" t="n"/>
      <c r="H145" s="61" t="n"/>
      <c r="I145" s="61" t="n"/>
      <c r="J145" s="61" t="n"/>
      <c r="K145" s="61" t="n"/>
    </row>
    <row r="146" ht="12.75" customHeight="1" s="90">
      <c r="A146" s="60" t="n"/>
      <c r="B146" s="61" t="n"/>
      <c r="C146" s="61" t="n"/>
      <c r="D146" s="61" t="n"/>
      <c r="E146" s="61" t="n"/>
      <c r="F146" s="62" t="n"/>
      <c r="G146" s="61" t="n"/>
      <c r="H146" s="61" t="n"/>
      <c r="I146" s="61" t="n"/>
      <c r="J146" s="61" t="n"/>
      <c r="K146" s="61" t="n"/>
    </row>
    <row r="147" ht="12.75" customHeight="1" s="90">
      <c r="A147" s="60" t="n"/>
      <c r="B147" s="61" t="n"/>
      <c r="C147" s="61" t="n"/>
      <c r="D147" s="61" t="n"/>
      <c r="E147" s="61" t="n"/>
      <c r="F147" s="62" t="n"/>
      <c r="G147" s="61" t="n"/>
      <c r="H147" s="61" t="n"/>
      <c r="I147" s="61" t="n"/>
      <c r="J147" s="61" t="n"/>
      <c r="K147" s="61" t="n"/>
    </row>
    <row r="148" ht="12.75" customHeight="1" s="90">
      <c r="A148" s="60" t="n"/>
      <c r="B148" s="61" t="n"/>
      <c r="C148" s="61" t="n"/>
      <c r="D148" s="61" t="n"/>
      <c r="E148" s="61" t="n"/>
      <c r="F148" s="62" t="n"/>
      <c r="G148" s="61" t="n"/>
      <c r="H148" s="61" t="n"/>
      <c r="I148" s="61" t="n"/>
      <c r="J148" s="61" t="n"/>
      <c r="K148" s="61" t="n"/>
    </row>
    <row r="149" ht="12.75" customHeight="1" s="90">
      <c r="A149" s="60" t="n"/>
      <c r="B149" s="61" t="n"/>
      <c r="C149" s="61" t="n"/>
      <c r="D149" s="61" t="n"/>
      <c r="E149" s="61" t="n"/>
      <c r="F149" s="62" t="n"/>
      <c r="G149" s="61" t="n"/>
      <c r="H149" s="61" t="n"/>
      <c r="I149" s="61" t="n"/>
      <c r="J149" s="61" t="n"/>
      <c r="K149" s="61" t="n"/>
    </row>
    <row r="150" ht="12.75" customHeight="1" s="90">
      <c r="A150" s="60" t="n"/>
      <c r="B150" s="61" t="n"/>
      <c r="C150" s="61" t="n"/>
      <c r="D150" s="61" t="n"/>
      <c r="E150" s="61" t="n"/>
      <c r="F150" s="62" t="n"/>
      <c r="G150" s="61" t="n"/>
      <c r="H150" s="61" t="n"/>
      <c r="I150" s="61" t="n"/>
      <c r="J150" s="61" t="n"/>
      <c r="K150" s="61" t="n"/>
    </row>
    <row r="151" ht="12.75" customHeight="1" s="90">
      <c r="A151" s="60" t="n"/>
      <c r="B151" s="61" t="n"/>
      <c r="C151" s="61" t="n"/>
      <c r="D151" s="61" t="n"/>
      <c r="E151" s="61" t="n"/>
      <c r="F151" s="62" t="n"/>
      <c r="G151" s="61" t="n"/>
      <c r="H151" s="61" t="n"/>
      <c r="I151" s="61" t="n"/>
      <c r="J151" s="61" t="n"/>
      <c r="K151" s="61" t="n"/>
    </row>
    <row r="152" ht="12.75" customHeight="1" s="90">
      <c r="A152" s="60" t="n"/>
      <c r="B152" s="61" t="n"/>
      <c r="C152" s="61" t="n"/>
      <c r="D152" s="61" t="n"/>
      <c r="E152" s="61" t="n"/>
      <c r="F152" s="62" t="n"/>
      <c r="G152" s="61" t="n"/>
      <c r="H152" s="61" t="n"/>
      <c r="I152" s="61" t="n"/>
      <c r="J152" s="61" t="n"/>
      <c r="K152" s="61" t="n"/>
    </row>
    <row r="153" ht="12.75" customHeight="1" s="90">
      <c r="A153" s="60" t="n"/>
      <c r="B153" s="61" t="n"/>
      <c r="C153" s="61" t="n"/>
      <c r="D153" s="61" t="n"/>
      <c r="E153" s="61" t="n"/>
      <c r="F153" s="62" t="n"/>
      <c r="G153" s="61" t="n"/>
      <c r="H153" s="61" t="n"/>
      <c r="I153" s="61" t="n"/>
      <c r="J153" s="61" t="n"/>
      <c r="K153" s="61" t="n"/>
    </row>
    <row r="154" ht="12.75" customHeight="1" s="90">
      <c r="A154" s="60" t="n"/>
      <c r="B154" s="61" t="n"/>
      <c r="C154" s="61" t="n"/>
      <c r="D154" s="61" t="n"/>
      <c r="E154" s="61" t="n"/>
      <c r="F154" s="62" t="n"/>
      <c r="G154" s="61" t="n"/>
      <c r="H154" s="61" t="n"/>
      <c r="I154" s="61" t="n"/>
      <c r="J154" s="61" t="n"/>
      <c r="K154" s="61" t="n"/>
    </row>
    <row r="155" ht="12.75" customHeight="1" s="90">
      <c r="A155" s="60" t="n"/>
      <c r="B155" s="61" t="n"/>
      <c r="C155" s="61" t="n"/>
      <c r="D155" s="61" t="n"/>
      <c r="E155" s="61" t="n"/>
      <c r="F155" s="62" t="n"/>
      <c r="G155" s="61" t="n"/>
      <c r="H155" s="61" t="n"/>
      <c r="I155" s="61" t="n"/>
      <c r="J155" s="61" t="n"/>
      <c r="K155" s="61" t="n"/>
    </row>
    <row r="156" ht="12.75" customHeight="1" s="90">
      <c r="A156" s="60" t="n"/>
      <c r="B156" s="61" t="n"/>
      <c r="C156" s="61" t="n"/>
      <c r="D156" s="61" t="n"/>
      <c r="E156" s="61" t="n"/>
      <c r="F156" s="62" t="n"/>
      <c r="G156" s="61" t="n"/>
      <c r="H156" s="61" t="n"/>
      <c r="I156" s="61" t="n"/>
      <c r="J156" s="61" t="n"/>
      <c r="K156" s="61" t="n"/>
    </row>
    <row r="157" ht="12.75" customHeight="1" s="90">
      <c r="A157" s="60" t="n"/>
      <c r="B157" s="61" t="n"/>
      <c r="C157" s="61" t="n"/>
      <c r="D157" s="61" t="n"/>
      <c r="E157" s="61" t="n"/>
      <c r="F157" s="62" t="n"/>
      <c r="G157" s="61" t="n"/>
      <c r="H157" s="61" t="n"/>
      <c r="I157" s="61" t="n"/>
      <c r="J157" s="61" t="n"/>
      <c r="K157" s="61" t="n"/>
    </row>
    <row r="158" ht="12.75" customHeight="1" s="90">
      <c r="A158" s="60" t="n"/>
      <c r="B158" s="61" t="n"/>
      <c r="C158" s="61" t="n"/>
      <c r="D158" s="61" t="n"/>
      <c r="E158" s="61" t="n"/>
      <c r="F158" s="62" t="n"/>
      <c r="G158" s="61" t="n"/>
      <c r="H158" s="61" t="n"/>
      <c r="I158" s="61" t="n"/>
      <c r="J158" s="61" t="n"/>
      <c r="K158" s="61" t="n"/>
    </row>
    <row r="159" ht="12.75" customHeight="1" s="90">
      <c r="A159" s="60" t="n"/>
      <c r="B159" s="61" t="n"/>
      <c r="C159" s="61" t="n"/>
      <c r="D159" s="61" t="n"/>
      <c r="E159" s="61" t="n"/>
      <c r="F159" s="62" t="n"/>
      <c r="G159" s="61" t="n"/>
      <c r="H159" s="61" t="n"/>
      <c r="I159" s="61" t="n"/>
      <c r="J159" s="61" t="n"/>
      <c r="K159" s="61" t="n"/>
    </row>
    <row r="160" ht="12.75" customHeight="1" s="90">
      <c r="A160" s="60" t="n"/>
      <c r="B160" s="61" t="n"/>
      <c r="C160" s="61" t="n"/>
      <c r="D160" s="61" t="n"/>
      <c r="E160" s="61" t="n"/>
      <c r="F160" s="62" t="n"/>
      <c r="G160" s="61" t="n"/>
      <c r="H160" s="61" t="n"/>
      <c r="I160" s="61" t="n"/>
      <c r="J160" s="61" t="n"/>
      <c r="K160" s="61" t="n"/>
    </row>
    <row r="161" ht="12.75" customHeight="1" s="90">
      <c r="A161" s="60" t="n"/>
      <c r="B161" s="61" t="n"/>
      <c r="C161" s="61" t="n"/>
      <c r="D161" s="61" t="n"/>
      <c r="E161" s="61" t="n"/>
      <c r="F161" s="62" t="n"/>
      <c r="G161" s="61" t="n"/>
      <c r="H161" s="61" t="n"/>
      <c r="I161" s="61" t="n"/>
      <c r="J161" s="61" t="n"/>
      <c r="K161" s="61" t="n"/>
    </row>
    <row r="162" ht="12.75" customHeight="1" s="90">
      <c r="A162" s="60" t="n"/>
      <c r="B162" s="61" t="n"/>
      <c r="C162" s="61" t="n"/>
      <c r="D162" s="61" t="n"/>
      <c r="E162" s="61" t="n"/>
      <c r="F162" s="62" t="n"/>
      <c r="G162" s="61" t="n"/>
      <c r="H162" s="61" t="n"/>
      <c r="I162" s="61" t="n"/>
      <c r="J162" s="61" t="n"/>
      <c r="K162" s="61" t="n"/>
    </row>
    <row r="163" ht="12.75" customHeight="1" s="90">
      <c r="A163" s="60" t="n"/>
      <c r="B163" s="61" t="n"/>
      <c r="C163" s="61" t="n"/>
      <c r="D163" s="61" t="n"/>
      <c r="E163" s="61" t="n"/>
      <c r="F163" s="62" t="n"/>
      <c r="G163" s="61" t="n"/>
      <c r="H163" s="61" t="n"/>
      <c r="I163" s="61" t="n"/>
      <c r="J163" s="61" t="n"/>
      <c r="K163" s="61" t="n"/>
    </row>
    <row r="164" ht="12.75" customHeight="1" s="90">
      <c r="A164" s="60" t="n"/>
      <c r="B164" s="61" t="n"/>
      <c r="C164" s="61" t="n"/>
      <c r="D164" s="61" t="n"/>
      <c r="E164" s="61" t="n"/>
      <c r="F164" s="62" t="n"/>
      <c r="G164" s="61" t="n"/>
      <c r="H164" s="61" t="n"/>
      <c r="I164" s="61" t="n"/>
      <c r="J164" s="61" t="n"/>
      <c r="K164" s="61" t="n"/>
    </row>
    <row r="165" ht="12.75" customHeight="1" s="90">
      <c r="A165" s="60" t="n"/>
      <c r="B165" s="61" t="n"/>
      <c r="C165" s="61" t="n"/>
      <c r="D165" s="61" t="n"/>
      <c r="E165" s="61" t="n"/>
      <c r="F165" s="62" t="n"/>
      <c r="G165" s="61" t="n"/>
      <c r="H165" s="61" t="n"/>
      <c r="I165" s="61" t="n"/>
      <c r="J165" s="61" t="n"/>
      <c r="K165" s="61" t="n"/>
    </row>
    <row r="166" ht="12.75" customHeight="1" s="90">
      <c r="A166" s="60" t="n"/>
      <c r="B166" s="61" t="n"/>
      <c r="C166" s="61" t="n"/>
      <c r="D166" s="61" t="n"/>
      <c r="E166" s="61" t="n"/>
      <c r="F166" s="62" t="n"/>
      <c r="G166" s="61" t="n"/>
      <c r="H166" s="61" t="n"/>
      <c r="I166" s="61" t="n"/>
      <c r="J166" s="61" t="n"/>
      <c r="K166" s="61" t="n"/>
    </row>
    <row r="167" ht="12.75" customHeight="1" s="90">
      <c r="A167" s="60" t="n"/>
      <c r="B167" s="61" t="n"/>
      <c r="C167" s="61" t="n"/>
      <c r="D167" s="61" t="n"/>
      <c r="E167" s="61" t="n"/>
      <c r="F167" s="62" t="n"/>
      <c r="G167" s="61" t="n"/>
      <c r="H167" s="61" t="n"/>
      <c r="I167" s="61" t="n"/>
      <c r="J167" s="61" t="n"/>
      <c r="K167" s="61" t="n"/>
    </row>
    <row r="168" ht="12.75" customHeight="1" s="90">
      <c r="A168" s="60" t="n"/>
      <c r="B168" s="61" t="n"/>
      <c r="C168" s="61" t="n"/>
      <c r="D168" s="61" t="n"/>
      <c r="E168" s="61" t="n"/>
      <c r="F168" s="62" t="n"/>
      <c r="G168" s="61" t="n"/>
      <c r="H168" s="61" t="n"/>
      <c r="I168" s="61" t="n"/>
      <c r="J168" s="61" t="n"/>
      <c r="K168" s="61" t="n"/>
    </row>
    <row r="169" ht="12.75" customHeight="1" s="90">
      <c r="A169" s="60" t="n"/>
      <c r="B169" s="61" t="n"/>
      <c r="C169" s="61" t="n"/>
      <c r="D169" s="61" t="n"/>
      <c r="E169" s="61" t="n"/>
      <c r="F169" s="62" t="n"/>
      <c r="G169" s="61" t="n"/>
      <c r="H169" s="61" t="n"/>
      <c r="I169" s="61" t="n"/>
      <c r="J169" s="61" t="n"/>
      <c r="K169" s="61" t="n"/>
    </row>
    <row r="170" ht="12.75" customHeight="1" s="90">
      <c r="A170" s="60" t="n"/>
      <c r="B170" s="61" t="n"/>
      <c r="C170" s="61" t="n"/>
      <c r="D170" s="61" t="n"/>
      <c r="E170" s="61" t="n"/>
      <c r="F170" s="62" t="n"/>
      <c r="G170" s="61" t="n"/>
      <c r="H170" s="61" t="n"/>
      <c r="I170" s="61" t="n"/>
      <c r="J170" s="61" t="n"/>
      <c r="K170" s="61" t="n"/>
    </row>
    <row r="171" ht="12.75" customHeight="1" s="90">
      <c r="A171" s="60" t="n"/>
      <c r="B171" s="61" t="n"/>
      <c r="C171" s="61" t="n"/>
      <c r="D171" s="61" t="n"/>
      <c r="E171" s="61" t="n"/>
      <c r="F171" s="62" t="n"/>
      <c r="G171" s="61" t="n"/>
      <c r="H171" s="61" t="n"/>
      <c r="I171" s="61" t="n"/>
      <c r="J171" s="61" t="n"/>
      <c r="K171" s="61" t="n"/>
    </row>
    <row r="172" ht="12.75" customHeight="1" s="90">
      <c r="A172" s="60" t="n"/>
      <c r="B172" s="61" t="n"/>
      <c r="C172" s="61" t="n"/>
      <c r="D172" s="61" t="n"/>
      <c r="E172" s="61" t="n"/>
      <c r="F172" s="62" t="n"/>
      <c r="G172" s="61" t="n"/>
      <c r="H172" s="61" t="n"/>
      <c r="I172" s="61" t="n"/>
      <c r="J172" s="61" t="n"/>
      <c r="K172" s="61" t="n"/>
    </row>
    <row r="173" ht="12.75" customHeight="1" s="90">
      <c r="A173" s="60" t="n"/>
      <c r="B173" s="61" t="n"/>
      <c r="C173" s="61" t="n"/>
      <c r="D173" s="61" t="n"/>
      <c r="E173" s="61" t="n"/>
      <c r="F173" s="62" t="n"/>
      <c r="G173" s="61" t="n"/>
      <c r="H173" s="61" t="n"/>
      <c r="I173" s="61" t="n"/>
      <c r="J173" s="61" t="n"/>
      <c r="K173" s="61" t="n"/>
    </row>
    <row r="174" ht="12.75" customHeight="1" s="90">
      <c r="A174" s="60" t="n"/>
      <c r="B174" s="61" t="n"/>
      <c r="C174" s="61" t="n"/>
      <c r="D174" s="61" t="n"/>
      <c r="E174" s="61" t="n"/>
      <c r="F174" s="62" t="n"/>
      <c r="G174" s="61" t="n"/>
      <c r="H174" s="61" t="n"/>
      <c r="I174" s="61" t="n"/>
      <c r="J174" s="61" t="n"/>
      <c r="K174" s="61" t="n"/>
    </row>
    <row r="175" ht="12.75" customHeight="1" s="90">
      <c r="A175" s="60" t="n"/>
      <c r="B175" s="61" t="n"/>
      <c r="C175" s="61" t="n"/>
      <c r="D175" s="61" t="n"/>
      <c r="E175" s="61" t="n"/>
      <c r="F175" s="62" t="n"/>
      <c r="G175" s="61" t="n"/>
      <c r="H175" s="61" t="n"/>
      <c r="I175" s="61" t="n"/>
      <c r="J175" s="61" t="n"/>
      <c r="K175" s="61" t="n"/>
    </row>
    <row r="176" ht="12.75" customHeight="1" s="90">
      <c r="A176" s="60" t="n"/>
      <c r="B176" s="61" t="n"/>
      <c r="C176" s="61" t="n"/>
      <c r="D176" s="61" t="n"/>
      <c r="E176" s="61" t="n"/>
      <c r="F176" s="62" t="n"/>
      <c r="G176" s="61" t="n"/>
      <c r="H176" s="61" t="n"/>
      <c r="I176" s="61" t="n"/>
      <c r="J176" s="61" t="n"/>
      <c r="K176" s="61" t="n"/>
    </row>
    <row r="177" ht="12.75" customHeight="1" s="90">
      <c r="A177" s="60" t="n"/>
      <c r="B177" s="61" t="n"/>
      <c r="C177" s="61" t="n"/>
      <c r="D177" s="61" t="n"/>
      <c r="E177" s="61" t="n"/>
      <c r="F177" s="62" t="n"/>
      <c r="G177" s="61" t="n"/>
      <c r="H177" s="61" t="n"/>
      <c r="I177" s="61" t="n"/>
      <c r="J177" s="61" t="n"/>
      <c r="K177" s="61" t="n"/>
    </row>
    <row r="178" ht="12.75" customHeight="1" s="90">
      <c r="A178" s="60" t="n"/>
      <c r="B178" s="61" t="n"/>
      <c r="C178" s="61" t="n"/>
      <c r="D178" s="61" t="n"/>
      <c r="E178" s="61" t="n"/>
      <c r="F178" s="62" t="n"/>
      <c r="G178" s="61" t="n"/>
      <c r="H178" s="61" t="n"/>
      <c r="I178" s="61" t="n"/>
      <c r="J178" s="61" t="n"/>
      <c r="K178" s="61" t="n"/>
    </row>
    <row r="179" ht="12.75" customHeight="1" s="90">
      <c r="A179" s="60" t="n"/>
      <c r="B179" s="61" t="n"/>
      <c r="C179" s="61" t="n"/>
      <c r="D179" s="61" t="n"/>
      <c r="E179" s="61" t="n"/>
      <c r="F179" s="62" t="n"/>
      <c r="G179" s="61" t="n"/>
      <c r="H179" s="61" t="n"/>
      <c r="I179" s="61" t="n"/>
      <c r="J179" s="61" t="n"/>
      <c r="K179" s="61" t="n"/>
    </row>
    <row r="180" ht="12.75" customHeight="1" s="90">
      <c r="A180" s="60" t="n"/>
      <c r="B180" s="61" t="n"/>
      <c r="C180" s="61" t="n"/>
      <c r="D180" s="61" t="n"/>
      <c r="E180" s="61" t="n"/>
      <c r="F180" s="62" t="n"/>
      <c r="G180" s="61" t="n"/>
      <c r="H180" s="61" t="n"/>
      <c r="I180" s="61" t="n"/>
      <c r="J180" s="61" t="n"/>
      <c r="K180" s="61" t="n"/>
    </row>
    <row r="181" ht="12.75" customHeight="1" s="90">
      <c r="A181" s="60" t="n"/>
      <c r="B181" s="61" t="n"/>
      <c r="C181" s="61" t="n"/>
      <c r="D181" s="61" t="n"/>
      <c r="E181" s="61" t="n"/>
      <c r="F181" s="62" t="n"/>
      <c r="G181" s="61" t="n"/>
      <c r="H181" s="61" t="n"/>
      <c r="I181" s="61" t="n"/>
      <c r="J181" s="61" t="n"/>
      <c r="K181" s="61" t="n"/>
    </row>
    <row r="182" ht="12.75" customHeight="1" s="90">
      <c r="A182" s="60" t="n"/>
      <c r="B182" s="61" t="n"/>
      <c r="C182" s="61" t="n"/>
      <c r="D182" s="61" t="n"/>
      <c r="E182" s="61" t="n"/>
      <c r="F182" s="62" t="n"/>
      <c r="G182" s="61" t="n"/>
      <c r="H182" s="61" t="n"/>
      <c r="I182" s="61" t="n"/>
      <c r="J182" s="61" t="n"/>
      <c r="K182" s="61" t="n"/>
    </row>
    <row r="183" ht="12.75" customHeight="1" s="90">
      <c r="A183" s="60" t="n"/>
      <c r="B183" s="61" t="n"/>
      <c r="C183" s="61" t="n"/>
      <c r="D183" s="61" t="n"/>
      <c r="E183" s="61" t="n"/>
      <c r="F183" s="62" t="n"/>
      <c r="G183" s="61" t="n"/>
      <c r="H183" s="61" t="n"/>
      <c r="I183" s="61" t="n"/>
      <c r="J183" s="61" t="n"/>
      <c r="K183" s="61" t="n"/>
    </row>
    <row r="184" ht="12.75" customHeight="1" s="90">
      <c r="A184" s="60" t="n"/>
      <c r="B184" s="61" t="n"/>
      <c r="C184" s="61" t="n"/>
      <c r="D184" s="61" t="n"/>
      <c r="E184" s="61" t="n"/>
      <c r="F184" s="62" t="n"/>
      <c r="G184" s="61" t="n"/>
      <c r="H184" s="61" t="n"/>
      <c r="I184" s="61" t="n"/>
      <c r="J184" s="61" t="n"/>
      <c r="K184" s="61" t="n"/>
    </row>
    <row r="185" ht="12.75" customHeight="1" s="90">
      <c r="A185" s="60" t="n"/>
      <c r="B185" s="61" t="n"/>
      <c r="C185" s="61" t="n"/>
      <c r="D185" s="61" t="n"/>
      <c r="E185" s="61" t="n"/>
      <c r="F185" s="62" t="n"/>
      <c r="G185" s="61" t="n"/>
      <c r="H185" s="61" t="n"/>
      <c r="I185" s="61" t="n"/>
      <c r="J185" s="61" t="n"/>
      <c r="K185" s="61" t="n"/>
    </row>
    <row r="186" ht="12.75" customHeight="1" s="90">
      <c r="A186" s="60" t="n"/>
      <c r="B186" s="61" t="n"/>
      <c r="C186" s="61" t="n"/>
      <c r="D186" s="61" t="n"/>
      <c r="E186" s="61" t="n"/>
      <c r="F186" s="62" t="n"/>
      <c r="G186" s="61" t="n"/>
      <c r="H186" s="61" t="n"/>
      <c r="I186" s="61" t="n"/>
      <c r="J186" s="61" t="n"/>
      <c r="K186" s="61" t="n"/>
    </row>
    <row r="187" ht="12.75" customHeight="1" s="90">
      <c r="A187" s="60" t="n"/>
      <c r="B187" s="61" t="n"/>
      <c r="C187" s="61" t="n"/>
      <c r="D187" s="61" t="n"/>
      <c r="E187" s="61" t="n"/>
      <c r="F187" s="62" t="n"/>
      <c r="G187" s="61" t="n"/>
      <c r="H187" s="61" t="n"/>
      <c r="I187" s="61" t="n"/>
      <c r="J187" s="61" t="n"/>
      <c r="K187" s="61" t="n"/>
    </row>
    <row r="188" ht="12.75" customHeight="1" s="90">
      <c r="A188" s="60" t="n"/>
      <c r="B188" s="61" t="n"/>
      <c r="C188" s="61" t="n"/>
      <c r="D188" s="61" t="n"/>
      <c r="E188" s="61" t="n"/>
      <c r="F188" s="62" t="n"/>
      <c r="G188" s="61" t="n"/>
      <c r="H188" s="61" t="n"/>
      <c r="I188" s="61" t="n"/>
      <c r="J188" s="61" t="n"/>
      <c r="K188" s="61" t="n"/>
    </row>
    <row r="189" ht="12.75" customHeight="1" s="90">
      <c r="A189" s="60" t="n"/>
      <c r="B189" s="61" t="n"/>
      <c r="C189" s="61" t="n"/>
      <c r="D189" s="61" t="n"/>
      <c r="E189" s="61" t="n"/>
      <c r="F189" s="62" t="n"/>
      <c r="G189" s="61" t="n"/>
      <c r="H189" s="61" t="n"/>
      <c r="I189" s="61" t="n"/>
      <c r="J189" s="61" t="n"/>
      <c r="K189" s="61" t="n"/>
    </row>
    <row r="190" ht="12.75" customHeight="1" s="90">
      <c r="A190" s="60" t="n"/>
      <c r="B190" s="61" t="n"/>
      <c r="C190" s="61" t="n"/>
      <c r="D190" s="61" t="n"/>
      <c r="E190" s="61" t="n"/>
      <c r="F190" s="62" t="n"/>
      <c r="G190" s="61" t="n"/>
      <c r="H190" s="61" t="n"/>
      <c r="I190" s="61" t="n"/>
      <c r="J190" s="61" t="n"/>
      <c r="K190" s="61" t="n"/>
    </row>
    <row r="191" ht="12.75" customHeight="1" s="90">
      <c r="A191" s="60" t="n"/>
      <c r="B191" s="61" t="n"/>
      <c r="C191" s="61" t="n"/>
      <c r="D191" s="61" t="n"/>
      <c r="E191" s="61" t="n"/>
      <c r="F191" s="62" t="n"/>
      <c r="G191" s="61" t="n"/>
      <c r="H191" s="61" t="n"/>
      <c r="I191" s="61" t="n"/>
      <c r="J191" s="61" t="n"/>
      <c r="K191" s="61" t="n"/>
    </row>
    <row r="192" ht="12.75" customHeight="1" s="90">
      <c r="A192" s="60" t="n"/>
      <c r="B192" s="61" t="n"/>
      <c r="C192" s="61" t="n"/>
      <c r="D192" s="61" t="n"/>
      <c r="E192" s="61" t="n"/>
      <c r="F192" s="62" t="n"/>
      <c r="G192" s="61" t="n"/>
      <c r="H192" s="61" t="n"/>
      <c r="I192" s="61" t="n"/>
      <c r="J192" s="61" t="n"/>
      <c r="K192" s="61" t="n"/>
    </row>
    <row r="193" ht="12.75" customHeight="1" s="90">
      <c r="A193" s="60" t="n"/>
      <c r="B193" s="61" t="n"/>
      <c r="C193" s="61" t="n"/>
      <c r="D193" s="61" t="n"/>
      <c r="E193" s="61" t="n"/>
      <c r="F193" s="62" t="n"/>
      <c r="G193" s="61" t="n"/>
      <c r="H193" s="61" t="n"/>
      <c r="I193" s="61" t="n"/>
      <c r="J193" s="61" t="n"/>
      <c r="K193" s="61" t="n"/>
    </row>
    <row r="194" ht="12.75" customHeight="1" s="90">
      <c r="A194" s="60" t="n"/>
      <c r="B194" s="61" t="n"/>
      <c r="C194" s="61" t="n"/>
      <c r="D194" s="61" t="n"/>
      <c r="E194" s="61" t="n"/>
      <c r="F194" s="62" t="n"/>
      <c r="G194" s="61" t="n"/>
      <c r="H194" s="61" t="n"/>
      <c r="I194" s="61" t="n"/>
      <c r="J194" s="61" t="n"/>
      <c r="K194" s="61" t="n"/>
    </row>
    <row r="195" ht="12.75" customHeight="1" s="90">
      <c r="A195" s="60" t="n"/>
      <c r="B195" s="61" t="n"/>
      <c r="C195" s="61" t="n"/>
      <c r="D195" s="61" t="n"/>
      <c r="E195" s="61" t="n"/>
      <c r="F195" s="62" t="n"/>
      <c r="G195" s="61" t="n"/>
      <c r="H195" s="61" t="n"/>
      <c r="I195" s="61" t="n"/>
      <c r="J195" s="61" t="n"/>
      <c r="K195" s="61" t="n"/>
    </row>
    <row r="196" ht="12.75" customHeight="1" s="90">
      <c r="A196" s="60" t="n"/>
      <c r="B196" s="61" t="n"/>
      <c r="C196" s="61" t="n"/>
      <c r="D196" s="61" t="n"/>
      <c r="E196" s="61" t="n"/>
      <c r="F196" s="62" t="n"/>
      <c r="G196" s="61" t="n"/>
      <c r="H196" s="61" t="n"/>
      <c r="I196" s="61" t="n"/>
      <c r="J196" s="61" t="n"/>
      <c r="K196" s="61" t="n"/>
    </row>
    <row r="197" ht="12.75" customHeight="1" s="90">
      <c r="A197" s="60" t="n"/>
      <c r="B197" s="61" t="n"/>
      <c r="C197" s="61" t="n"/>
      <c r="D197" s="61" t="n"/>
      <c r="E197" s="61" t="n"/>
      <c r="F197" s="62" t="n"/>
      <c r="G197" s="61" t="n"/>
      <c r="H197" s="61" t="n"/>
      <c r="I197" s="61" t="n"/>
      <c r="J197" s="61" t="n"/>
      <c r="K197" s="61" t="n"/>
    </row>
    <row r="198" ht="12.75" customHeight="1" s="90">
      <c r="A198" s="60" t="n"/>
      <c r="B198" s="61" t="n"/>
      <c r="C198" s="61" t="n"/>
      <c r="D198" s="61" t="n"/>
      <c r="E198" s="61" t="n"/>
      <c r="F198" s="62" t="n"/>
      <c r="G198" s="61" t="n"/>
      <c r="H198" s="61" t="n"/>
      <c r="I198" s="61" t="n"/>
      <c r="J198" s="61" t="n"/>
      <c r="K198" s="61" t="n"/>
    </row>
    <row r="199" ht="12.75" customHeight="1" s="90">
      <c r="A199" s="60" t="n"/>
      <c r="B199" s="61" t="n"/>
      <c r="C199" s="61" t="n"/>
      <c r="D199" s="61" t="n"/>
      <c r="E199" s="61" t="n"/>
      <c r="F199" s="62" t="n"/>
      <c r="G199" s="61" t="n"/>
      <c r="H199" s="61" t="n"/>
      <c r="I199" s="61" t="n"/>
      <c r="J199" s="61" t="n"/>
      <c r="K199" s="61" t="n"/>
    </row>
    <row r="200" ht="12.75" customHeight="1" s="90">
      <c r="A200" s="60" t="n"/>
      <c r="B200" s="61" t="n"/>
      <c r="C200" s="61" t="n"/>
      <c r="D200" s="61" t="n"/>
      <c r="E200" s="61" t="n"/>
      <c r="F200" s="62" t="n"/>
      <c r="G200" s="61" t="n"/>
      <c r="H200" s="61" t="n"/>
      <c r="I200" s="61" t="n"/>
      <c r="J200" s="61" t="n"/>
      <c r="K200" s="61" t="n"/>
    </row>
    <row r="201" ht="12.75" customHeight="1" s="90">
      <c r="A201" s="60" t="n"/>
      <c r="B201" s="61" t="n"/>
      <c r="C201" s="61" t="n"/>
      <c r="D201" s="61" t="n"/>
      <c r="E201" s="61" t="n"/>
      <c r="F201" s="62" t="n"/>
      <c r="G201" s="61" t="n"/>
      <c r="H201" s="61" t="n"/>
      <c r="I201" s="61" t="n"/>
      <c r="J201" s="61" t="n"/>
      <c r="K201" s="61" t="n"/>
    </row>
    <row r="202" ht="12.75" customHeight="1" s="90">
      <c r="A202" s="60" t="n"/>
      <c r="B202" s="61" t="n"/>
      <c r="C202" s="61" t="n"/>
      <c r="D202" s="61" t="n"/>
      <c r="E202" s="61" t="n"/>
      <c r="F202" s="62" t="n"/>
      <c r="G202" s="61" t="n"/>
      <c r="H202" s="61" t="n"/>
      <c r="I202" s="61" t="n"/>
      <c r="J202" s="61" t="n"/>
      <c r="K202" s="61" t="n"/>
    </row>
    <row r="203" ht="12.75" customHeight="1" s="90">
      <c r="A203" s="60" t="n"/>
      <c r="B203" s="61" t="n"/>
      <c r="C203" s="61" t="n"/>
      <c r="D203" s="61" t="n"/>
      <c r="E203" s="61" t="n"/>
      <c r="F203" s="62" t="n"/>
      <c r="G203" s="61" t="n"/>
      <c r="H203" s="61" t="n"/>
      <c r="I203" s="61" t="n"/>
      <c r="J203" s="61" t="n"/>
      <c r="K203" s="61" t="n"/>
    </row>
    <row r="204" ht="12.75" customHeight="1" s="90">
      <c r="A204" s="60" t="n"/>
      <c r="B204" s="61" t="n"/>
      <c r="C204" s="61" t="n"/>
      <c r="D204" s="61" t="n"/>
      <c r="E204" s="61" t="n"/>
      <c r="F204" s="62" t="n"/>
      <c r="G204" s="61" t="n"/>
      <c r="H204" s="61" t="n"/>
      <c r="I204" s="61" t="n"/>
      <c r="J204" s="61" t="n"/>
      <c r="K204" s="61" t="n"/>
    </row>
    <row r="205" ht="12.75" customHeight="1" s="90">
      <c r="A205" s="60" t="n"/>
      <c r="B205" s="61" t="n"/>
      <c r="C205" s="61" t="n"/>
      <c r="D205" s="61" t="n"/>
      <c r="E205" s="61" t="n"/>
      <c r="F205" s="62" t="n"/>
      <c r="G205" s="61" t="n"/>
      <c r="H205" s="61" t="n"/>
      <c r="I205" s="61" t="n"/>
      <c r="J205" s="61" t="n"/>
      <c r="K205" s="61" t="n"/>
    </row>
    <row r="206" ht="12.75" customHeight="1" s="90">
      <c r="A206" s="60" t="n"/>
      <c r="B206" s="61" t="n"/>
      <c r="C206" s="61" t="n"/>
      <c r="D206" s="61" t="n"/>
      <c r="E206" s="61" t="n"/>
      <c r="F206" s="62" t="n"/>
      <c r="G206" s="61" t="n"/>
      <c r="H206" s="61" t="n"/>
      <c r="I206" s="61" t="n"/>
      <c r="J206" s="61" t="n"/>
      <c r="K206" s="61" t="n"/>
    </row>
    <row r="207" ht="12.75" customHeight="1" s="90">
      <c r="A207" s="60" t="n"/>
      <c r="B207" s="61" t="n"/>
      <c r="C207" s="61" t="n"/>
      <c r="D207" s="61" t="n"/>
      <c r="E207" s="61" t="n"/>
      <c r="F207" s="62" t="n"/>
      <c r="G207" s="61" t="n"/>
      <c r="H207" s="61" t="n"/>
      <c r="I207" s="61" t="n"/>
      <c r="J207" s="61" t="n"/>
      <c r="K207" s="61" t="n"/>
    </row>
    <row r="208" ht="12.75" customHeight="1" s="90">
      <c r="A208" s="60" t="n"/>
      <c r="B208" s="61" t="n"/>
      <c r="C208" s="61" t="n"/>
      <c r="D208" s="61" t="n"/>
      <c r="E208" s="61" t="n"/>
      <c r="F208" s="62" t="n"/>
      <c r="G208" s="61" t="n"/>
      <c r="H208" s="61" t="n"/>
      <c r="I208" s="61" t="n"/>
      <c r="J208" s="61" t="n"/>
      <c r="K208" s="61" t="n"/>
    </row>
    <row r="209" ht="12.75" customHeight="1" s="90">
      <c r="A209" s="60" t="n"/>
      <c r="B209" s="61" t="n"/>
      <c r="C209" s="61" t="n"/>
      <c r="D209" s="61" t="n"/>
      <c r="E209" s="61" t="n"/>
      <c r="F209" s="62" t="n"/>
      <c r="G209" s="61" t="n"/>
      <c r="H209" s="61" t="n"/>
      <c r="I209" s="61" t="n"/>
      <c r="J209" s="61" t="n"/>
      <c r="K209" s="61" t="n"/>
    </row>
    <row r="210" ht="12.75" customHeight="1" s="90">
      <c r="A210" s="60" t="n"/>
      <c r="B210" s="61" t="n"/>
      <c r="C210" s="61" t="n"/>
      <c r="D210" s="61" t="n"/>
      <c r="E210" s="61" t="n"/>
      <c r="F210" s="62" t="n"/>
      <c r="G210" s="61" t="n"/>
      <c r="H210" s="61" t="n"/>
      <c r="I210" s="61" t="n"/>
      <c r="J210" s="61" t="n"/>
      <c r="K210" s="61" t="n"/>
    </row>
    <row r="211" ht="12.75" customHeight="1" s="90">
      <c r="A211" s="60" t="n"/>
      <c r="B211" s="61" t="n"/>
      <c r="C211" s="61" t="n"/>
      <c r="D211" s="61" t="n"/>
      <c r="E211" s="61" t="n"/>
      <c r="F211" s="62" t="n"/>
      <c r="G211" s="61" t="n"/>
      <c r="H211" s="61" t="n"/>
      <c r="I211" s="61" t="n"/>
      <c r="J211" s="61" t="n"/>
      <c r="K211" s="61" t="n"/>
    </row>
    <row r="212" ht="12.75" customHeight="1" s="90">
      <c r="A212" s="60" t="n"/>
      <c r="B212" s="61" t="n"/>
      <c r="C212" s="61" t="n"/>
      <c r="D212" s="61" t="n"/>
      <c r="E212" s="61" t="n"/>
      <c r="F212" s="62" t="n"/>
      <c r="G212" s="61" t="n"/>
      <c r="H212" s="61" t="n"/>
      <c r="I212" s="61" t="n"/>
      <c r="J212" s="61" t="n"/>
      <c r="K212" s="61" t="n"/>
    </row>
    <row r="213" ht="12.75" customHeight="1" s="90">
      <c r="A213" s="60" t="n"/>
      <c r="B213" s="61" t="n"/>
      <c r="C213" s="61" t="n"/>
      <c r="D213" s="61" t="n"/>
      <c r="E213" s="61" t="n"/>
      <c r="F213" s="62" t="n"/>
      <c r="G213" s="61" t="n"/>
      <c r="H213" s="61" t="n"/>
      <c r="I213" s="61" t="n"/>
      <c r="J213" s="61" t="n"/>
      <c r="K213" s="61" t="n"/>
    </row>
    <row r="214" ht="12.75" customHeight="1" s="90">
      <c r="A214" s="60" t="n"/>
      <c r="B214" s="61" t="n"/>
      <c r="C214" s="61" t="n"/>
      <c r="D214" s="61" t="n"/>
      <c r="E214" s="61" t="n"/>
      <c r="F214" s="62" t="n"/>
      <c r="G214" s="61" t="n"/>
      <c r="H214" s="61" t="n"/>
      <c r="I214" s="61" t="n"/>
      <c r="J214" s="61" t="n"/>
      <c r="K214" s="61" t="n"/>
    </row>
    <row r="215" ht="12.75" customHeight="1" s="90">
      <c r="A215" s="60" t="n"/>
      <c r="B215" s="61" t="n"/>
      <c r="C215" s="61" t="n"/>
      <c r="D215" s="61" t="n"/>
      <c r="E215" s="61" t="n"/>
      <c r="F215" s="62" t="n"/>
      <c r="G215" s="61" t="n"/>
      <c r="H215" s="61" t="n"/>
      <c r="I215" s="61" t="n"/>
      <c r="J215" s="61" t="n"/>
      <c r="K215" s="61" t="n"/>
    </row>
    <row r="216" ht="12.75" customHeight="1" s="90">
      <c r="A216" s="60" t="n"/>
      <c r="B216" s="61" t="n"/>
      <c r="C216" s="61" t="n"/>
      <c r="D216" s="61" t="n"/>
      <c r="E216" s="61" t="n"/>
      <c r="F216" s="62" t="n"/>
      <c r="G216" s="61" t="n"/>
      <c r="H216" s="61" t="n"/>
      <c r="I216" s="61" t="n"/>
      <c r="J216" s="61" t="n"/>
      <c r="K216" s="61" t="n"/>
    </row>
    <row r="217" ht="12.75" customHeight="1" s="90">
      <c r="A217" s="60" t="n"/>
      <c r="B217" s="61" t="n"/>
      <c r="C217" s="61" t="n"/>
      <c r="D217" s="61" t="n"/>
      <c r="E217" s="61" t="n"/>
      <c r="F217" s="62" t="n"/>
      <c r="G217" s="61" t="n"/>
      <c r="H217" s="61" t="n"/>
      <c r="I217" s="61" t="n"/>
      <c r="J217" s="61" t="n"/>
      <c r="K217" s="61" t="n"/>
    </row>
    <row r="218" ht="12.75" customHeight="1" s="90">
      <c r="A218" s="60" t="n"/>
      <c r="B218" s="61" t="n"/>
      <c r="C218" s="61" t="n"/>
      <c r="D218" s="61" t="n"/>
      <c r="E218" s="61" t="n"/>
      <c r="F218" s="62" t="n"/>
      <c r="G218" s="61" t="n"/>
      <c r="H218" s="61" t="n"/>
      <c r="I218" s="61" t="n"/>
      <c r="J218" s="61" t="n"/>
      <c r="K218" s="61" t="n"/>
    </row>
    <row r="219" ht="12.75" customHeight="1" s="90">
      <c r="A219" s="60" t="n"/>
      <c r="B219" s="61" t="n"/>
      <c r="C219" s="61" t="n"/>
      <c r="D219" s="61" t="n"/>
      <c r="E219" s="61" t="n"/>
      <c r="F219" s="62" t="n"/>
      <c r="G219" s="61" t="n"/>
      <c r="H219" s="61" t="n"/>
      <c r="I219" s="61" t="n"/>
      <c r="J219" s="61" t="n"/>
      <c r="K219" s="61" t="n"/>
    </row>
    <row r="220" ht="12.75" customHeight="1" s="90">
      <c r="A220" s="60" t="n"/>
      <c r="B220" s="61" t="n"/>
      <c r="C220" s="61" t="n"/>
      <c r="D220" s="61" t="n"/>
      <c r="E220" s="61" t="n"/>
      <c r="F220" s="62" t="n"/>
      <c r="G220" s="61" t="n"/>
      <c r="H220" s="61" t="n"/>
      <c r="I220" s="61" t="n"/>
      <c r="J220" s="61" t="n"/>
      <c r="K220" s="61" t="n"/>
    </row>
    <row r="221" ht="12.75" customHeight="1" s="90">
      <c r="A221" s="60" t="n"/>
      <c r="B221" s="61" t="n"/>
      <c r="C221" s="61" t="n"/>
      <c r="D221" s="61" t="n"/>
      <c r="E221" s="61" t="n"/>
      <c r="F221" s="62" t="n"/>
      <c r="G221" s="61" t="n"/>
      <c r="H221" s="61" t="n"/>
      <c r="I221" s="61" t="n"/>
      <c r="J221" s="61" t="n"/>
      <c r="K221" s="61" t="n"/>
    </row>
    <row r="222" ht="12.75" customHeight="1" s="90">
      <c r="A222" s="60" t="n"/>
      <c r="B222" s="61" t="n"/>
      <c r="C222" s="61" t="n"/>
      <c r="D222" s="61" t="n"/>
      <c r="E222" s="61" t="n"/>
      <c r="F222" s="62" t="n"/>
      <c r="G222" s="61" t="n"/>
      <c r="H222" s="61" t="n"/>
      <c r="I222" s="61" t="n"/>
      <c r="J222" s="61" t="n"/>
      <c r="K222" s="61" t="n"/>
    </row>
    <row r="223" ht="12.75" customHeight="1" s="90">
      <c r="A223" s="60" t="n"/>
      <c r="B223" s="61" t="n"/>
      <c r="C223" s="61" t="n"/>
      <c r="D223" s="61" t="n"/>
      <c r="E223" s="61" t="n"/>
      <c r="F223" s="62" t="n"/>
      <c r="G223" s="61" t="n"/>
      <c r="H223" s="61" t="n"/>
      <c r="I223" s="61" t="n"/>
      <c r="J223" s="61" t="n"/>
      <c r="K223" s="61" t="n"/>
    </row>
    <row r="224" ht="12.75" customHeight="1" s="90">
      <c r="A224" s="60" t="n"/>
      <c r="B224" s="61" t="n"/>
      <c r="C224" s="61" t="n"/>
      <c r="D224" s="61" t="n"/>
      <c r="E224" s="61" t="n"/>
      <c r="F224" s="62" t="n"/>
      <c r="G224" s="61" t="n"/>
      <c r="H224" s="61" t="n"/>
      <c r="I224" s="61" t="n"/>
      <c r="J224" s="61" t="n"/>
      <c r="K224" s="61" t="n"/>
    </row>
    <row r="225" ht="12.75" customHeight="1" s="90">
      <c r="A225" s="60" t="n"/>
      <c r="B225" s="61" t="n"/>
      <c r="C225" s="61" t="n"/>
      <c r="D225" s="61" t="n"/>
      <c r="E225" s="61" t="n"/>
      <c r="F225" s="62" t="n"/>
      <c r="G225" s="61" t="n"/>
      <c r="H225" s="61" t="n"/>
      <c r="I225" s="61" t="n"/>
      <c r="J225" s="61" t="n"/>
      <c r="K225" s="61" t="n"/>
    </row>
    <row r="226" ht="12.75" customHeight="1" s="90">
      <c r="A226" s="60" t="n"/>
      <c r="B226" s="61" t="n"/>
      <c r="C226" s="61" t="n"/>
      <c r="D226" s="61" t="n"/>
      <c r="E226" s="61" t="n"/>
      <c r="F226" s="62" t="n"/>
      <c r="G226" s="61" t="n"/>
      <c r="H226" s="61" t="n"/>
      <c r="I226" s="61" t="n"/>
      <c r="J226" s="61" t="n"/>
      <c r="K226" s="61" t="n"/>
    </row>
    <row r="227" ht="12.75" customHeight="1" s="90">
      <c r="A227" s="60" t="n"/>
      <c r="B227" s="61" t="n"/>
      <c r="C227" s="61" t="n"/>
      <c r="D227" s="61" t="n"/>
      <c r="E227" s="61" t="n"/>
      <c r="F227" s="62" t="n"/>
      <c r="G227" s="61" t="n"/>
      <c r="H227" s="61" t="n"/>
      <c r="I227" s="61" t="n"/>
      <c r="J227" s="61" t="n"/>
      <c r="K227" s="61" t="n"/>
    </row>
    <row r="228" ht="12.75" customHeight="1" s="90">
      <c r="A228" s="60" t="n"/>
      <c r="B228" s="61" t="n"/>
      <c r="C228" s="61" t="n"/>
      <c r="D228" s="61" t="n"/>
      <c r="E228" s="61" t="n"/>
      <c r="F228" s="62" t="n"/>
      <c r="G228" s="61" t="n"/>
      <c r="H228" s="61" t="n"/>
      <c r="I228" s="61" t="n"/>
      <c r="J228" s="61" t="n"/>
      <c r="K228" s="61" t="n"/>
    </row>
    <row r="229" ht="12.75" customHeight="1" s="90">
      <c r="A229" s="60" t="n"/>
      <c r="B229" s="61" t="n"/>
      <c r="C229" s="61" t="n"/>
      <c r="D229" s="61" t="n"/>
      <c r="E229" s="61" t="n"/>
      <c r="F229" s="62" t="n"/>
      <c r="G229" s="61" t="n"/>
      <c r="H229" s="61" t="n"/>
      <c r="I229" s="61" t="n"/>
      <c r="J229" s="61" t="n"/>
      <c r="K229" s="61" t="n"/>
    </row>
    <row r="230" ht="12.75" customHeight="1" s="90">
      <c r="A230" s="60" t="n"/>
      <c r="B230" s="61" t="n"/>
      <c r="C230" s="61" t="n"/>
      <c r="D230" s="61" t="n"/>
      <c r="E230" s="61" t="n"/>
      <c r="F230" s="62" t="n"/>
      <c r="G230" s="61" t="n"/>
      <c r="H230" s="61" t="n"/>
      <c r="I230" s="61" t="n"/>
      <c r="J230" s="61" t="n"/>
      <c r="K230" s="61" t="n"/>
    </row>
    <row r="231" ht="12.75" customHeight="1" s="90">
      <c r="A231" s="60" t="n"/>
      <c r="B231" s="61" t="n"/>
      <c r="C231" s="61" t="n"/>
      <c r="D231" s="61" t="n"/>
      <c r="E231" s="61" t="n"/>
      <c r="F231" s="62" t="n"/>
      <c r="G231" s="61" t="n"/>
      <c r="H231" s="61" t="n"/>
      <c r="I231" s="61" t="n"/>
      <c r="J231" s="61" t="n"/>
      <c r="K231" s="61" t="n"/>
    </row>
    <row r="232" ht="12.75" customHeight="1" s="90">
      <c r="A232" s="60" t="n"/>
      <c r="B232" s="61" t="n"/>
      <c r="C232" s="61" t="n"/>
      <c r="D232" s="61" t="n"/>
      <c r="E232" s="61" t="n"/>
      <c r="F232" s="62" t="n"/>
      <c r="G232" s="61" t="n"/>
      <c r="H232" s="61" t="n"/>
      <c r="I232" s="61" t="n"/>
      <c r="J232" s="61" t="n"/>
      <c r="K232" s="61" t="n"/>
    </row>
    <row r="233" ht="12.75" customHeight="1" s="90">
      <c r="A233" s="60" t="n"/>
      <c r="B233" s="61" t="n"/>
      <c r="C233" s="61" t="n"/>
      <c r="D233" s="61" t="n"/>
      <c r="E233" s="61" t="n"/>
      <c r="F233" s="62" t="n"/>
      <c r="G233" s="61" t="n"/>
      <c r="H233" s="61" t="n"/>
      <c r="I233" s="61" t="n"/>
      <c r="J233" s="61" t="n"/>
      <c r="K233" s="61" t="n"/>
    </row>
    <row r="234" ht="12.75" customHeight="1" s="90">
      <c r="A234" s="60" t="n"/>
      <c r="B234" s="61" t="n"/>
      <c r="C234" s="61" t="n"/>
      <c r="D234" s="61" t="n"/>
      <c r="E234" s="61" t="n"/>
      <c r="F234" s="62" t="n"/>
      <c r="G234" s="61" t="n"/>
      <c r="H234" s="61" t="n"/>
      <c r="I234" s="61" t="n"/>
      <c r="J234" s="61" t="n"/>
      <c r="K234" s="61" t="n"/>
    </row>
    <row r="235" ht="12.75" customHeight="1" s="90">
      <c r="A235" s="60" t="n"/>
      <c r="B235" s="61" t="n"/>
      <c r="C235" s="61" t="n"/>
      <c r="D235" s="61" t="n"/>
      <c r="E235" s="61" t="n"/>
      <c r="F235" s="62" t="n"/>
      <c r="G235" s="61" t="n"/>
      <c r="H235" s="61" t="n"/>
      <c r="I235" s="61" t="n"/>
      <c r="J235" s="61" t="n"/>
      <c r="K235" s="61" t="n"/>
    </row>
    <row r="236" ht="12.75" customHeight="1" s="90">
      <c r="A236" s="60" t="n"/>
      <c r="B236" s="61" t="n"/>
      <c r="C236" s="61" t="n"/>
      <c r="D236" s="61" t="n"/>
      <c r="E236" s="61" t="n"/>
      <c r="F236" s="62" t="n"/>
      <c r="G236" s="61" t="n"/>
      <c r="H236" s="61" t="n"/>
      <c r="I236" s="61" t="n"/>
      <c r="J236" s="61" t="n"/>
      <c r="K236" s="61" t="n"/>
    </row>
    <row r="237" ht="15.75" customHeight="1" s="90">
      <c r="A237" s="60" t="n"/>
      <c r="B237" s="61" t="n"/>
      <c r="C237" s="61" t="n"/>
      <c r="D237" s="61" t="n"/>
      <c r="E237" s="61" t="n"/>
      <c r="F237" s="62" t="n"/>
      <c r="G237" s="61" t="n"/>
      <c r="H237" s="61" t="n"/>
      <c r="I237" s="61" t="n"/>
      <c r="J237" s="61" t="n"/>
      <c r="K237" s="61" t="n"/>
    </row>
    <row r="238" ht="15.75" customHeight="1" s="90">
      <c r="A238" s="60" t="n"/>
      <c r="B238" s="61" t="n"/>
      <c r="C238" s="61" t="n"/>
      <c r="D238" s="61" t="n"/>
      <c r="E238" s="61" t="n"/>
      <c r="F238" s="62" t="n"/>
      <c r="G238" s="61" t="n"/>
      <c r="H238" s="61" t="n"/>
      <c r="I238" s="61" t="n"/>
      <c r="J238" s="61" t="n"/>
      <c r="K238" s="61" t="n"/>
    </row>
    <row r="239" ht="15.75" customHeight="1" s="90">
      <c r="A239" s="60" t="n"/>
      <c r="B239" s="61" t="n"/>
      <c r="C239" s="61" t="n"/>
      <c r="D239" s="61" t="n"/>
      <c r="E239" s="61" t="n"/>
      <c r="F239" s="62" t="n"/>
      <c r="G239" s="61" t="n"/>
      <c r="H239" s="61" t="n"/>
      <c r="I239" s="61" t="n"/>
      <c r="J239" s="61" t="n"/>
      <c r="K239" s="61" t="n"/>
    </row>
    <row r="240" ht="15.75" customHeight="1" s="90">
      <c r="A240" s="60" t="n"/>
      <c r="B240" s="61" t="n"/>
      <c r="C240" s="61" t="n"/>
      <c r="D240" s="61" t="n"/>
      <c r="E240" s="61" t="n"/>
      <c r="F240" s="62" t="n"/>
      <c r="G240" s="61" t="n"/>
      <c r="H240" s="61" t="n"/>
      <c r="I240" s="61" t="n"/>
      <c r="J240" s="61" t="n"/>
      <c r="K240" s="61" t="n"/>
    </row>
    <row r="241" ht="15.75" customHeight="1" s="90">
      <c r="A241" s="60" t="n"/>
      <c r="B241" s="61" t="n"/>
      <c r="C241" s="61" t="n"/>
      <c r="D241" s="61" t="n"/>
      <c r="E241" s="61" t="n"/>
      <c r="F241" s="62" t="n"/>
      <c r="G241" s="61" t="n"/>
      <c r="H241" s="61" t="n"/>
      <c r="I241" s="61" t="n"/>
      <c r="J241" s="61" t="n"/>
      <c r="K241" s="61" t="n"/>
    </row>
    <row r="242" ht="15.75" customHeight="1" s="90">
      <c r="A242" s="60" t="n"/>
      <c r="B242" s="61" t="n"/>
      <c r="C242" s="61" t="n"/>
      <c r="D242" s="61" t="n"/>
      <c r="E242" s="61" t="n"/>
      <c r="F242" s="62" t="n"/>
      <c r="G242" s="61" t="n"/>
      <c r="H242" s="61" t="n"/>
      <c r="I242" s="61" t="n"/>
      <c r="J242" s="61" t="n"/>
      <c r="K242" s="61" t="n"/>
    </row>
    <row r="243" ht="15.75" customHeight="1" s="90">
      <c r="A243" s="60" t="n"/>
      <c r="B243" s="61" t="n"/>
      <c r="C243" s="61" t="n"/>
      <c r="D243" s="61" t="n"/>
      <c r="E243" s="61" t="n"/>
      <c r="F243" s="62" t="n"/>
      <c r="G243" s="61" t="n"/>
      <c r="H243" s="61" t="n"/>
      <c r="I243" s="61" t="n"/>
      <c r="J243" s="61" t="n"/>
      <c r="K243" s="61" t="n"/>
    </row>
    <row r="244" ht="15.75" customHeight="1" s="90">
      <c r="A244" s="60" t="n"/>
      <c r="B244" s="61" t="n"/>
      <c r="C244" s="61" t="n"/>
      <c r="D244" s="61" t="n"/>
      <c r="E244" s="61" t="n"/>
      <c r="F244" s="62" t="n"/>
      <c r="G244" s="61" t="n"/>
      <c r="H244" s="61" t="n"/>
      <c r="I244" s="61" t="n"/>
      <c r="J244" s="61" t="n"/>
      <c r="K244" s="61" t="n"/>
    </row>
    <row r="245" ht="15.75" customHeight="1" s="90">
      <c r="A245" s="60" t="n"/>
      <c r="B245" s="61" t="n"/>
      <c r="C245" s="61" t="n"/>
      <c r="D245" s="61" t="n"/>
      <c r="E245" s="61" t="n"/>
      <c r="F245" s="62" t="n"/>
      <c r="G245" s="61" t="n"/>
      <c r="H245" s="61" t="n"/>
      <c r="I245" s="61" t="n"/>
      <c r="J245" s="61" t="n"/>
      <c r="K245" s="61" t="n"/>
    </row>
    <row r="246" ht="15.75" customHeight="1" s="90">
      <c r="A246" s="60" t="n"/>
      <c r="B246" s="61" t="n"/>
      <c r="C246" s="61" t="n"/>
      <c r="D246" s="61" t="n"/>
      <c r="E246" s="61" t="n"/>
      <c r="F246" s="62" t="n"/>
      <c r="G246" s="61" t="n"/>
      <c r="H246" s="61" t="n"/>
      <c r="I246" s="61" t="n"/>
      <c r="J246" s="61" t="n"/>
      <c r="K246" s="61" t="n"/>
    </row>
    <row r="247" ht="15.75" customHeight="1" s="90">
      <c r="A247" s="60" t="n"/>
      <c r="B247" s="61" t="n"/>
      <c r="C247" s="61" t="n"/>
      <c r="D247" s="61" t="n"/>
      <c r="E247" s="61" t="n"/>
      <c r="F247" s="62" t="n"/>
      <c r="G247" s="61" t="n"/>
      <c r="H247" s="61" t="n"/>
      <c r="I247" s="61" t="n"/>
      <c r="J247" s="61" t="n"/>
      <c r="K247" s="61" t="n"/>
    </row>
    <row r="248" ht="15.75" customHeight="1" s="90">
      <c r="A248" s="60" t="n"/>
      <c r="B248" s="61" t="n"/>
      <c r="C248" s="61" t="n"/>
      <c r="D248" s="61" t="n"/>
      <c r="E248" s="61" t="n"/>
      <c r="F248" s="62" t="n"/>
      <c r="G248" s="61" t="n"/>
      <c r="H248" s="61" t="n"/>
      <c r="I248" s="61" t="n"/>
      <c r="J248" s="61" t="n"/>
      <c r="K248" s="61" t="n"/>
    </row>
    <row r="249" ht="15.75" customHeight="1" s="90">
      <c r="A249" s="60" t="n"/>
      <c r="B249" s="61" t="n"/>
      <c r="C249" s="61" t="n"/>
      <c r="D249" s="61" t="n"/>
      <c r="E249" s="61" t="n"/>
      <c r="F249" s="62" t="n"/>
      <c r="G249" s="61" t="n"/>
      <c r="H249" s="61" t="n"/>
      <c r="I249" s="61" t="n"/>
      <c r="J249" s="61" t="n"/>
      <c r="K249" s="61" t="n"/>
    </row>
    <row r="250" ht="15.75" customHeight="1" s="90">
      <c r="A250" s="60" t="n"/>
      <c r="B250" s="61" t="n"/>
      <c r="C250" s="61" t="n"/>
      <c r="D250" s="61" t="n"/>
      <c r="E250" s="61" t="n"/>
      <c r="F250" s="62" t="n"/>
      <c r="G250" s="61" t="n"/>
      <c r="H250" s="61" t="n"/>
      <c r="I250" s="61" t="n"/>
      <c r="J250" s="61" t="n"/>
      <c r="K250" s="61" t="n"/>
    </row>
    <row r="251" ht="15.75" customHeight="1" s="90">
      <c r="A251" s="60" t="n"/>
      <c r="B251" s="61" t="n"/>
      <c r="C251" s="61" t="n"/>
      <c r="D251" s="61" t="n"/>
      <c r="E251" s="61" t="n"/>
      <c r="F251" s="62" t="n"/>
      <c r="G251" s="61" t="n"/>
      <c r="H251" s="61" t="n"/>
      <c r="I251" s="61" t="n"/>
      <c r="J251" s="61" t="n"/>
      <c r="K251" s="61" t="n"/>
    </row>
    <row r="252" ht="15.75" customHeight="1" s="90">
      <c r="A252" s="60" t="n"/>
      <c r="B252" s="61" t="n"/>
      <c r="C252" s="61" t="n"/>
      <c r="D252" s="61" t="n"/>
      <c r="E252" s="61" t="n"/>
      <c r="F252" s="62" t="n"/>
      <c r="G252" s="61" t="n"/>
      <c r="H252" s="61" t="n"/>
      <c r="I252" s="61" t="n"/>
      <c r="J252" s="61" t="n"/>
      <c r="K252" s="61" t="n"/>
    </row>
    <row r="253" ht="15.75" customHeight="1" s="90">
      <c r="A253" s="60" t="n"/>
      <c r="B253" s="61" t="n"/>
      <c r="C253" s="61" t="n"/>
      <c r="D253" s="61" t="n"/>
      <c r="E253" s="61" t="n"/>
      <c r="F253" s="62" t="n"/>
      <c r="G253" s="61" t="n"/>
      <c r="H253" s="61" t="n"/>
      <c r="I253" s="61" t="n"/>
      <c r="J253" s="61" t="n"/>
      <c r="K253" s="61" t="n"/>
    </row>
    <row r="254" ht="15.75" customHeight="1" s="90">
      <c r="A254" s="60" t="n"/>
      <c r="B254" s="61" t="n"/>
      <c r="C254" s="61" t="n"/>
      <c r="D254" s="61" t="n"/>
      <c r="E254" s="61" t="n"/>
      <c r="F254" s="62" t="n"/>
      <c r="G254" s="61" t="n"/>
      <c r="H254" s="61" t="n"/>
      <c r="I254" s="61" t="n"/>
      <c r="J254" s="61" t="n"/>
      <c r="K254" s="61" t="n"/>
    </row>
    <row r="255" ht="15.75" customHeight="1" s="90">
      <c r="A255" s="60" t="n"/>
      <c r="B255" s="61" t="n"/>
      <c r="C255" s="61" t="n"/>
      <c r="D255" s="61" t="n"/>
      <c r="E255" s="61" t="n"/>
      <c r="F255" s="62" t="n"/>
      <c r="G255" s="61" t="n"/>
      <c r="H255" s="61" t="n"/>
      <c r="I255" s="61" t="n"/>
      <c r="J255" s="61" t="n"/>
      <c r="K255" s="61" t="n"/>
    </row>
    <row r="256" ht="15.75" customHeight="1" s="90">
      <c r="A256" s="60" t="n"/>
      <c r="B256" s="61" t="n"/>
      <c r="C256" s="61" t="n"/>
      <c r="D256" s="61" t="n"/>
      <c r="E256" s="61" t="n"/>
      <c r="F256" s="62" t="n"/>
      <c r="G256" s="61" t="n"/>
      <c r="H256" s="61" t="n"/>
      <c r="I256" s="61" t="n"/>
      <c r="J256" s="61" t="n"/>
      <c r="K256" s="61" t="n"/>
    </row>
    <row r="257" ht="15.75" customHeight="1" s="90">
      <c r="A257" s="60" t="n"/>
      <c r="B257" s="61" t="n"/>
      <c r="C257" s="61" t="n"/>
      <c r="D257" s="61" t="n"/>
      <c r="E257" s="61" t="n"/>
      <c r="F257" s="62" t="n"/>
      <c r="G257" s="61" t="n"/>
      <c r="H257" s="61" t="n"/>
      <c r="I257" s="61" t="n"/>
      <c r="J257" s="61" t="n"/>
      <c r="K257" s="61" t="n"/>
    </row>
    <row r="258" ht="15.75" customHeight="1" s="90">
      <c r="A258" s="60" t="n"/>
      <c r="B258" s="61" t="n"/>
      <c r="C258" s="61" t="n"/>
      <c r="D258" s="61" t="n"/>
      <c r="E258" s="61" t="n"/>
      <c r="F258" s="62" t="n"/>
      <c r="G258" s="61" t="n"/>
      <c r="H258" s="61" t="n"/>
      <c r="I258" s="61" t="n"/>
      <c r="J258" s="61" t="n"/>
      <c r="K258" s="61" t="n"/>
    </row>
    <row r="259" ht="15.75" customHeight="1" s="90">
      <c r="A259" s="60" t="n"/>
      <c r="B259" s="61" t="n"/>
      <c r="C259" s="61" t="n"/>
      <c r="D259" s="61" t="n"/>
      <c r="E259" s="61" t="n"/>
      <c r="F259" s="62" t="n"/>
      <c r="G259" s="61" t="n"/>
      <c r="H259" s="61" t="n"/>
      <c r="I259" s="61" t="n"/>
      <c r="J259" s="61" t="n"/>
      <c r="K259" s="61" t="n"/>
    </row>
    <row r="260" ht="15.75" customHeight="1" s="90">
      <c r="A260" s="60" t="n"/>
      <c r="B260" s="61" t="n"/>
      <c r="C260" s="61" t="n"/>
      <c r="D260" s="61" t="n"/>
      <c r="E260" s="61" t="n"/>
      <c r="F260" s="62" t="n"/>
      <c r="G260" s="61" t="n"/>
      <c r="H260" s="61" t="n"/>
      <c r="I260" s="61" t="n"/>
      <c r="J260" s="61" t="n"/>
      <c r="K260" s="61" t="n"/>
    </row>
    <row r="261" ht="15.75" customHeight="1" s="90">
      <c r="A261" s="60" t="n"/>
      <c r="B261" s="61" t="n"/>
      <c r="C261" s="61" t="n"/>
      <c r="D261" s="61" t="n"/>
      <c r="E261" s="61" t="n"/>
      <c r="F261" s="62" t="n"/>
      <c r="G261" s="61" t="n"/>
      <c r="H261" s="61" t="n"/>
      <c r="I261" s="61" t="n"/>
      <c r="J261" s="61" t="n"/>
      <c r="K261" s="61" t="n"/>
    </row>
    <row r="262" ht="15.75" customHeight="1" s="90">
      <c r="A262" s="60" t="n"/>
      <c r="B262" s="61" t="n"/>
      <c r="C262" s="61" t="n"/>
      <c r="D262" s="61" t="n"/>
      <c r="E262" s="61" t="n"/>
      <c r="F262" s="62" t="n"/>
      <c r="G262" s="61" t="n"/>
      <c r="H262" s="61" t="n"/>
      <c r="I262" s="61" t="n"/>
      <c r="J262" s="61" t="n"/>
      <c r="K262" s="61" t="n"/>
    </row>
    <row r="263" ht="15.75" customHeight="1" s="90">
      <c r="A263" s="60" t="n"/>
      <c r="B263" s="61" t="n"/>
      <c r="C263" s="61" t="n"/>
      <c r="D263" s="61" t="n"/>
      <c r="E263" s="61" t="n"/>
      <c r="F263" s="62" t="n"/>
      <c r="G263" s="61" t="n"/>
      <c r="H263" s="61" t="n"/>
      <c r="I263" s="61" t="n"/>
      <c r="J263" s="61" t="n"/>
      <c r="K263" s="61" t="n"/>
    </row>
    <row r="264" ht="15.75" customHeight="1" s="90">
      <c r="A264" s="60" t="n"/>
      <c r="B264" s="61" t="n"/>
      <c r="C264" s="61" t="n"/>
      <c r="D264" s="61" t="n"/>
      <c r="E264" s="61" t="n"/>
      <c r="F264" s="62" t="n"/>
      <c r="G264" s="61" t="n"/>
      <c r="H264" s="61" t="n"/>
      <c r="I264" s="61" t="n"/>
      <c r="J264" s="61" t="n"/>
      <c r="K264" s="61" t="n"/>
    </row>
    <row r="265" ht="15.75" customHeight="1" s="90">
      <c r="A265" s="60" t="n"/>
      <c r="B265" s="61" t="n"/>
      <c r="C265" s="61" t="n"/>
      <c r="D265" s="61" t="n"/>
      <c r="E265" s="61" t="n"/>
      <c r="F265" s="62" t="n"/>
      <c r="G265" s="61" t="n"/>
      <c r="H265" s="61" t="n"/>
      <c r="I265" s="61" t="n"/>
      <c r="J265" s="61" t="n"/>
      <c r="K265" s="61" t="n"/>
    </row>
    <row r="266" ht="15.75" customHeight="1" s="90">
      <c r="A266" s="60" t="n"/>
      <c r="B266" s="61" t="n"/>
      <c r="C266" s="61" t="n"/>
      <c r="D266" s="61" t="n"/>
      <c r="E266" s="61" t="n"/>
      <c r="F266" s="62" t="n"/>
      <c r="G266" s="61" t="n"/>
      <c r="H266" s="61" t="n"/>
      <c r="I266" s="61" t="n"/>
      <c r="J266" s="61" t="n"/>
      <c r="K266" s="61" t="n"/>
    </row>
    <row r="267" ht="15.75" customHeight="1" s="90">
      <c r="A267" s="60" t="n"/>
      <c r="B267" s="61" t="n"/>
      <c r="C267" s="61" t="n"/>
      <c r="D267" s="61" t="n"/>
      <c r="E267" s="61" t="n"/>
      <c r="F267" s="62" t="n"/>
      <c r="G267" s="61" t="n"/>
      <c r="H267" s="61" t="n"/>
      <c r="I267" s="61" t="n"/>
      <c r="J267" s="61" t="n"/>
      <c r="K267" s="61" t="n"/>
    </row>
    <row r="268" ht="15.75" customHeight="1" s="90">
      <c r="A268" s="60" t="n"/>
      <c r="B268" s="61" t="n"/>
      <c r="C268" s="61" t="n"/>
      <c r="D268" s="61" t="n"/>
      <c r="E268" s="61" t="n"/>
      <c r="F268" s="62" t="n"/>
      <c r="G268" s="61" t="n"/>
      <c r="H268" s="61" t="n"/>
      <c r="I268" s="61" t="n"/>
      <c r="J268" s="61" t="n"/>
      <c r="K268" s="61" t="n"/>
    </row>
    <row r="269" ht="15.75" customHeight="1" s="90">
      <c r="A269" s="60" t="n"/>
      <c r="B269" s="61" t="n"/>
      <c r="C269" s="61" t="n"/>
      <c r="D269" s="61" t="n"/>
      <c r="E269" s="61" t="n"/>
      <c r="F269" s="62" t="n"/>
      <c r="G269" s="61" t="n"/>
      <c r="H269" s="61" t="n"/>
      <c r="I269" s="61" t="n"/>
      <c r="J269" s="61" t="n"/>
      <c r="K269" s="61" t="n"/>
    </row>
    <row r="270" ht="15.75" customHeight="1" s="90">
      <c r="A270" s="60" t="n"/>
      <c r="B270" s="61" t="n"/>
      <c r="C270" s="61" t="n"/>
      <c r="D270" s="61" t="n"/>
      <c r="E270" s="61" t="n"/>
      <c r="F270" s="62" t="n"/>
      <c r="G270" s="61" t="n"/>
      <c r="H270" s="61" t="n"/>
      <c r="I270" s="61" t="n"/>
      <c r="J270" s="61" t="n"/>
      <c r="K270" s="61" t="n"/>
    </row>
    <row r="271" ht="15.75" customHeight="1" s="90">
      <c r="A271" s="60" t="n"/>
      <c r="B271" s="61" t="n"/>
      <c r="C271" s="61" t="n"/>
      <c r="D271" s="61" t="n"/>
      <c r="E271" s="61" t="n"/>
      <c r="F271" s="62" t="n"/>
      <c r="G271" s="61" t="n"/>
      <c r="H271" s="61" t="n"/>
      <c r="I271" s="61" t="n"/>
      <c r="J271" s="61" t="n"/>
      <c r="K271" s="61" t="n"/>
    </row>
    <row r="272" ht="15.75" customHeight="1" s="90">
      <c r="A272" s="60" t="n"/>
      <c r="B272" s="61" t="n"/>
      <c r="C272" s="61" t="n"/>
      <c r="D272" s="61" t="n"/>
      <c r="E272" s="61" t="n"/>
      <c r="F272" s="62" t="n"/>
      <c r="G272" s="61" t="n"/>
      <c r="H272" s="61" t="n"/>
      <c r="I272" s="61" t="n"/>
      <c r="J272" s="61" t="n"/>
      <c r="K272" s="61" t="n"/>
    </row>
    <row r="273" ht="15.75" customHeight="1" s="90">
      <c r="A273" s="60" t="n"/>
      <c r="B273" s="61" t="n"/>
      <c r="C273" s="61" t="n"/>
      <c r="D273" s="61" t="n"/>
      <c r="E273" s="61" t="n"/>
      <c r="F273" s="62" t="n"/>
      <c r="G273" s="61" t="n"/>
      <c r="H273" s="61" t="n"/>
      <c r="I273" s="61" t="n"/>
      <c r="J273" s="61" t="n"/>
      <c r="K273" s="61" t="n"/>
    </row>
    <row r="274" ht="15.75" customHeight="1" s="90">
      <c r="A274" s="60" t="n"/>
      <c r="B274" s="61" t="n"/>
      <c r="C274" s="61" t="n"/>
      <c r="D274" s="61" t="n"/>
      <c r="E274" s="61" t="n"/>
      <c r="F274" s="62" t="n"/>
      <c r="G274" s="61" t="n"/>
      <c r="H274" s="61" t="n"/>
      <c r="I274" s="61" t="n"/>
      <c r="J274" s="61" t="n"/>
      <c r="K274" s="61" t="n"/>
    </row>
    <row r="275" ht="15.75" customHeight="1" s="90">
      <c r="A275" s="60" t="n"/>
      <c r="B275" s="61" t="n"/>
      <c r="C275" s="61" t="n"/>
      <c r="D275" s="61" t="n"/>
      <c r="E275" s="61" t="n"/>
      <c r="F275" s="62" t="n"/>
      <c r="G275" s="61" t="n"/>
      <c r="H275" s="61" t="n"/>
      <c r="I275" s="61" t="n"/>
      <c r="J275" s="61" t="n"/>
      <c r="K275" s="61" t="n"/>
    </row>
    <row r="276" ht="15.75" customHeight="1" s="90">
      <c r="A276" s="60" t="n"/>
      <c r="B276" s="61" t="n"/>
      <c r="C276" s="61" t="n"/>
      <c r="D276" s="61" t="n"/>
      <c r="E276" s="61" t="n"/>
      <c r="F276" s="62" t="n"/>
      <c r="G276" s="61" t="n"/>
      <c r="H276" s="61" t="n"/>
      <c r="I276" s="61" t="n"/>
      <c r="J276" s="61" t="n"/>
      <c r="K276" s="61" t="n"/>
    </row>
    <row r="277" ht="15.75" customHeight="1" s="90">
      <c r="A277" s="60" t="n"/>
      <c r="B277" s="61" t="n"/>
      <c r="C277" s="61" t="n"/>
      <c r="D277" s="61" t="n"/>
      <c r="E277" s="61" t="n"/>
      <c r="F277" s="62" t="n"/>
      <c r="G277" s="61" t="n"/>
      <c r="H277" s="61" t="n"/>
      <c r="I277" s="61" t="n"/>
      <c r="J277" s="61" t="n"/>
      <c r="K277" s="61" t="n"/>
    </row>
    <row r="278" ht="15.75" customHeight="1" s="90">
      <c r="A278" s="60" t="n"/>
      <c r="B278" s="61" t="n"/>
      <c r="C278" s="61" t="n"/>
      <c r="D278" s="61" t="n"/>
      <c r="E278" s="61" t="n"/>
      <c r="F278" s="62" t="n"/>
      <c r="G278" s="61" t="n"/>
      <c r="H278" s="61" t="n"/>
      <c r="I278" s="61" t="n"/>
      <c r="J278" s="61" t="n"/>
      <c r="K278" s="61" t="n"/>
    </row>
    <row r="279" ht="15.75" customHeight="1" s="90">
      <c r="A279" s="60" t="n"/>
      <c r="B279" s="61" t="n"/>
      <c r="C279" s="61" t="n"/>
      <c r="D279" s="61" t="n"/>
      <c r="E279" s="61" t="n"/>
      <c r="F279" s="62" t="n"/>
      <c r="G279" s="61" t="n"/>
      <c r="H279" s="61" t="n"/>
      <c r="I279" s="61" t="n"/>
      <c r="J279" s="61" t="n"/>
      <c r="K279" s="61" t="n"/>
    </row>
    <row r="280" ht="15.75" customHeight="1" s="90">
      <c r="A280" s="60" t="n"/>
      <c r="B280" s="61" t="n"/>
      <c r="C280" s="61" t="n"/>
      <c r="D280" s="61" t="n"/>
      <c r="E280" s="61" t="n"/>
      <c r="F280" s="62" t="n"/>
      <c r="G280" s="61" t="n"/>
      <c r="H280" s="61" t="n"/>
      <c r="I280" s="61" t="n"/>
      <c r="J280" s="61" t="n"/>
      <c r="K280" s="61" t="n"/>
    </row>
    <row r="281" ht="15.75" customHeight="1" s="90">
      <c r="A281" s="60" t="n"/>
      <c r="B281" s="61" t="n"/>
      <c r="C281" s="61" t="n"/>
      <c r="D281" s="61" t="n"/>
      <c r="E281" s="61" t="n"/>
      <c r="F281" s="62" t="n"/>
      <c r="G281" s="61" t="n"/>
      <c r="H281" s="61" t="n"/>
      <c r="I281" s="61" t="n"/>
      <c r="J281" s="61" t="n"/>
      <c r="K281" s="61" t="n"/>
    </row>
    <row r="282" ht="15.75" customHeight="1" s="90">
      <c r="A282" s="60" t="n"/>
      <c r="B282" s="61" t="n"/>
      <c r="C282" s="61" t="n"/>
      <c r="D282" s="61" t="n"/>
      <c r="E282" s="61" t="n"/>
      <c r="F282" s="62" t="n"/>
      <c r="G282" s="61" t="n"/>
      <c r="H282" s="61" t="n"/>
      <c r="I282" s="61" t="n"/>
      <c r="J282" s="61" t="n"/>
      <c r="K282" s="61" t="n"/>
    </row>
    <row r="283" ht="15.75" customHeight="1" s="90">
      <c r="A283" s="60" t="n"/>
      <c r="B283" s="61" t="n"/>
      <c r="C283" s="61" t="n"/>
      <c r="D283" s="61" t="n"/>
      <c r="E283" s="61" t="n"/>
      <c r="F283" s="62" t="n"/>
      <c r="G283" s="61" t="n"/>
      <c r="H283" s="61" t="n"/>
      <c r="I283" s="61" t="n"/>
      <c r="J283" s="61" t="n"/>
      <c r="K283" s="61" t="n"/>
    </row>
    <row r="284" ht="15.75" customHeight="1" s="90">
      <c r="A284" s="60" t="n"/>
      <c r="B284" s="61" t="n"/>
      <c r="C284" s="61" t="n"/>
      <c r="D284" s="61" t="n"/>
      <c r="E284" s="61" t="n"/>
      <c r="F284" s="62" t="n"/>
      <c r="G284" s="61" t="n"/>
      <c r="H284" s="61" t="n"/>
      <c r="I284" s="61" t="n"/>
      <c r="J284" s="61" t="n"/>
      <c r="K284" s="61" t="n"/>
    </row>
    <row r="285" ht="15.75" customHeight="1" s="90">
      <c r="A285" s="60" t="n"/>
      <c r="B285" s="61" t="n"/>
      <c r="C285" s="61" t="n"/>
      <c r="D285" s="61" t="n"/>
      <c r="E285" s="61" t="n"/>
      <c r="F285" s="62" t="n"/>
      <c r="G285" s="61" t="n"/>
      <c r="H285" s="61" t="n"/>
      <c r="I285" s="61" t="n"/>
      <c r="J285" s="61" t="n"/>
      <c r="K285" s="61" t="n"/>
    </row>
    <row r="286" ht="15.75" customHeight="1" s="90">
      <c r="A286" s="60" t="n"/>
      <c r="B286" s="61" t="n"/>
      <c r="C286" s="61" t="n"/>
      <c r="D286" s="61" t="n"/>
      <c r="E286" s="61" t="n"/>
      <c r="F286" s="62" t="n"/>
      <c r="G286" s="61" t="n"/>
      <c r="H286" s="61" t="n"/>
      <c r="I286" s="61" t="n"/>
      <c r="J286" s="61" t="n"/>
      <c r="K286" s="61" t="n"/>
    </row>
    <row r="287" ht="15.75" customHeight="1" s="90">
      <c r="A287" s="60" t="n"/>
      <c r="B287" s="61" t="n"/>
      <c r="C287" s="61" t="n"/>
      <c r="D287" s="61" t="n"/>
      <c r="E287" s="61" t="n"/>
      <c r="F287" s="62" t="n"/>
      <c r="G287" s="61" t="n"/>
      <c r="H287" s="61" t="n"/>
      <c r="I287" s="61" t="n"/>
      <c r="J287" s="61" t="n"/>
      <c r="K287" s="61" t="n"/>
    </row>
    <row r="288" ht="15.75" customHeight="1" s="90">
      <c r="A288" s="60" t="n"/>
      <c r="B288" s="61" t="n"/>
      <c r="C288" s="61" t="n"/>
      <c r="D288" s="61" t="n"/>
      <c r="E288" s="61" t="n"/>
      <c r="F288" s="62" t="n"/>
      <c r="G288" s="61" t="n"/>
      <c r="H288" s="61" t="n"/>
      <c r="I288" s="61" t="n"/>
      <c r="J288" s="61" t="n"/>
      <c r="K288" s="61" t="n"/>
    </row>
    <row r="289" ht="15.75" customHeight="1" s="90">
      <c r="A289" s="60" t="n"/>
      <c r="B289" s="61" t="n"/>
      <c r="C289" s="61" t="n"/>
      <c r="D289" s="61" t="n"/>
      <c r="E289" s="61" t="n"/>
      <c r="F289" s="62" t="n"/>
      <c r="G289" s="61" t="n"/>
      <c r="H289" s="61" t="n"/>
      <c r="I289" s="61" t="n"/>
      <c r="J289" s="61" t="n"/>
      <c r="K289" s="61" t="n"/>
    </row>
    <row r="290" ht="15.75" customHeight="1" s="90">
      <c r="A290" s="60" t="n"/>
      <c r="B290" s="61" t="n"/>
      <c r="C290" s="61" t="n"/>
      <c r="D290" s="61" t="n"/>
      <c r="E290" s="61" t="n"/>
      <c r="F290" s="62" t="n"/>
      <c r="G290" s="61" t="n"/>
      <c r="H290" s="61" t="n"/>
      <c r="I290" s="61" t="n"/>
      <c r="J290" s="61" t="n"/>
      <c r="K290" s="61" t="n"/>
    </row>
    <row r="291" ht="15.75" customHeight="1" s="90">
      <c r="A291" s="60" t="n"/>
      <c r="B291" s="61" t="n"/>
      <c r="C291" s="61" t="n"/>
      <c r="D291" s="61" t="n"/>
      <c r="E291" s="61" t="n"/>
      <c r="F291" s="62" t="n"/>
      <c r="G291" s="61" t="n"/>
      <c r="H291" s="61" t="n"/>
      <c r="I291" s="61" t="n"/>
      <c r="J291" s="61" t="n"/>
      <c r="K291" s="61" t="n"/>
    </row>
    <row r="292" ht="15.75" customHeight="1" s="90">
      <c r="A292" s="60" t="n"/>
      <c r="B292" s="61" t="n"/>
      <c r="C292" s="61" t="n"/>
      <c r="D292" s="61" t="n"/>
      <c r="E292" s="61" t="n"/>
      <c r="F292" s="62" t="n"/>
      <c r="G292" s="61" t="n"/>
      <c r="H292" s="61" t="n"/>
      <c r="I292" s="61" t="n"/>
      <c r="J292" s="61" t="n"/>
      <c r="K292" s="61" t="n"/>
    </row>
    <row r="293" ht="15.75" customHeight="1" s="90">
      <c r="A293" s="60" t="n"/>
      <c r="B293" s="61" t="n"/>
      <c r="C293" s="61" t="n"/>
      <c r="D293" s="61" t="n"/>
      <c r="E293" s="61" t="n"/>
      <c r="F293" s="62" t="n"/>
      <c r="G293" s="61" t="n"/>
      <c r="H293" s="61" t="n"/>
      <c r="I293" s="61" t="n"/>
      <c r="J293" s="61" t="n"/>
      <c r="K293" s="61" t="n"/>
    </row>
    <row r="294" ht="15.75" customHeight="1" s="90">
      <c r="A294" s="60" t="n"/>
      <c r="B294" s="61" t="n"/>
      <c r="C294" s="61" t="n"/>
      <c r="D294" s="61" t="n"/>
      <c r="E294" s="61" t="n"/>
      <c r="F294" s="62" t="n"/>
      <c r="G294" s="61" t="n"/>
      <c r="H294" s="61" t="n"/>
      <c r="I294" s="61" t="n"/>
      <c r="J294" s="61" t="n"/>
      <c r="K294" s="61" t="n"/>
    </row>
    <row r="295" ht="15.75" customHeight="1" s="90">
      <c r="A295" s="60" t="n"/>
      <c r="B295" s="61" t="n"/>
      <c r="C295" s="61" t="n"/>
      <c r="D295" s="61" t="n"/>
      <c r="E295" s="61" t="n"/>
      <c r="F295" s="62" t="n"/>
      <c r="G295" s="61" t="n"/>
      <c r="H295" s="61" t="n"/>
      <c r="I295" s="61" t="n"/>
      <c r="J295" s="61" t="n"/>
      <c r="K295" s="61" t="n"/>
    </row>
    <row r="296" ht="15.75" customHeight="1" s="90">
      <c r="A296" s="60" t="n"/>
      <c r="B296" s="61" t="n"/>
      <c r="C296" s="61" t="n"/>
      <c r="D296" s="61" t="n"/>
      <c r="E296" s="61" t="n"/>
      <c r="F296" s="62" t="n"/>
      <c r="G296" s="61" t="n"/>
      <c r="H296" s="61" t="n"/>
      <c r="I296" s="61" t="n"/>
      <c r="J296" s="61" t="n"/>
      <c r="K296" s="61" t="n"/>
    </row>
    <row r="297" ht="15.75" customHeight="1" s="90">
      <c r="A297" s="60" t="n"/>
      <c r="B297" s="61" t="n"/>
      <c r="C297" s="61" t="n"/>
      <c r="D297" s="61" t="n"/>
      <c r="E297" s="61" t="n"/>
      <c r="F297" s="62" t="n"/>
      <c r="G297" s="61" t="n"/>
      <c r="H297" s="61" t="n"/>
      <c r="I297" s="61" t="n"/>
      <c r="J297" s="61" t="n"/>
      <c r="K297" s="61" t="n"/>
    </row>
    <row r="298" ht="15.75" customHeight="1" s="90">
      <c r="A298" s="60" t="n"/>
      <c r="B298" s="61" t="n"/>
      <c r="C298" s="61" t="n"/>
      <c r="D298" s="61" t="n"/>
      <c r="E298" s="61" t="n"/>
      <c r="F298" s="62" t="n"/>
      <c r="G298" s="61" t="n"/>
      <c r="H298" s="61" t="n"/>
      <c r="I298" s="61" t="n"/>
      <c r="J298" s="61" t="n"/>
      <c r="K298" s="61" t="n"/>
    </row>
    <row r="299" ht="15.75" customHeight="1" s="90">
      <c r="A299" s="60" t="n"/>
      <c r="B299" s="61" t="n"/>
      <c r="C299" s="61" t="n"/>
      <c r="D299" s="61" t="n"/>
      <c r="E299" s="61" t="n"/>
      <c r="F299" s="62" t="n"/>
      <c r="G299" s="61" t="n"/>
      <c r="H299" s="61" t="n"/>
      <c r="I299" s="61" t="n"/>
      <c r="J299" s="61" t="n"/>
      <c r="K299" s="61" t="n"/>
    </row>
    <row r="300" ht="15.75" customHeight="1" s="90">
      <c r="A300" s="60" t="n"/>
      <c r="B300" s="61" t="n"/>
      <c r="C300" s="61" t="n"/>
      <c r="D300" s="61" t="n"/>
      <c r="E300" s="61" t="n"/>
      <c r="F300" s="62" t="n"/>
      <c r="G300" s="61" t="n"/>
      <c r="H300" s="61" t="n"/>
      <c r="I300" s="61" t="n"/>
      <c r="J300" s="61" t="n"/>
      <c r="K300" s="61" t="n"/>
    </row>
    <row r="301" ht="15.75" customHeight="1" s="90">
      <c r="A301" s="4" t="n"/>
      <c r="F301" s="3" t="n"/>
    </row>
    <row r="302" ht="15.75" customHeight="1" s="90">
      <c r="A302" s="4" t="n"/>
      <c r="F302" s="3" t="n"/>
    </row>
    <row r="303" ht="15.75" customHeight="1" s="90">
      <c r="A303" s="4" t="n"/>
      <c r="F303" s="3" t="n"/>
    </row>
    <row r="304" ht="15.75" customHeight="1" s="90">
      <c r="A304" s="4" t="n"/>
      <c r="F304" s="3" t="n"/>
    </row>
    <row r="305" ht="15.75" customHeight="1" s="90">
      <c r="A305" s="4" t="n"/>
      <c r="F305" s="3" t="n"/>
    </row>
    <row r="306" ht="15.75" customHeight="1" s="90">
      <c r="A306" s="4" t="n"/>
      <c r="F306" s="3" t="n"/>
    </row>
    <row r="307" ht="15.75" customHeight="1" s="90">
      <c r="A307" s="4" t="n"/>
      <c r="F307" s="3" t="n"/>
    </row>
    <row r="308" ht="15.75" customHeight="1" s="90">
      <c r="A308" s="4" t="n"/>
      <c r="F308" s="3" t="n"/>
    </row>
    <row r="309" ht="15.75" customHeight="1" s="90">
      <c r="A309" s="4" t="n"/>
      <c r="F309" s="3" t="n"/>
    </row>
    <row r="310" ht="15.75" customHeight="1" s="90">
      <c r="A310" s="4" t="n"/>
      <c r="F310" s="3" t="n"/>
    </row>
    <row r="311" ht="15.75" customHeight="1" s="90">
      <c r="A311" s="4" t="n"/>
      <c r="F311" s="3" t="n"/>
    </row>
    <row r="312" ht="15.75" customHeight="1" s="90">
      <c r="A312" s="4" t="n"/>
      <c r="F312" s="3" t="n"/>
    </row>
    <row r="313" ht="15.75" customHeight="1" s="90">
      <c r="A313" s="4" t="n"/>
      <c r="F313" s="3" t="n"/>
    </row>
    <row r="314" ht="15.75" customHeight="1" s="90">
      <c r="A314" s="4" t="n"/>
      <c r="F314" s="3" t="n"/>
    </row>
    <row r="315" ht="15.75" customHeight="1" s="90">
      <c r="A315" s="4" t="n"/>
      <c r="F315" s="3" t="n"/>
    </row>
    <row r="316" ht="15.75" customHeight="1" s="90">
      <c r="A316" s="4" t="n"/>
      <c r="F316" s="3" t="n"/>
    </row>
    <row r="317" ht="15.75" customHeight="1" s="90">
      <c r="A317" s="4" t="n"/>
      <c r="F317" s="3" t="n"/>
    </row>
    <row r="318" ht="15.75" customHeight="1" s="90">
      <c r="A318" s="4" t="n"/>
      <c r="F318" s="3" t="n"/>
    </row>
    <row r="319" ht="15.75" customHeight="1" s="90">
      <c r="A319" s="4" t="n"/>
      <c r="F319" s="3" t="n"/>
    </row>
    <row r="320" ht="15.75" customHeight="1" s="90">
      <c r="A320" s="4" t="n"/>
      <c r="F320" s="3" t="n"/>
    </row>
    <row r="321" ht="15.75" customHeight="1" s="90">
      <c r="A321" s="4" t="n"/>
      <c r="F321" s="3" t="n"/>
    </row>
    <row r="322" ht="15.75" customHeight="1" s="90">
      <c r="A322" s="4" t="n"/>
      <c r="F322" s="3" t="n"/>
    </row>
    <row r="323" ht="15.75" customHeight="1" s="90">
      <c r="A323" s="4" t="n"/>
      <c r="F323" s="3" t="n"/>
    </row>
    <row r="324" ht="15.75" customHeight="1" s="90">
      <c r="A324" s="4" t="n"/>
      <c r="F324" s="3" t="n"/>
    </row>
    <row r="325" ht="15.75" customHeight="1" s="90">
      <c r="A325" s="4" t="n"/>
      <c r="F325" s="3" t="n"/>
    </row>
    <row r="326" ht="15.75" customHeight="1" s="90">
      <c r="A326" s="4" t="n"/>
      <c r="F326" s="3" t="n"/>
    </row>
    <row r="327" ht="15.75" customHeight="1" s="90">
      <c r="A327" s="4" t="n"/>
      <c r="F327" s="3" t="n"/>
    </row>
    <row r="328" ht="15.75" customHeight="1" s="90">
      <c r="A328" s="4" t="n"/>
      <c r="F328" s="3" t="n"/>
    </row>
    <row r="329" ht="15.75" customHeight="1" s="90">
      <c r="A329" s="4" t="n"/>
      <c r="F329" s="3" t="n"/>
    </row>
    <row r="330" ht="15.75" customHeight="1" s="90">
      <c r="A330" s="4" t="n"/>
      <c r="F330" s="3" t="n"/>
    </row>
    <row r="331" ht="15.75" customHeight="1" s="90">
      <c r="A331" s="4" t="n"/>
      <c r="F331" s="3" t="n"/>
    </row>
    <row r="332" ht="15.75" customHeight="1" s="90">
      <c r="A332" s="4" t="n"/>
      <c r="F332" s="3" t="n"/>
    </row>
    <row r="333" ht="15.75" customHeight="1" s="90">
      <c r="A333" s="4" t="n"/>
      <c r="F333" s="3" t="n"/>
    </row>
    <row r="334" ht="15.75" customHeight="1" s="90">
      <c r="A334" s="4" t="n"/>
      <c r="F334" s="3" t="n"/>
    </row>
    <row r="335" ht="15.75" customHeight="1" s="90">
      <c r="A335" s="4" t="n"/>
      <c r="F335" s="3" t="n"/>
    </row>
    <row r="336" ht="15.75" customHeight="1" s="90">
      <c r="A336" s="4" t="n"/>
      <c r="F336" s="3" t="n"/>
    </row>
    <row r="337" ht="15.75" customHeight="1" s="90">
      <c r="A337" s="4" t="n"/>
      <c r="F337" s="3" t="n"/>
    </row>
    <row r="338" ht="15.75" customHeight="1" s="90">
      <c r="A338" s="4" t="n"/>
      <c r="F338" s="3" t="n"/>
    </row>
    <row r="339" ht="15.75" customHeight="1" s="90">
      <c r="A339" s="4" t="n"/>
      <c r="F339" s="3" t="n"/>
    </row>
    <row r="340" ht="15.75" customHeight="1" s="90">
      <c r="A340" s="4" t="n"/>
      <c r="F340" s="3" t="n"/>
    </row>
    <row r="341" ht="15.75" customHeight="1" s="90">
      <c r="A341" s="4" t="n"/>
      <c r="F341" s="3" t="n"/>
    </row>
    <row r="342" ht="15.75" customHeight="1" s="90">
      <c r="A342" s="4" t="n"/>
      <c r="F342" s="3" t="n"/>
    </row>
    <row r="343" ht="15.75" customHeight="1" s="90">
      <c r="A343" s="4" t="n"/>
      <c r="F343" s="3" t="n"/>
    </row>
    <row r="344" ht="15.75" customHeight="1" s="90">
      <c r="A344" s="4" t="n"/>
      <c r="F344" s="3" t="n"/>
    </row>
    <row r="345" ht="15.75" customHeight="1" s="90">
      <c r="A345" s="4" t="n"/>
      <c r="F345" s="3" t="n"/>
    </row>
    <row r="346" ht="15.75" customHeight="1" s="90">
      <c r="A346" s="4" t="n"/>
      <c r="F346" s="3" t="n"/>
    </row>
    <row r="347" ht="15.75" customHeight="1" s="90">
      <c r="A347" s="4" t="n"/>
      <c r="F347" s="3" t="n"/>
    </row>
    <row r="348" ht="15.75" customHeight="1" s="90">
      <c r="A348" s="4" t="n"/>
      <c r="F348" s="3" t="n"/>
    </row>
    <row r="349" ht="15.75" customHeight="1" s="90">
      <c r="A349" s="4" t="n"/>
      <c r="F349" s="3" t="n"/>
    </row>
    <row r="350" ht="15.75" customHeight="1" s="90">
      <c r="A350" s="4" t="n"/>
      <c r="F350" s="3" t="n"/>
    </row>
    <row r="351" ht="15.75" customHeight="1" s="90">
      <c r="A351" s="4" t="n"/>
      <c r="F351" s="3" t="n"/>
    </row>
    <row r="352" ht="15.75" customHeight="1" s="90">
      <c r="A352" s="4" t="n"/>
      <c r="F352" s="3" t="n"/>
    </row>
    <row r="353" ht="15.75" customHeight="1" s="90">
      <c r="A353" s="4" t="n"/>
      <c r="F353" s="3" t="n"/>
    </row>
    <row r="354" ht="15.75" customHeight="1" s="90">
      <c r="A354" s="4" t="n"/>
      <c r="F354" s="3" t="n"/>
    </row>
    <row r="355" ht="15.75" customHeight="1" s="90">
      <c r="A355" s="4" t="n"/>
      <c r="F355" s="3" t="n"/>
    </row>
    <row r="356" ht="15.75" customHeight="1" s="90">
      <c r="A356" s="4" t="n"/>
      <c r="F356" s="3" t="n"/>
    </row>
    <row r="357" ht="15.75" customHeight="1" s="90">
      <c r="A357" s="4" t="n"/>
      <c r="F357" s="3" t="n"/>
    </row>
    <row r="358" ht="15.75" customHeight="1" s="90">
      <c r="A358" s="4" t="n"/>
      <c r="F358" s="3" t="n"/>
    </row>
    <row r="359" ht="15.75" customHeight="1" s="90">
      <c r="A359" s="4" t="n"/>
      <c r="F359" s="3" t="n"/>
    </row>
    <row r="360" ht="15.75" customHeight="1" s="90">
      <c r="A360" s="4" t="n"/>
      <c r="F360" s="3" t="n"/>
    </row>
    <row r="361" ht="15.75" customHeight="1" s="90">
      <c r="A361" s="4" t="n"/>
      <c r="F361" s="3" t="n"/>
    </row>
    <row r="362" ht="15.75" customHeight="1" s="90">
      <c r="A362" s="4" t="n"/>
      <c r="F362" s="3" t="n"/>
    </row>
    <row r="363" ht="15.75" customHeight="1" s="90">
      <c r="A363" s="4" t="n"/>
      <c r="F363" s="3" t="n"/>
    </row>
    <row r="364" ht="15.75" customHeight="1" s="90">
      <c r="A364" s="4" t="n"/>
      <c r="F364" s="3" t="n"/>
    </row>
    <row r="365" ht="15.75" customHeight="1" s="90">
      <c r="A365" s="4" t="n"/>
      <c r="F365" s="3" t="n"/>
    </row>
    <row r="366" ht="15.75" customHeight="1" s="90">
      <c r="A366" s="4" t="n"/>
      <c r="F366" s="3" t="n"/>
    </row>
    <row r="367" ht="15.75" customHeight="1" s="90">
      <c r="A367" s="4" t="n"/>
      <c r="F367" s="3" t="n"/>
    </row>
    <row r="368" ht="15.75" customHeight="1" s="90">
      <c r="A368" s="4" t="n"/>
      <c r="F368" s="3" t="n"/>
    </row>
    <row r="369" ht="15.75" customHeight="1" s="90">
      <c r="A369" s="4" t="n"/>
      <c r="F369" s="3" t="n"/>
    </row>
    <row r="370" ht="15.75" customHeight="1" s="90">
      <c r="A370" s="4" t="n"/>
      <c r="F370" s="3" t="n"/>
    </row>
    <row r="371" ht="15.75" customHeight="1" s="90">
      <c r="A371" s="4" t="n"/>
      <c r="F371" s="3" t="n"/>
    </row>
    <row r="372" ht="15.75" customHeight="1" s="90">
      <c r="A372" s="4" t="n"/>
      <c r="F372" s="3" t="n"/>
    </row>
    <row r="373" ht="15.75" customHeight="1" s="90">
      <c r="A373" s="4" t="n"/>
      <c r="F373" s="3" t="n"/>
    </row>
    <row r="374" ht="15.75" customHeight="1" s="90">
      <c r="A374" s="4" t="n"/>
      <c r="F374" s="3" t="n"/>
    </row>
    <row r="375" ht="15.75" customHeight="1" s="90">
      <c r="A375" s="4" t="n"/>
      <c r="F375" s="3" t="n"/>
    </row>
    <row r="376" ht="15.75" customHeight="1" s="90">
      <c r="A376" s="4" t="n"/>
      <c r="F376" s="3" t="n"/>
    </row>
    <row r="377" ht="15.75" customHeight="1" s="90">
      <c r="A377" s="4" t="n"/>
      <c r="F377" s="3" t="n"/>
    </row>
    <row r="378" ht="15.75" customHeight="1" s="90">
      <c r="A378" s="4" t="n"/>
      <c r="F378" s="3" t="n"/>
    </row>
    <row r="379" ht="15.75" customHeight="1" s="90">
      <c r="A379" s="4" t="n"/>
      <c r="F379" s="3" t="n"/>
    </row>
    <row r="380" ht="15.75" customHeight="1" s="90">
      <c r="A380" s="4" t="n"/>
      <c r="F380" s="3" t="n"/>
    </row>
    <row r="381" ht="15.75" customHeight="1" s="90">
      <c r="A381" s="4" t="n"/>
      <c r="F381" s="3" t="n"/>
    </row>
    <row r="382" ht="15.75" customHeight="1" s="90">
      <c r="A382" s="4" t="n"/>
      <c r="F382" s="3" t="n"/>
    </row>
    <row r="383" ht="15.75" customHeight="1" s="90">
      <c r="A383" s="4" t="n"/>
      <c r="F383" s="3" t="n"/>
    </row>
    <row r="384" ht="15.75" customHeight="1" s="90">
      <c r="A384" s="4" t="n"/>
      <c r="F384" s="3" t="n"/>
    </row>
    <row r="385" ht="15.75" customHeight="1" s="90">
      <c r="A385" s="4" t="n"/>
      <c r="F385" s="3" t="n"/>
    </row>
    <row r="386" ht="15.75" customHeight="1" s="90">
      <c r="A386" s="4" t="n"/>
      <c r="F386" s="3" t="n"/>
    </row>
    <row r="387" ht="15.75" customHeight="1" s="90">
      <c r="A387" s="4" t="n"/>
      <c r="F387" s="3" t="n"/>
    </row>
    <row r="388" ht="15.75" customHeight="1" s="90">
      <c r="A388" s="4" t="n"/>
      <c r="F388" s="3" t="n"/>
    </row>
    <row r="389" ht="15.75" customHeight="1" s="90">
      <c r="A389" s="4" t="n"/>
      <c r="F389" s="3" t="n"/>
    </row>
    <row r="390" ht="15.75" customHeight="1" s="90">
      <c r="A390" s="4" t="n"/>
      <c r="F390" s="3" t="n"/>
    </row>
    <row r="391" ht="15.75" customHeight="1" s="90">
      <c r="A391" s="4" t="n"/>
      <c r="F391" s="3" t="n"/>
    </row>
    <row r="392" ht="15.75" customHeight="1" s="90">
      <c r="A392" s="4" t="n"/>
      <c r="F392" s="3" t="n"/>
    </row>
    <row r="393" ht="15.75" customHeight="1" s="90">
      <c r="A393" s="4" t="n"/>
      <c r="F393" s="3" t="n"/>
    </row>
    <row r="394" ht="15.75" customHeight="1" s="90">
      <c r="A394" s="4" t="n"/>
      <c r="F394" s="3" t="n"/>
    </row>
    <row r="395" ht="15.75" customHeight="1" s="90">
      <c r="A395" s="4" t="n"/>
      <c r="F395" s="3" t="n"/>
    </row>
    <row r="396" ht="15.75" customHeight="1" s="90">
      <c r="A396" s="4" t="n"/>
      <c r="F396" s="3" t="n"/>
    </row>
    <row r="397" ht="15.75" customHeight="1" s="90">
      <c r="A397" s="4" t="n"/>
      <c r="F397" s="3" t="n"/>
    </row>
    <row r="398" ht="15.75" customHeight="1" s="90">
      <c r="A398" s="4" t="n"/>
      <c r="F398" s="3" t="n"/>
    </row>
    <row r="399" ht="15.75" customHeight="1" s="90">
      <c r="A399" s="4" t="n"/>
      <c r="F399" s="3" t="n"/>
    </row>
    <row r="400" ht="15.75" customHeight="1" s="90">
      <c r="A400" s="4" t="n"/>
      <c r="F400" s="3" t="n"/>
    </row>
    <row r="401" ht="15.75" customHeight="1" s="90">
      <c r="A401" s="4" t="n"/>
      <c r="F401" s="3" t="n"/>
    </row>
    <row r="402" ht="15.75" customHeight="1" s="90">
      <c r="A402" s="4" t="n"/>
      <c r="F402" s="3" t="n"/>
    </row>
    <row r="403" ht="15.75" customHeight="1" s="90">
      <c r="A403" s="4" t="n"/>
      <c r="F403" s="3" t="n"/>
    </row>
    <row r="404" ht="15.75" customHeight="1" s="90">
      <c r="A404" s="4" t="n"/>
      <c r="F404" s="3" t="n"/>
    </row>
    <row r="405" ht="15.75" customHeight="1" s="90">
      <c r="A405" s="4" t="n"/>
      <c r="F405" s="3" t="n"/>
    </row>
    <row r="406" ht="15.75" customHeight="1" s="90">
      <c r="A406" s="4" t="n"/>
      <c r="F406" s="3" t="n"/>
    </row>
    <row r="407" ht="15.75" customHeight="1" s="90">
      <c r="A407" s="4" t="n"/>
      <c r="F407" s="3" t="n"/>
    </row>
    <row r="408" ht="15.75" customHeight="1" s="90">
      <c r="A408" s="4" t="n"/>
      <c r="F408" s="3" t="n"/>
    </row>
    <row r="409" ht="15.75" customHeight="1" s="90">
      <c r="A409" s="4" t="n"/>
      <c r="F409" s="3" t="n"/>
    </row>
    <row r="410" ht="15.75" customHeight="1" s="90">
      <c r="A410" s="4" t="n"/>
      <c r="F410" s="3" t="n"/>
    </row>
    <row r="411" ht="15.75" customHeight="1" s="90">
      <c r="A411" s="4" t="n"/>
      <c r="F411" s="3" t="n"/>
    </row>
    <row r="412" ht="15.75" customHeight="1" s="90">
      <c r="A412" s="4" t="n"/>
      <c r="F412" s="3" t="n"/>
    </row>
    <row r="413" ht="15.75" customHeight="1" s="90">
      <c r="A413" s="4" t="n"/>
      <c r="F413" s="3" t="n"/>
    </row>
    <row r="414" ht="15.75" customHeight="1" s="90">
      <c r="A414" s="4" t="n"/>
      <c r="F414" s="3" t="n"/>
    </row>
    <row r="415" ht="15.75" customHeight="1" s="90">
      <c r="A415" s="4" t="n"/>
      <c r="F415" s="3" t="n"/>
    </row>
    <row r="416" ht="15.75" customHeight="1" s="90">
      <c r="A416" s="4" t="n"/>
      <c r="F416" s="3" t="n"/>
    </row>
    <row r="417" ht="15.75" customHeight="1" s="90">
      <c r="A417" s="4" t="n"/>
      <c r="F417" s="3" t="n"/>
    </row>
    <row r="418" ht="15.75" customHeight="1" s="90">
      <c r="A418" s="4" t="n"/>
      <c r="F418" s="3" t="n"/>
    </row>
    <row r="419" ht="15.75" customHeight="1" s="90">
      <c r="A419" s="4" t="n"/>
      <c r="F419" s="3" t="n"/>
    </row>
    <row r="420" ht="15.75" customHeight="1" s="90">
      <c r="A420" s="4" t="n"/>
      <c r="F420" s="3" t="n"/>
    </row>
    <row r="421" ht="15.75" customHeight="1" s="90">
      <c r="A421" s="4" t="n"/>
      <c r="F421" s="3" t="n"/>
    </row>
    <row r="422" ht="15.75" customHeight="1" s="90">
      <c r="A422" s="4" t="n"/>
      <c r="F422" s="3" t="n"/>
    </row>
    <row r="423" ht="15.75" customHeight="1" s="90">
      <c r="A423" s="4" t="n"/>
      <c r="F423" s="3" t="n"/>
    </row>
    <row r="424" ht="15.75" customHeight="1" s="90">
      <c r="A424" s="4" t="n"/>
      <c r="F424" s="3" t="n"/>
    </row>
    <row r="425" ht="15.75" customHeight="1" s="90">
      <c r="A425" s="4" t="n"/>
      <c r="F425" s="3" t="n"/>
    </row>
    <row r="426" ht="15.75" customHeight="1" s="90">
      <c r="A426" s="4" t="n"/>
      <c r="F426" s="3" t="n"/>
    </row>
    <row r="427" ht="15.75" customHeight="1" s="90">
      <c r="A427" s="4" t="n"/>
      <c r="F427" s="3" t="n"/>
    </row>
    <row r="428" ht="15.75" customHeight="1" s="90">
      <c r="A428" s="4" t="n"/>
      <c r="F428" s="3" t="n"/>
    </row>
    <row r="429" ht="15.75" customHeight="1" s="90">
      <c r="A429" s="4" t="n"/>
      <c r="F429" s="3" t="n"/>
    </row>
    <row r="430" ht="15.75" customHeight="1" s="90">
      <c r="A430" s="4" t="n"/>
      <c r="F430" s="3" t="n"/>
    </row>
    <row r="431" ht="15.75" customHeight="1" s="90">
      <c r="A431" s="4" t="n"/>
      <c r="F431" s="3" t="n"/>
    </row>
    <row r="432" ht="15.75" customHeight="1" s="90">
      <c r="A432" s="4" t="n"/>
      <c r="F432" s="3" t="n"/>
    </row>
    <row r="433" ht="15.75" customHeight="1" s="90">
      <c r="A433" s="4" t="n"/>
      <c r="F433" s="3" t="n"/>
    </row>
    <row r="434" ht="15.75" customHeight="1" s="90">
      <c r="A434" s="4" t="n"/>
      <c r="F434" s="3" t="n"/>
    </row>
    <row r="435" ht="15.75" customHeight="1" s="90">
      <c r="A435" s="4" t="n"/>
      <c r="F435" s="3" t="n"/>
    </row>
    <row r="436" ht="15.75" customHeight="1" s="90">
      <c r="A436" s="4" t="n"/>
      <c r="F436" s="3" t="n"/>
    </row>
    <row r="437" ht="15.75" customHeight="1" s="90">
      <c r="A437" s="4" t="n"/>
      <c r="F437" s="3" t="n"/>
    </row>
    <row r="438" ht="15.75" customHeight="1" s="90">
      <c r="A438" s="4" t="n"/>
      <c r="F438" s="3" t="n"/>
    </row>
    <row r="439" ht="15.75" customHeight="1" s="90">
      <c r="A439" s="4" t="n"/>
      <c r="F439" s="3" t="n"/>
    </row>
    <row r="440" ht="15.75" customHeight="1" s="90">
      <c r="A440" s="4" t="n"/>
      <c r="F440" s="3" t="n"/>
    </row>
    <row r="441" ht="15.75" customHeight="1" s="90">
      <c r="A441" s="4" t="n"/>
      <c r="F441" s="3" t="n"/>
    </row>
    <row r="442" ht="15.75" customHeight="1" s="90">
      <c r="A442" s="4" t="n"/>
      <c r="F442" s="3" t="n"/>
    </row>
    <row r="443" ht="15.75" customHeight="1" s="90">
      <c r="A443" s="4" t="n"/>
      <c r="F443" s="3" t="n"/>
    </row>
    <row r="444" ht="15.75" customHeight="1" s="90">
      <c r="A444" s="4" t="n"/>
      <c r="F444" s="3" t="n"/>
    </row>
    <row r="445" ht="15.75" customHeight="1" s="90">
      <c r="A445" s="4" t="n"/>
      <c r="F445" s="3" t="n"/>
    </row>
    <row r="446" ht="15.75" customHeight="1" s="90">
      <c r="A446" s="4" t="n"/>
      <c r="F446" s="3" t="n"/>
    </row>
    <row r="447" ht="15.75" customHeight="1" s="90">
      <c r="A447" s="4" t="n"/>
      <c r="F447" s="3" t="n"/>
    </row>
    <row r="448" ht="15.75" customHeight="1" s="90">
      <c r="A448" s="4" t="n"/>
      <c r="F448" s="3" t="n"/>
    </row>
    <row r="449" ht="15.75" customHeight="1" s="90">
      <c r="A449" s="4" t="n"/>
      <c r="F449" s="3" t="n"/>
    </row>
    <row r="450" ht="15.75" customHeight="1" s="90">
      <c r="A450" s="4" t="n"/>
      <c r="F450" s="3" t="n"/>
    </row>
    <row r="451" ht="15.75" customHeight="1" s="90">
      <c r="A451" s="4" t="n"/>
      <c r="F451" s="3" t="n"/>
    </row>
    <row r="452" ht="15.75" customHeight="1" s="90">
      <c r="A452" s="4" t="n"/>
      <c r="F452" s="3" t="n"/>
    </row>
    <row r="453" ht="15.75" customHeight="1" s="90">
      <c r="A453" s="4" t="n"/>
      <c r="F453" s="3" t="n"/>
    </row>
    <row r="454" ht="15.75" customHeight="1" s="90">
      <c r="A454" s="4" t="n"/>
      <c r="F454" s="3" t="n"/>
    </row>
    <row r="455" ht="15.75" customHeight="1" s="90">
      <c r="A455" s="4" t="n"/>
      <c r="F455" s="3" t="n"/>
    </row>
    <row r="456" ht="15.75" customHeight="1" s="90">
      <c r="A456" s="4" t="n"/>
      <c r="F456" s="3" t="n"/>
    </row>
    <row r="457" ht="15.75" customHeight="1" s="90">
      <c r="A457" s="4" t="n"/>
      <c r="F457" s="3" t="n"/>
    </row>
    <row r="458" ht="15.75" customHeight="1" s="90">
      <c r="A458" s="4" t="n"/>
      <c r="F458" s="3" t="n"/>
    </row>
    <row r="459" ht="15.75" customHeight="1" s="90">
      <c r="A459" s="4" t="n"/>
      <c r="F459" s="3" t="n"/>
    </row>
    <row r="460" ht="15.75" customHeight="1" s="90">
      <c r="A460" s="4" t="n"/>
      <c r="F460" s="3" t="n"/>
    </row>
    <row r="461" ht="15.75" customHeight="1" s="90">
      <c r="A461" s="4" t="n"/>
      <c r="F461" s="3" t="n"/>
    </row>
    <row r="462" ht="15.75" customHeight="1" s="90">
      <c r="A462" s="4" t="n"/>
      <c r="F462" s="3" t="n"/>
    </row>
    <row r="463" ht="15.75" customHeight="1" s="90">
      <c r="A463" s="4" t="n"/>
      <c r="F463" s="3" t="n"/>
    </row>
    <row r="464" ht="15.75" customHeight="1" s="90">
      <c r="A464" s="4" t="n"/>
      <c r="F464" s="3" t="n"/>
    </row>
    <row r="465" ht="15.75" customHeight="1" s="90">
      <c r="A465" s="4" t="n"/>
      <c r="F465" s="3" t="n"/>
    </row>
    <row r="466" ht="15.75" customHeight="1" s="90">
      <c r="A466" s="4" t="n"/>
      <c r="F466" s="3" t="n"/>
    </row>
    <row r="467" ht="15.75" customHeight="1" s="90">
      <c r="A467" s="4" t="n"/>
      <c r="F467" s="3" t="n"/>
    </row>
    <row r="468" ht="15.75" customHeight="1" s="90">
      <c r="A468" s="4" t="n"/>
      <c r="F468" s="3" t="n"/>
    </row>
    <row r="469" ht="15.75" customHeight="1" s="90">
      <c r="A469" s="4" t="n"/>
      <c r="F469" s="3" t="n"/>
    </row>
    <row r="470" ht="15.75" customHeight="1" s="90">
      <c r="A470" s="4" t="n"/>
      <c r="F470" s="3" t="n"/>
    </row>
    <row r="471" ht="15.75" customHeight="1" s="90">
      <c r="A471" s="4" t="n"/>
      <c r="F471" s="3" t="n"/>
    </row>
    <row r="472" ht="15.75" customHeight="1" s="90">
      <c r="A472" s="4" t="n"/>
      <c r="F472" s="3" t="n"/>
    </row>
    <row r="473" ht="15.75" customHeight="1" s="90">
      <c r="A473" s="4" t="n"/>
      <c r="F473" s="3" t="n"/>
    </row>
    <row r="474" ht="15.75" customHeight="1" s="90">
      <c r="A474" s="4" t="n"/>
      <c r="F474" s="3" t="n"/>
    </row>
    <row r="475" ht="15.75" customHeight="1" s="90">
      <c r="A475" s="4" t="n"/>
      <c r="F475" s="3" t="n"/>
    </row>
    <row r="476" ht="15.75" customHeight="1" s="90">
      <c r="A476" s="4" t="n"/>
      <c r="F476" s="3" t="n"/>
    </row>
    <row r="477" ht="15.75" customHeight="1" s="90">
      <c r="A477" s="4" t="n"/>
      <c r="F477" s="3" t="n"/>
    </row>
    <row r="478" ht="15.75" customHeight="1" s="90">
      <c r="A478" s="4" t="n"/>
      <c r="F478" s="3" t="n"/>
    </row>
    <row r="479" ht="15.75" customHeight="1" s="90">
      <c r="A479" s="4" t="n"/>
      <c r="F479" s="3" t="n"/>
    </row>
    <row r="480" ht="15.75" customHeight="1" s="90">
      <c r="A480" s="4" t="n"/>
      <c r="F480" s="3" t="n"/>
    </row>
    <row r="481" ht="15.75" customHeight="1" s="90">
      <c r="A481" s="4" t="n"/>
      <c r="F481" s="3" t="n"/>
    </row>
    <row r="482" ht="15.75" customHeight="1" s="90">
      <c r="A482" s="4" t="n"/>
      <c r="F482" s="3" t="n"/>
    </row>
    <row r="483" ht="15.75" customHeight="1" s="90">
      <c r="A483" s="4" t="n"/>
      <c r="F483" s="3" t="n"/>
    </row>
    <row r="484" ht="15.75" customHeight="1" s="90">
      <c r="A484" s="4" t="n"/>
      <c r="F484" s="3" t="n"/>
    </row>
    <row r="485" ht="15.75" customHeight="1" s="90">
      <c r="A485" s="4" t="n"/>
      <c r="F485" s="3" t="n"/>
    </row>
    <row r="486" ht="15.75" customHeight="1" s="90">
      <c r="A486" s="4" t="n"/>
      <c r="F486" s="3" t="n"/>
    </row>
    <row r="487" ht="15.75" customHeight="1" s="90">
      <c r="A487" s="4" t="n"/>
      <c r="F487" s="3" t="n"/>
    </row>
    <row r="488" ht="15.75" customHeight="1" s="90">
      <c r="A488" s="4" t="n"/>
      <c r="F488" s="3" t="n"/>
    </row>
    <row r="489" ht="15.75" customHeight="1" s="90">
      <c r="A489" s="4" t="n"/>
      <c r="F489" s="3" t="n"/>
    </row>
    <row r="490" ht="15.75" customHeight="1" s="90">
      <c r="A490" s="4" t="n"/>
      <c r="F490" s="3" t="n"/>
    </row>
    <row r="491" ht="15.75" customHeight="1" s="90">
      <c r="A491" s="4" t="n"/>
      <c r="F491" s="3" t="n"/>
    </row>
    <row r="492" ht="15.75" customHeight="1" s="90">
      <c r="A492" s="4" t="n"/>
      <c r="F492" s="3" t="n"/>
    </row>
    <row r="493" ht="15.75" customHeight="1" s="90">
      <c r="A493" s="4" t="n"/>
      <c r="F493" s="3" t="n"/>
    </row>
    <row r="494" ht="15.75" customHeight="1" s="90">
      <c r="A494" s="4" t="n"/>
      <c r="F494" s="3" t="n"/>
    </row>
    <row r="495" ht="15.75" customHeight="1" s="90">
      <c r="A495" s="4" t="n"/>
      <c r="F495" s="3" t="n"/>
    </row>
    <row r="496" ht="15.75" customHeight="1" s="90">
      <c r="A496" s="4" t="n"/>
      <c r="F496" s="3" t="n"/>
    </row>
    <row r="497" ht="15.75" customHeight="1" s="90">
      <c r="A497" s="4" t="n"/>
      <c r="F497" s="3" t="n"/>
    </row>
    <row r="498" ht="15.75" customHeight="1" s="90">
      <c r="A498" s="4" t="n"/>
      <c r="F498" s="3" t="n"/>
    </row>
    <row r="499" ht="15.75" customHeight="1" s="90">
      <c r="A499" s="4" t="n"/>
      <c r="F499" s="3" t="n"/>
    </row>
    <row r="500" ht="15.75" customHeight="1" s="90">
      <c r="A500" s="4" t="n"/>
      <c r="F500" s="3" t="n"/>
    </row>
    <row r="501" ht="15.75" customHeight="1" s="90">
      <c r="A501" s="4" t="n"/>
      <c r="F501" s="3" t="n"/>
    </row>
    <row r="502" ht="15.75" customHeight="1" s="90">
      <c r="A502" s="4" t="n"/>
      <c r="F502" s="3" t="n"/>
    </row>
    <row r="503" ht="15.75" customHeight="1" s="90">
      <c r="A503" s="4" t="n"/>
      <c r="F503" s="3" t="n"/>
    </row>
    <row r="504" ht="15.75" customHeight="1" s="90">
      <c r="A504" s="4" t="n"/>
      <c r="F504" s="3" t="n"/>
    </row>
    <row r="505" ht="15.75" customHeight="1" s="90">
      <c r="A505" s="4" t="n"/>
      <c r="F505" s="3" t="n"/>
    </row>
    <row r="506" ht="15.75" customHeight="1" s="90">
      <c r="A506" s="4" t="n"/>
      <c r="F506" s="3" t="n"/>
    </row>
    <row r="507" ht="15.75" customHeight="1" s="90">
      <c r="A507" s="4" t="n"/>
      <c r="F507" s="3" t="n"/>
    </row>
    <row r="508" ht="15.75" customHeight="1" s="90">
      <c r="A508" s="4" t="n"/>
      <c r="F508" s="3" t="n"/>
    </row>
    <row r="509" ht="15.75" customHeight="1" s="90">
      <c r="A509" s="4" t="n"/>
      <c r="F509" s="3" t="n"/>
    </row>
    <row r="510" ht="15.75" customHeight="1" s="90">
      <c r="A510" s="4" t="n"/>
      <c r="F510" s="3" t="n"/>
    </row>
    <row r="511" ht="15.75" customHeight="1" s="90">
      <c r="A511" s="4" t="n"/>
      <c r="F511" s="3" t="n"/>
    </row>
    <row r="512" ht="15.75" customHeight="1" s="90">
      <c r="A512" s="4" t="n"/>
      <c r="F512" s="3" t="n"/>
    </row>
    <row r="513" ht="15.75" customHeight="1" s="90">
      <c r="A513" s="4" t="n"/>
      <c r="F513" s="3" t="n"/>
    </row>
    <row r="514" ht="15.75" customHeight="1" s="90">
      <c r="A514" s="4" t="n"/>
      <c r="F514" s="3" t="n"/>
    </row>
    <row r="515" ht="15.75" customHeight="1" s="90">
      <c r="A515" s="4" t="n"/>
      <c r="F515" s="3" t="n"/>
    </row>
    <row r="516" ht="15.75" customHeight="1" s="90">
      <c r="A516" s="4" t="n"/>
      <c r="F516" s="3" t="n"/>
    </row>
    <row r="517" ht="15.75" customHeight="1" s="90">
      <c r="A517" s="4" t="n"/>
      <c r="F517" s="3" t="n"/>
    </row>
    <row r="518" ht="15.75" customHeight="1" s="90">
      <c r="A518" s="4" t="n"/>
      <c r="F518" s="3" t="n"/>
    </row>
    <row r="519" ht="15.75" customHeight="1" s="90">
      <c r="A519" s="4" t="n"/>
      <c r="F519" s="3" t="n"/>
    </row>
    <row r="520" ht="15.75" customHeight="1" s="90">
      <c r="A520" s="4" t="n"/>
      <c r="F520" s="3" t="n"/>
    </row>
    <row r="521" ht="15.75" customHeight="1" s="90">
      <c r="A521" s="4" t="n"/>
      <c r="F521" s="3" t="n"/>
    </row>
    <row r="522" ht="15.75" customHeight="1" s="90">
      <c r="A522" s="4" t="n"/>
      <c r="F522" s="3" t="n"/>
    </row>
    <row r="523" ht="15.75" customHeight="1" s="90">
      <c r="A523" s="4" t="n"/>
      <c r="F523" s="3" t="n"/>
    </row>
    <row r="524" ht="15.75" customHeight="1" s="90">
      <c r="A524" s="4" t="n"/>
      <c r="F524" s="3" t="n"/>
    </row>
    <row r="525" ht="15.75" customHeight="1" s="90">
      <c r="A525" s="4" t="n"/>
      <c r="F525" s="3" t="n"/>
    </row>
    <row r="526" ht="15.75" customHeight="1" s="90">
      <c r="A526" s="4" t="n"/>
      <c r="F526" s="3" t="n"/>
    </row>
    <row r="527" ht="15.75" customHeight="1" s="90">
      <c r="A527" s="4" t="n"/>
      <c r="F527" s="3" t="n"/>
    </row>
    <row r="528" ht="15.75" customHeight="1" s="90">
      <c r="A528" s="4" t="n"/>
      <c r="F528" s="3" t="n"/>
    </row>
    <row r="529" ht="15.75" customHeight="1" s="90">
      <c r="A529" s="4" t="n"/>
      <c r="F529" s="3" t="n"/>
    </row>
    <row r="530" ht="15.75" customHeight="1" s="90">
      <c r="A530" s="4" t="n"/>
      <c r="F530" s="3" t="n"/>
    </row>
    <row r="531" ht="15.75" customHeight="1" s="90">
      <c r="A531" s="4" t="n"/>
      <c r="F531" s="3" t="n"/>
    </row>
    <row r="532" ht="15.75" customHeight="1" s="90">
      <c r="A532" s="4" t="n"/>
      <c r="F532" s="3" t="n"/>
    </row>
    <row r="533" ht="15.75" customHeight="1" s="90">
      <c r="A533" s="4" t="n"/>
      <c r="F533" s="3" t="n"/>
    </row>
    <row r="534" ht="15.75" customHeight="1" s="90">
      <c r="A534" s="4" t="n"/>
      <c r="F534" s="3" t="n"/>
    </row>
    <row r="535" ht="15.75" customHeight="1" s="90">
      <c r="A535" s="4" t="n"/>
      <c r="F535" s="3" t="n"/>
    </row>
    <row r="536" ht="15.75" customHeight="1" s="90">
      <c r="A536" s="4" t="n"/>
      <c r="F536" s="3" t="n"/>
    </row>
    <row r="537" ht="15.75" customHeight="1" s="90">
      <c r="A537" s="4" t="n"/>
      <c r="F537" s="3" t="n"/>
    </row>
    <row r="538" ht="15.75" customHeight="1" s="90">
      <c r="A538" s="4" t="n"/>
      <c r="F538" s="3" t="n"/>
    </row>
    <row r="539" ht="15.75" customHeight="1" s="90">
      <c r="A539" s="4" t="n"/>
      <c r="F539" s="3" t="n"/>
    </row>
    <row r="540" ht="15.75" customHeight="1" s="90">
      <c r="A540" s="4" t="n"/>
      <c r="F540" s="3" t="n"/>
    </row>
    <row r="541" ht="15.75" customHeight="1" s="90">
      <c r="A541" s="4" t="n"/>
      <c r="F541" s="3" t="n"/>
    </row>
    <row r="542" ht="15.75" customHeight="1" s="90">
      <c r="A542" s="4" t="n"/>
      <c r="F542" s="3" t="n"/>
    </row>
    <row r="543" ht="15.75" customHeight="1" s="90">
      <c r="A543" s="4" t="n"/>
      <c r="F543" s="3" t="n"/>
    </row>
    <row r="544" ht="15.75" customHeight="1" s="90">
      <c r="A544" s="4" t="n"/>
      <c r="F544" s="3" t="n"/>
    </row>
    <row r="545" ht="15.75" customHeight="1" s="90">
      <c r="A545" s="4" t="n"/>
      <c r="F545" s="3" t="n"/>
    </row>
    <row r="546" ht="15.75" customHeight="1" s="90">
      <c r="A546" s="4" t="n"/>
      <c r="F546" s="3" t="n"/>
    </row>
    <row r="547" ht="15.75" customHeight="1" s="90">
      <c r="A547" s="4" t="n"/>
      <c r="F547" s="3" t="n"/>
    </row>
    <row r="548" ht="15.75" customHeight="1" s="90">
      <c r="A548" s="4" t="n"/>
      <c r="F548" s="3" t="n"/>
    </row>
    <row r="549" ht="15.75" customHeight="1" s="90">
      <c r="A549" s="4" t="n"/>
      <c r="F549" s="3" t="n"/>
    </row>
    <row r="550" ht="15.75" customHeight="1" s="90">
      <c r="A550" s="4" t="n"/>
      <c r="F550" s="3" t="n"/>
    </row>
    <row r="551" ht="15.75" customHeight="1" s="90">
      <c r="A551" s="4" t="n"/>
      <c r="F551" s="3" t="n"/>
    </row>
    <row r="552" ht="15.75" customHeight="1" s="90">
      <c r="A552" s="4" t="n"/>
      <c r="F552" s="3" t="n"/>
    </row>
    <row r="553" ht="15.75" customHeight="1" s="90">
      <c r="A553" s="4" t="n"/>
      <c r="F553" s="3" t="n"/>
    </row>
    <row r="554" ht="15.75" customHeight="1" s="90">
      <c r="A554" s="4" t="n"/>
      <c r="F554" s="3" t="n"/>
    </row>
    <row r="555" ht="15.75" customHeight="1" s="90">
      <c r="A555" s="4" t="n"/>
      <c r="F555" s="3" t="n"/>
    </row>
    <row r="556" ht="15.75" customHeight="1" s="90">
      <c r="A556" s="4" t="n"/>
      <c r="F556" s="3" t="n"/>
    </row>
    <row r="557" ht="15.75" customHeight="1" s="90">
      <c r="A557" s="4" t="n"/>
      <c r="F557" s="3" t="n"/>
    </row>
    <row r="558" ht="15.75" customHeight="1" s="90">
      <c r="A558" s="4" t="n"/>
      <c r="F558" s="3" t="n"/>
    </row>
    <row r="559" ht="15.75" customHeight="1" s="90">
      <c r="A559" s="4" t="n"/>
      <c r="F559" s="3" t="n"/>
    </row>
    <row r="560" ht="15.75" customHeight="1" s="90">
      <c r="A560" s="4" t="n"/>
      <c r="F560" s="3" t="n"/>
    </row>
    <row r="561" ht="15.75" customHeight="1" s="90">
      <c r="A561" s="4" t="n"/>
      <c r="F561" s="3" t="n"/>
    </row>
    <row r="562" ht="15.75" customHeight="1" s="90">
      <c r="A562" s="4" t="n"/>
      <c r="F562" s="3" t="n"/>
    </row>
    <row r="563" ht="15.75" customHeight="1" s="90">
      <c r="A563" s="4" t="n"/>
      <c r="F563" s="3" t="n"/>
    </row>
    <row r="564" ht="15.75" customHeight="1" s="90">
      <c r="A564" s="4" t="n"/>
      <c r="F564" s="3" t="n"/>
    </row>
    <row r="565" ht="15.75" customHeight="1" s="90">
      <c r="A565" s="4" t="n"/>
      <c r="F565" s="3" t="n"/>
    </row>
    <row r="566" ht="15.75" customHeight="1" s="90">
      <c r="A566" s="4" t="n"/>
      <c r="F566" s="3" t="n"/>
    </row>
    <row r="567" ht="15.75" customHeight="1" s="90">
      <c r="A567" s="4" t="n"/>
      <c r="F567" s="3" t="n"/>
    </row>
    <row r="568" ht="15.75" customHeight="1" s="90">
      <c r="A568" s="4" t="n"/>
      <c r="F568" s="3" t="n"/>
    </row>
    <row r="569" ht="15.75" customHeight="1" s="90">
      <c r="A569" s="4" t="n"/>
      <c r="F569" s="3" t="n"/>
    </row>
    <row r="570" ht="15.75" customHeight="1" s="90">
      <c r="A570" s="4" t="n"/>
      <c r="F570" s="3" t="n"/>
    </row>
    <row r="571" ht="15.75" customHeight="1" s="90">
      <c r="A571" s="4" t="n"/>
      <c r="F571" s="3" t="n"/>
    </row>
    <row r="572" ht="15.75" customHeight="1" s="90">
      <c r="A572" s="4" t="n"/>
      <c r="F572" s="3" t="n"/>
    </row>
    <row r="573" ht="15.75" customHeight="1" s="90">
      <c r="A573" s="4" t="n"/>
      <c r="F573" s="3" t="n"/>
    </row>
    <row r="574" ht="15.75" customHeight="1" s="90">
      <c r="A574" s="4" t="n"/>
      <c r="F574" s="3" t="n"/>
    </row>
    <row r="575" ht="15.75" customHeight="1" s="90">
      <c r="A575" s="4" t="n"/>
      <c r="F575" s="3" t="n"/>
    </row>
    <row r="576" ht="15.75" customHeight="1" s="90">
      <c r="A576" s="4" t="n"/>
      <c r="F576" s="3" t="n"/>
    </row>
    <row r="577" ht="15.75" customHeight="1" s="90">
      <c r="A577" s="4" t="n"/>
      <c r="F577" s="3" t="n"/>
    </row>
    <row r="578" ht="15.75" customHeight="1" s="90">
      <c r="A578" s="4" t="n"/>
      <c r="F578" s="3" t="n"/>
    </row>
    <row r="579" ht="15.75" customHeight="1" s="90">
      <c r="A579" s="4" t="n"/>
      <c r="F579" s="3" t="n"/>
    </row>
    <row r="580" ht="15.75" customHeight="1" s="90">
      <c r="A580" s="4" t="n"/>
      <c r="F580" s="3" t="n"/>
    </row>
    <row r="581" ht="15.75" customHeight="1" s="90">
      <c r="A581" s="4" t="n"/>
      <c r="F581" s="3" t="n"/>
    </row>
    <row r="582" ht="15.75" customHeight="1" s="90">
      <c r="A582" s="4" t="n"/>
      <c r="F582" s="3" t="n"/>
    </row>
    <row r="583" ht="15.75" customHeight="1" s="90">
      <c r="A583" s="4" t="n"/>
      <c r="F583" s="3" t="n"/>
    </row>
    <row r="584" ht="15.75" customHeight="1" s="90">
      <c r="A584" s="4" t="n"/>
      <c r="F584" s="3" t="n"/>
    </row>
    <row r="585" ht="15.75" customHeight="1" s="90">
      <c r="A585" s="4" t="n"/>
      <c r="F585" s="3" t="n"/>
    </row>
    <row r="586" ht="15.75" customHeight="1" s="90">
      <c r="A586" s="4" t="n"/>
      <c r="F586" s="3" t="n"/>
    </row>
    <row r="587" ht="15.75" customHeight="1" s="90">
      <c r="A587" s="4" t="n"/>
      <c r="F587" s="3" t="n"/>
    </row>
    <row r="588" ht="15.75" customHeight="1" s="90">
      <c r="A588" s="4" t="n"/>
      <c r="F588" s="3" t="n"/>
    </row>
    <row r="589" ht="15.75" customHeight="1" s="90">
      <c r="A589" s="4" t="n"/>
      <c r="F589" s="3" t="n"/>
    </row>
    <row r="590" ht="15.75" customHeight="1" s="90">
      <c r="A590" s="4" t="n"/>
      <c r="F590" s="3" t="n"/>
    </row>
    <row r="591" ht="15.75" customHeight="1" s="90">
      <c r="A591" s="4" t="n"/>
      <c r="F591" s="3" t="n"/>
    </row>
    <row r="592" ht="15.75" customHeight="1" s="90">
      <c r="A592" s="4" t="n"/>
      <c r="F592" s="3" t="n"/>
    </row>
    <row r="593" ht="15.75" customHeight="1" s="90">
      <c r="A593" s="4" t="n"/>
      <c r="F593" s="3" t="n"/>
    </row>
    <row r="594" ht="15.75" customHeight="1" s="90">
      <c r="A594" s="4" t="n"/>
      <c r="F594" s="3" t="n"/>
    </row>
    <row r="595" ht="15.75" customHeight="1" s="90">
      <c r="A595" s="4" t="n"/>
      <c r="F595" s="3" t="n"/>
    </row>
    <row r="596" ht="15.75" customHeight="1" s="90">
      <c r="A596" s="4" t="n"/>
      <c r="F596" s="3" t="n"/>
    </row>
    <row r="597" ht="15.75" customHeight="1" s="90">
      <c r="A597" s="4" t="n"/>
      <c r="F597" s="3" t="n"/>
    </row>
    <row r="598" ht="15.75" customHeight="1" s="90">
      <c r="A598" s="4" t="n"/>
      <c r="F598" s="3" t="n"/>
    </row>
    <row r="599" ht="15.75" customHeight="1" s="90">
      <c r="A599" s="4" t="n"/>
      <c r="F599" s="3" t="n"/>
    </row>
    <row r="600" ht="15.75" customHeight="1" s="90">
      <c r="A600" s="4" t="n"/>
      <c r="F600" s="3" t="n"/>
    </row>
    <row r="601" ht="15.75" customHeight="1" s="90">
      <c r="A601" s="4" t="n"/>
      <c r="F601" s="3" t="n"/>
    </row>
    <row r="602" ht="15.75" customHeight="1" s="90">
      <c r="A602" s="4" t="n"/>
      <c r="F602" s="3" t="n"/>
    </row>
    <row r="603" ht="15.75" customHeight="1" s="90">
      <c r="A603" s="4" t="n"/>
      <c r="F603" s="3" t="n"/>
    </row>
    <row r="604" ht="15.75" customHeight="1" s="90">
      <c r="A604" s="4" t="n"/>
      <c r="F604" s="3" t="n"/>
    </row>
    <row r="605" ht="15.75" customHeight="1" s="90">
      <c r="A605" s="4" t="n"/>
      <c r="F605" s="3" t="n"/>
    </row>
    <row r="606" ht="15.75" customHeight="1" s="90">
      <c r="A606" s="4" t="n"/>
      <c r="F606" s="3" t="n"/>
    </row>
    <row r="607" ht="15.75" customHeight="1" s="90">
      <c r="A607" s="4" t="n"/>
      <c r="F607" s="3" t="n"/>
    </row>
    <row r="608" ht="15.75" customHeight="1" s="90">
      <c r="A608" s="4" t="n"/>
      <c r="F608" s="3" t="n"/>
    </row>
    <row r="609" ht="15.75" customHeight="1" s="90">
      <c r="A609" s="4" t="n"/>
      <c r="F609" s="3" t="n"/>
    </row>
    <row r="610" ht="15.75" customHeight="1" s="90">
      <c r="A610" s="4" t="n"/>
      <c r="F610" s="3" t="n"/>
    </row>
    <row r="611" ht="15.75" customHeight="1" s="90">
      <c r="A611" s="4" t="n"/>
      <c r="F611" s="3" t="n"/>
    </row>
    <row r="612" ht="15.75" customHeight="1" s="90">
      <c r="A612" s="4" t="n"/>
      <c r="F612" s="3" t="n"/>
    </row>
    <row r="613" ht="15.75" customHeight="1" s="90">
      <c r="A613" s="4" t="n"/>
      <c r="F613" s="3" t="n"/>
    </row>
    <row r="614" ht="15.75" customHeight="1" s="90">
      <c r="A614" s="4" t="n"/>
      <c r="F614" s="3" t="n"/>
    </row>
    <row r="615" ht="15.75" customHeight="1" s="90">
      <c r="A615" s="4" t="n"/>
      <c r="F615" s="3" t="n"/>
    </row>
    <row r="616" ht="15.75" customHeight="1" s="90">
      <c r="A616" s="4" t="n"/>
      <c r="F616" s="3" t="n"/>
    </row>
    <row r="617" ht="15.75" customHeight="1" s="90">
      <c r="A617" s="4" t="n"/>
      <c r="F617" s="3" t="n"/>
    </row>
    <row r="618" ht="15.75" customHeight="1" s="90">
      <c r="A618" s="4" t="n"/>
      <c r="F618" s="3" t="n"/>
    </row>
    <row r="619" ht="15.75" customHeight="1" s="90">
      <c r="A619" s="4" t="n"/>
      <c r="F619" s="3" t="n"/>
    </row>
    <row r="620" ht="15.75" customHeight="1" s="90">
      <c r="A620" s="4" t="n"/>
      <c r="F620" s="3" t="n"/>
    </row>
    <row r="621" ht="15.75" customHeight="1" s="90">
      <c r="A621" s="4" t="n"/>
      <c r="F621" s="3" t="n"/>
    </row>
    <row r="622" ht="15.75" customHeight="1" s="90">
      <c r="A622" s="4" t="n"/>
      <c r="F622" s="3" t="n"/>
    </row>
    <row r="623" ht="15.75" customHeight="1" s="90">
      <c r="A623" s="4" t="n"/>
      <c r="F623" s="3" t="n"/>
    </row>
    <row r="624" ht="15.75" customHeight="1" s="90">
      <c r="A624" s="4" t="n"/>
      <c r="F624" s="3" t="n"/>
    </row>
    <row r="625" ht="15.75" customHeight="1" s="90">
      <c r="A625" s="4" t="n"/>
      <c r="F625" s="3" t="n"/>
    </row>
    <row r="626" ht="15.75" customHeight="1" s="90">
      <c r="A626" s="4" t="n"/>
      <c r="F626" s="3" t="n"/>
    </row>
    <row r="627" ht="15.75" customHeight="1" s="90">
      <c r="A627" s="4" t="n"/>
      <c r="F627" s="3" t="n"/>
    </row>
    <row r="628" ht="15.75" customHeight="1" s="90">
      <c r="A628" s="4" t="n"/>
      <c r="F628" s="3" t="n"/>
    </row>
    <row r="629" ht="15.75" customHeight="1" s="90">
      <c r="A629" s="4" t="n"/>
      <c r="F629" s="3" t="n"/>
    </row>
    <row r="630" ht="15.75" customHeight="1" s="90">
      <c r="A630" s="4" t="n"/>
      <c r="F630" s="3" t="n"/>
    </row>
    <row r="631" ht="15.75" customHeight="1" s="90">
      <c r="A631" s="4" t="n"/>
      <c r="F631" s="3" t="n"/>
    </row>
    <row r="632" ht="15.75" customHeight="1" s="90">
      <c r="A632" s="4" t="n"/>
      <c r="F632" s="3" t="n"/>
    </row>
    <row r="633" ht="15.75" customHeight="1" s="90">
      <c r="A633" s="4" t="n"/>
      <c r="F633" s="3" t="n"/>
    </row>
    <row r="634" ht="15.75" customHeight="1" s="90">
      <c r="A634" s="4" t="n"/>
      <c r="F634" s="3" t="n"/>
    </row>
    <row r="635" ht="15.75" customHeight="1" s="90">
      <c r="A635" s="4" t="n"/>
      <c r="F635" s="3" t="n"/>
    </row>
    <row r="636" ht="15.75" customHeight="1" s="90">
      <c r="A636" s="4" t="n"/>
      <c r="F636" s="3" t="n"/>
    </row>
    <row r="637" ht="15.75" customHeight="1" s="90">
      <c r="A637" s="4" t="n"/>
      <c r="F637" s="3" t="n"/>
    </row>
    <row r="638" ht="15.75" customHeight="1" s="90">
      <c r="A638" s="4" t="n"/>
      <c r="F638" s="3" t="n"/>
    </row>
    <row r="639" ht="15.75" customHeight="1" s="90">
      <c r="A639" s="4" t="n"/>
      <c r="F639" s="3" t="n"/>
    </row>
    <row r="640" ht="15.75" customHeight="1" s="90">
      <c r="A640" s="4" t="n"/>
      <c r="F640" s="3" t="n"/>
    </row>
    <row r="641" ht="15.75" customHeight="1" s="90">
      <c r="A641" s="4" t="n"/>
      <c r="F641" s="3" t="n"/>
    </row>
    <row r="642" ht="15.75" customHeight="1" s="90">
      <c r="A642" s="4" t="n"/>
      <c r="F642" s="3" t="n"/>
    </row>
    <row r="643" ht="15.75" customHeight="1" s="90">
      <c r="A643" s="4" t="n"/>
      <c r="F643" s="3" t="n"/>
    </row>
    <row r="644" ht="15.75" customHeight="1" s="90">
      <c r="A644" s="4" t="n"/>
      <c r="F644" s="3" t="n"/>
    </row>
    <row r="645" ht="15.75" customHeight="1" s="90">
      <c r="A645" s="4" t="n"/>
      <c r="F645" s="3" t="n"/>
    </row>
    <row r="646" ht="15.75" customHeight="1" s="90">
      <c r="A646" s="4" t="n"/>
      <c r="F646" s="3" t="n"/>
    </row>
    <row r="647" ht="15.75" customHeight="1" s="90">
      <c r="A647" s="4" t="n"/>
      <c r="F647" s="3" t="n"/>
    </row>
    <row r="648" ht="15.75" customHeight="1" s="90">
      <c r="A648" s="4" t="n"/>
      <c r="F648" s="3" t="n"/>
    </row>
    <row r="649" ht="15.75" customHeight="1" s="90">
      <c r="A649" s="4" t="n"/>
      <c r="F649" s="3" t="n"/>
    </row>
    <row r="650" ht="15.75" customHeight="1" s="90">
      <c r="A650" s="4" t="n"/>
      <c r="F650" s="3" t="n"/>
    </row>
    <row r="651" ht="15.75" customHeight="1" s="90">
      <c r="A651" s="4" t="n"/>
      <c r="F651" s="3" t="n"/>
    </row>
    <row r="652" ht="15.75" customHeight="1" s="90">
      <c r="A652" s="4" t="n"/>
      <c r="F652" s="3" t="n"/>
    </row>
    <row r="653" ht="15.75" customHeight="1" s="90">
      <c r="A653" s="4" t="n"/>
      <c r="F653" s="3" t="n"/>
    </row>
    <row r="654" ht="15.75" customHeight="1" s="90">
      <c r="A654" s="4" t="n"/>
      <c r="F654" s="3" t="n"/>
    </row>
    <row r="655" ht="15.75" customHeight="1" s="90">
      <c r="A655" s="4" t="n"/>
      <c r="F655" s="3" t="n"/>
    </row>
    <row r="656" ht="15.75" customHeight="1" s="90">
      <c r="A656" s="4" t="n"/>
      <c r="F656" s="3" t="n"/>
    </row>
    <row r="657" ht="15.75" customHeight="1" s="90">
      <c r="A657" s="4" t="n"/>
      <c r="F657" s="3" t="n"/>
    </row>
    <row r="658" ht="15.75" customHeight="1" s="90">
      <c r="A658" s="4" t="n"/>
      <c r="F658" s="3" t="n"/>
    </row>
    <row r="659" ht="15.75" customHeight="1" s="90">
      <c r="A659" s="4" t="n"/>
      <c r="F659" s="3" t="n"/>
    </row>
    <row r="660" ht="15.75" customHeight="1" s="90">
      <c r="A660" s="4" t="n"/>
      <c r="F660" s="3" t="n"/>
    </row>
    <row r="661" ht="15.75" customHeight="1" s="90">
      <c r="A661" s="4" t="n"/>
      <c r="F661" s="3" t="n"/>
    </row>
    <row r="662" ht="15.75" customHeight="1" s="90">
      <c r="A662" s="4" t="n"/>
      <c r="F662" s="3" t="n"/>
    </row>
    <row r="663" ht="15.75" customHeight="1" s="90">
      <c r="A663" s="4" t="n"/>
      <c r="F663" s="3" t="n"/>
    </row>
    <row r="664" ht="15.75" customHeight="1" s="90">
      <c r="A664" s="4" t="n"/>
      <c r="F664" s="3" t="n"/>
    </row>
    <row r="665" ht="15.75" customHeight="1" s="90">
      <c r="A665" s="4" t="n"/>
      <c r="F665" s="3" t="n"/>
    </row>
    <row r="666" ht="15.75" customHeight="1" s="90">
      <c r="A666" s="4" t="n"/>
      <c r="F666" s="3" t="n"/>
    </row>
    <row r="667" ht="15.75" customHeight="1" s="90">
      <c r="A667" s="4" t="n"/>
      <c r="F667" s="3" t="n"/>
    </row>
    <row r="668" ht="15.75" customHeight="1" s="90">
      <c r="A668" s="4" t="n"/>
      <c r="F668" s="3" t="n"/>
    </row>
    <row r="669" ht="15.75" customHeight="1" s="90">
      <c r="A669" s="4" t="n"/>
      <c r="F669" s="3" t="n"/>
    </row>
    <row r="670" ht="15.75" customHeight="1" s="90">
      <c r="A670" s="4" t="n"/>
      <c r="F670" s="3" t="n"/>
    </row>
    <row r="671" ht="15.75" customHeight="1" s="90">
      <c r="A671" s="4" t="n"/>
      <c r="F671" s="3" t="n"/>
    </row>
    <row r="672" ht="15.75" customHeight="1" s="90">
      <c r="A672" s="4" t="n"/>
      <c r="F672" s="3" t="n"/>
    </row>
    <row r="673" ht="15.75" customHeight="1" s="90">
      <c r="A673" s="4" t="n"/>
      <c r="F673" s="3" t="n"/>
    </row>
    <row r="674" ht="15.75" customHeight="1" s="90">
      <c r="A674" s="4" t="n"/>
      <c r="F674" s="3" t="n"/>
    </row>
    <row r="675" ht="15.75" customHeight="1" s="90">
      <c r="A675" s="4" t="n"/>
      <c r="F675" s="3" t="n"/>
    </row>
    <row r="676" ht="15.75" customHeight="1" s="90">
      <c r="A676" s="4" t="n"/>
      <c r="F676" s="3" t="n"/>
    </row>
    <row r="677" ht="15.75" customHeight="1" s="90">
      <c r="A677" s="4" t="n"/>
      <c r="F677" s="3" t="n"/>
    </row>
    <row r="678" ht="15.75" customHeight="1" s="90">
      <c r="A678" s="4" t="n"/>
      <c r="F678" s="3" t="n"/>
    </row>
    <row r="679" ht="15.75" customHeight="1" s="90">
      <c r="A679" s="4" t="n"/>
      <c r="F679" s="3" t="n"/>
    </row>
    <row r="680" ht="15.75" customHeight="1" s="90">
      <c r="A680" s="4" t="n"/>
      <c r="F680" s="3" t="n"/>
    </row>
    <row r="681" ht="15.75" customHeight="1" s="90">
      <c r="A681" s="4" t="n"/>
      <c r="F681" s="3" t="n"/>
    </row>
    <row r="682" ht="15.75" customHeight="1" s="90">
      <c r="A682" s="4" t="n"/>
      <c r="F682" s="3" t="n"/>
    </row>
    <row r="683" ht="15.75" customHeight="1" s="90">
      <c r="A683" s="4" t="n"/>
      <c r="F683" s="3" t="n"/>
    </row>
    <row r="684" ht="15.75" customHeight="1" s="90">
      <c r="A684" s="4" t="n"/>
      <c r="F684" s="3" t="n"/>
    </row>
    <row r="685" ht="15.75" customHeight="1" s="90">
      <c r="A685" s="4" t="n"/>
      <c r="F685" s="3" t="n"/>
    </row>
    <row r="686" ht="15.75" customHeight="1" s="90">
      <c r="A686" s="4" t="n"/>
      <c r="F686" s="3" t="n"/>
    </row>
    <row r="687" ht="15.75" customHeight="1" s="90">
      <c r="A687" s="4" t="n"/>
      <c r="F687" s="3" t="n"/>
    </row>
    <row r="688" ht="15.75" customHeight="1" s="90">
      <c r="A688" s="4" t="n"/>
      <c r="F688" s="3" t="n"/>
    </row>
    <row r="689" ht="15.75" customHeight="1" s="90">
      <c r="A689" s="4" t="n"/>
      <c r="F689" s="3" t="n"/>
    </row>
    <row r="690" ht="15.75" customHeight="1" s="90">
      <c r="A690" s="4" t="n"/>
      <c r="F690" s="3" t="n"/>
    </row>
    <row r="691" ht="15.75" customHeight="1" s="90">
      <c r="A691" s="4" t="n"/>
      <c r="F691" s="3" t="n"/>
    </row>
    <row r="692" ht="15.75" customHeight="1" s="90">
      <c r="A692" s="4" t="n"/>
      <c r="F692" s="3" t="n"/>
    </row>
    <row r="693" ht="15.75" customHeight="1" s="90">
      <c r="A693" s="4" t="n"/>
      <c r="F693" s="3" t="n"/>
    </row>
    <row r="694" ht="15.75" customHeight="1" s="90">
      <c r="A694" s="4" t="n"/>
      <c r="F694" s="3" t="n"/>
    </row>
    <row r="695" ht="15.75" customHeight="1" s="90">
      <c r="A695" s="4" t="n"/>
      <c r="F695" s="3" t="n"/>
    </row>
    <row r="696" ht="15.75" customHeight="1" s="90">
      <c r="A696" s="4" t="n"/>
      <c r="F696" s="3" t="n"/>
    </row>
    <row r="697" ht="15.75" customHeight="1" s="90">
      <c r="A697" s="4" t="n"/>
      <c r="F697" s="3" t="n"/>
    </row>
    <row r="698" ht="15.75" customHeight="1" s="90">
      <c r="A698" s="4" t="n"/>
      <c r="F698" s="3" t="n"/>
    </row>
    <row r="699" ht="15.75" customHeight="1" s="90">
      <c r="A699" s="4" t="n"/>
      <c r="F699" s="3" t="n"/>
    </row>
    <row r="700" ht="15.75" customHeight="1" s="90">
      <c r="A700" s="4" t="n"/>
      <c r="F700" s="3" t="n"/>
    </row>
    <row r="701" ht="15.75" customHeight="1" s="90">
      <c r="A701" s="4" t="n"/>
      <c r="F701" s="3" t="n"/>
    </row>
    <row r="702" ht="15.75" customHeight="1" s="90">
      <c r="A702" s="4" t="n"/>
      <c r="F702" s="3" t="n"/>
    </row>
    <row r="703" ht="15.75" customHeight="1" s="90">
      <c r="A703" s="4" t="n"/>
      <c r="F703" s="3" t="n"/>
    </row>
    <row r="704" ht="15.75" customHeight="1" s="90">
      <c r="A704" s="4" t="n"/>
      <c r="F704" s="3" t="n"/>
    </row>
    <row r="705" ht="15.75" customHeight="1" s="90">
      <c r="A705" s="4" t="n"/>
      <c r="F705" s="3" t="n"/>
    </row>
    <row r="706" ht="15.75" customHeight="1" s="90">
      <c r="A706" s="4" t="n"/>
      <c r="F706" s="3" t="n"/>
    </row>
    <row r="707" ht="15.75" customHeight="1" s="90">
      <c r="A707" s="4" t="n"/>
      <c r="F707" s="3" t="n"/>
    </row>
    <row r="708" ht="15.75" customHeight="1" s="90">
      <c r="A708" s="4" t="n"/>
      <c r="F708" s="3" t="n"/>
    </row>
    <row r="709" ht="15.75" customHeight="1" s="90">
      <c r="A709" s="4" t="n"/>
      <c r="F709" s="3" t="n"/>
    </row>
    <row r="710" ht="15.75" customHeight="1" s="90">
      <c r="A710" s="4" t="n"/>
      <c r="F710" s="3" t="n"/>
    </row>
    <row r="711" ht="15.75" customHeight="1" s="90">
      <c r="A711" s="4" t="n"/>
      <c r="F711" s="3" t="n"/>
    </row>
    <row r="712" ht="15.75" customHeight="1" s="90">
      <c r="A712" s="4" t="n"/>
      <c r="F712" s="3" t="n"/>
    </row>
    <row r="713" ht="15.75" customHeight="1" s="90">
      <c r="A713" s="4" t="n"/>
      <c r="F713" s="3" t="n"/>
    </row>
    <row r="714" ht="15.75" customHeight="1" s="90">
      <c r="A714" s="4" t="n"/>
      <c r="F714" s="3" t="n"/>
    </row>
    <row r="715" ht="15.75" customHeight="1" s="90">
      <c r="A715" s="4" t="n"/>
      <c r="F715" s="3" t="n"/>
    </row>
    <row r="716" ht="15.75" customHeight="1" s="90">
      <c r="A716" s="4" t="n"/>
      <c r="F716" s="3" t="n"/>
    </row>
    <row r="717" ht="15.75" customHeight="1" s="90">
      <c r="A717" s="4" t="n"/>
      <c r="F717" s="3" t="n"/>
    </row>
    <row r="718" ht="15.75" customHeight="1" s="90">
      <c r="A718" s="4" t="n"/>
      <c r="F718" s="3" t="n"/>
    </row>
    <row r="719" ht="15.75" customHeight="1" s="90">
      <c r="A719" s="4" t="n"/>
      <c r="F719" s="3" t="n"/>
    </row>
    <row r="720" ht="15.75" customHeight="1" s="90">
      <c r="A720" s="4" t="n"/>
      <c r="F720" s="3" t="n"/>
    </row>
    <row r="721" ht="15.75" customHeight="1" s="90">
      <c r="A721" s="4" t="n"/>
      <c r="F721" s="3" t="n"/>
    </row>
    <row r="722" ht="15.75" customHeight="1" s="90">
      <c r="A722" s="4" t="n"/>
      <c r="F722" s="3" t="n"/>
    </row>
    <row r="723" ht="15.75" customHeight="1" s="90">
      <c r="A723" s="4" t="n"/>
      <c r="F723" s="3" t="n"/>
    </row>
    <row r="724" ht="15.75" customHeight="1" s="90">
      <c r="A724" s="4" t="n"/>
      <c r="F724" s="3" t="n"/>
    </row>
    <row r="725" ht="15.75" customHeight="1" s="90">
      <c r="A725" s="4" t="n"/>
      <c r="F725" s="3" t="n"/>
    </row>
    <row r="726" ht="15.75" customHeight="1" s="90">
      <c r="A726" s="4" t="n"/>
      <c r="F726" s="3" t="n"/>
    </row>
    <row r="727" ht="15.75" customHeight="1" s="90">
      <c r="A727" s="4" t="n"/>
      <c r="F727" s="3" t="n"/>
    </row>
    <row r="728" ht="15.75" customHeight="1" s="90">
      <c r="A728" s="4" t="n"/>
      <c r="F728" s="3" t="n"/>
    </row>
    <row r="729" ht="15.75" customHeight="1" s="90">
      <c r="A729" s="4" t="n"/>
      <c r="F729" s="3" t="n"/>
    </row>
    <row r="730" ht="15.75" customHeight="1" s="90">
      <c r="A730" s="4" t="n"/>
      <c r="F730" s="3" t="n"/>
    </row>
    <row r="731" ht="15.75" customHeight="1" s="90">
      <c r="A731" s="4" t="n"/>
      <c r="F731" s="3" t="n"/>
    </row>
    <row r="732" ht="15.75" customHeight="1" s="90">
      <c r="A732" s="4" t="n"/>
      <c r="F732" s="3" t="n"/>
    </row>
    <row r="733" ht="15.75" customHeight="1" s="90">
      <c r="A733" s="4" t="n"/>
      <c r="F733" s="3" t="n"/>
    </row>
    <row r="734" ht="15.75" customHeight="1" s="90">
      <c r="A734" s="4" t="n"/>
      <c r="F734" s="3" t="n"/>
    </row>
    <row r="735" ht="15.75" customHeight="1" s="90">
      <c r="A735" s="4" t="n"/>
      <c r="F735" s="3" t="n"/>
    </row>
    <row r="736" ht="15.75" customHeight="1" s="90">
      <c r="A736" s="4" t="n"/>
      <c r="F736" s="3" t="n"/>
    </row>
    <row r="737" ht="15.75" customHeight="1" s="90">
      <c r="A737" s="4" t="n"/>
      <c r="F737" s="3" t="n"/>
    </row>
    <row r="738" ht="15.75" customHeight="1" s="90">
      <c r="A738" s="4" t="n"/>
      <c r="F738" s="3" t="n"/>
    </row>
    <row r="739" ht="15.75" customHeight="1" s="90">
      <c r="A739" s="4" t="n"/>
      <c r="F739" s="3" t="n"/>
    </row>
    <row r="740" ht="15.75" customHeight="1" s="90">
      <c r="A740" s="4" t="n"/>
      <c r="F740" s="3" t="n"/>
    </row>
    <row r="741" ht="15.75" customHeight="1" s="90">
      <c r="A741" s="4" t="n"/>
      <c r="F741" s="3" t="n"/>
    </row>
    <row r="742" ht="15.75" customHeight="1" s="90">
      <c r="A742" s="4" t="n"/>
      <c r="F742" s="3" t="n"/>
    </row>
    <row r="743" ht="15.75" customHeight="1" s="90">
      <c r="A743" s="4" t="n"/>
      <c r="F743" s="3" t="n"/>
    </row>
    <row r="744" ht="15.75" customHeight="1" s="90">
      <c r="A744" s="4" t="n"/>
      <c r="F744" s="3" t="n"/>
    </row>
    <row r="745" ht="15.75" customHeight="1" s="90">
      <c r="A745" s="4" t="n"/>
      <c r="F745" s="3" t="n"/>
    </row>
    <row r="746" ht="15.75" customHeight="1" s="90">
      <c r="A746" s="4" t="n"/>
      <c r="F746" s="3" t="n"/>
    </row>
    <row r="747" ht="15.75" customHeight="1" s="90">
      <c r="A747" s="4" t="n"/>
      <c r="F747" s="3" t="n"/>
    </row>
    <row r="748" ht="15.75" customHeight="1" s="90">
      <c r="A748" s="4" t="n"/>
      <c r="F748" s="3" t="n"/>
    </row>
    <row r="749" ht="15.75" customHeight="1" s="90">
      <c r="A749" s="4" t="n"/>
      <c r="F749" s="3" t="n"/>
    </row>
    <row r="750" ht="15.75" customHeight="1" s="90">
      <c r="A750" s="4" t="n"/>
      <c r="F750" s="3" t="n"/>
    </row>
    <row r="751" ht="15.75" customHeight="1" s="90">
      <c r="A751" s="4" t="n"/>
      <c r="F751" s="3" t="n"/>
    </row>
    <row r="752" ht="15.75" customHeight="1" s="90">
      <c r="A752" s="4" t="n"/>
      <c r="F752" s="3" t="n"/>
    </row>
    <row r="753" ht="15.75" customHeight="1" s="90">
      <c r="A753" s="4" t="n"/>
      <c r="F753" s="3" t="n"/>
    </row>
    <row r="754" ht="15.75" customHeight="1" s="90">
      <c r="A754" s="4" t="n"/>
      <c r="F754" s="3" t="n"/>
    </row>
    <row r="755" ht="15.75" customHeight="1" s="90">
      <c r="A755" s="4" t="n"/>
      <c r="F755" s="3" t="n"/>
    </row>
    <row r="756" ht="15.75" customHeight="1" s="90">
      <c r="A756" s="4" t="n"/>
      <c r="F756" s="3" t="n"/>
    </row>
    <row r="757" ht="15.75" customHeight="1" s="90">
      <c r="A757" s="4" t="n"/>
      <c r="F757" s="3" t="n"/>
    </row>
    <row r="758" ht="15.75" customHeight="1" s="90">
      <c r="A758" s="4" t="n"/>
      <c r="F758" s="3" t="n"/>
    </row>
    <row r="759" ht="15.75" customHeight="1" s="90">
      <c r="A759" s="4" t="n"/>
      <c r="F759" s="3" t="n"/>
    </row>
    <row r="760" ht="15.75" customHeight="1" s="90">
      <c r="A760" s="4" t="n"/>
      <c r="F760" s="3" t="n"/>
    </row>
    <row r="761" ht="15.75" customHeight="1" s="90">
      <c r="A761" s="4" t="n"/>
      <c r="F761" s="3" t="n"/>
    </row>
    <row r="762" ht="15.75" customHeight="1" s="90">
      <c r="A762" s="4" t="n"/>
      <c r="F762" s="3" t="n"/>
    </row>
    <row r="763" ht="15.75" customHeight="1" s="90">
      <c r="A763" s="4" t="n"/>
      <c r="F763" s="3" t="n"/>
    </row>
    <row r="764" ht="15.75" customHeight="1" s="90">
      <c r="A764" s="4" t="n"/>
      <c r="F764" s="3" t="n"/>
    </row>
    <row r="765" ht="15.75" customHeight="1" s="90">
      <c r="A765" s="4" t="n"/>
      <c r="F765" s="3" t="n"/>
    </row>
    <row r="766" ht="15.75" customHeight="1" s="90">
      <c r="A766" s="4" t="n"/>
      <c r="F766" s="3" t="n"/>
    </row>
    <row r="767" ht="15.75" customHeight="1" s="90">
      <c r="A767" s="4" t="n"/>
      <c r="F767" s="3" t="n"/>
    </row>
    <row r="768" ht="15.75" customHeight="1" s="90">
      <c r="A768" s="4" t="n"/>
      <c r="F768" s="3" t="n"/>
    </row>
    <row r="769" ht="15.75" customHeight="1" s="90">
      <c r="A769" s="4" t="n"/>
      <c r="F769" s="3" t="n"/>
    </row>
    <row r="770" ht="15.75" customHeight="1" s="90">
      <c r="A770" s="4" t="n"/>
      <c r="F770" s="3" t="n"/>
    </row>
    <row r="771" ht="15.75" customHeight="1" s="90">
      <c r="A771" s="4" t="n"/>
      <c r="F771" s="3" t="n"/>
    </row>
    <row r="772" ht="15.75" customHeight="1" s="90">
      <c r="A772" s="4" t="n"/>
      <c r="F772" s="3" t="n"/>
    </row>
    <row r="773" ht="15.75" customHeight="1" s="90">
      <c r="A773" s="4" t="n"/>
      <c r="F773" s="3" t="n"/>
    </row>
    <row r="774" ht="15.75" customHeight="1" s="90">
      <c r="A774" s="4" t="n"/>
      <c r="F774" s="3" t="n"/>
    </row>
    <row r="775" ht="15.75" customHeight="1" s="90">
      <c r="A775" s="4" t="n"/>
      <c r="F775" s="3" t="n"/>
    </row>
    <row r="776" ht="15.75" customHeight="1" s="90">
      <c r="A776" s="4" t="n"/>
      <c r="F776" s="3" t="n"/>
    </row>
    <row r="777" ht="15.75" customHeight="1" s="90">
      <c r="A777" s="4" t="n"/>
      <c r="F777" s="3" t="n"/>
    </row>
    <row r="778" ht="15.75" customHeight="1" s="90">
      <c r="A778" s="4" t="n"/>
      <c r="F778" s="3" t="n"/>
    </row>
    <row r="779" ht="15.75" customHeight="1" s="90">
      <c r="A779" s="4" t="n"/>
      <c r="F779" s="3" t="n"/>
    </row>
    <row r="780" ht="15.75" customHeight="1" s="90">
      <c r="A780" s="4" t="n"/>
      <c r="F780" s="3" t="n"/>
    </row>
    <row r="781" ht="15.75" customHeight="1" s="90">
      <c r="A781" s="4" t="n"/>
      <c r="F781" s="3" t="n"/>
    </row>
    <row r="782" ht="15.75" customHeight="1" s="90">
      <c r="A782" s="4" t="n"/>
      <c r="F782" s="3" t="n"/>
    </row>
    <row r="783" ht="15.75" customHeight="1" s="90">
      <c r="A783" s="4" t="n"/>
      <c r="F783" s="3" t="n"/>
    </row>
    <row r="784" ht="15.75" customHeight="1" s="90">
      <c r="A784" s="4" t="n"/>
      <c r="F784" s="3" t="n"/>
    </row>
    <row r="785" ht="15.75" customHeight="1" s="90">
      <c r="A785" s="4" t="n"/>
      <c r="F785" s="3" t="n"/>
    </row>
    <row r="786" ht="15.75" customHeight="1" s="90">
      <c r="A786" s="4" t="n"/>
      <c r="F786" s="3" t="n"/>
    </row>
    <row r="787" ht="15.75" customHeight="1" s="90">
      <c r="A787" s="4" t="n"/>
      <c r="F787" s="3" t="n"/>
    </row>
    <row r="788" ht="15.75" customHeight="1" s="90">
      <c r="A788" s="4" t="n"/>
      <c r="F788" s="3" t="n"/>
    </row>
    <row r="789" ht="15.75" customHeight="1" s="90">
      <c r="A789" s="4" t="n"/>
      <c r="F789" s="3" t="n"/>
    </row>
    <row r="790" ht="15.75" customHeight="1" s="90">
      <c r="A790" s="4" t="n"/>
      <c r="F790" s="3" t="n"/>
    </row>
    <row r="791" ht="15.75" customHeight="1" s="90">
      <c r="A791" s="4" t="n"/>
      <c r="F791" s="3" t="n"/>
    </row>
    <row r="792" ht="15.75" customHeight="1" s="90">
      <c r="A792" s="4" t="n"/>
      <c r="F792" s="3" t="n"/>
    </row>
    <row r="793" ht="15.75" customHeight="1" s="90">
      <c r="A793" s="4" t="n"/>
      <c r="F793" s="3" t="n"/>
    </row>
    <row r="794" ht="15.75" customHeight="1" s="90">
      <c r="A794" s="4" t="n"/>
      <c r="F794" s="3" t="n"/>
    </row>
    <row r="795" ht="15.75" customHeight="1" s="90">
      <c r="A795" s="4" t="n"/>
      <c r="F795" s="3" t="n"/>
    </row>
    <row r="796" ht="15.75" customHeight="1" s="90">
      <c r="A796" s="4" t="n"/>
      <c r="F796" s="3" t="n"/>
    </row>
    <row r="797" ht="15.75" customHeight="1" s="90">
      <c r="A797" s="4" t="n"/>
      <c r="F797" s="3" t="n"/>
    </row>
    <row r="798" ht="15.75" customHeight="1" s="90">
      <c r="A798" s="4" t="n"/>
      <c r="F798" s="3" t="n"/>
    </row>
    <row r="799" ht="15.75" customHeight="1" s="90">
      <c r="A799" s="4" t="n"/>
      <c r="F799" s="3" t="n"/>
    </row>
    <row r="800" ht="15.75" customHeight="1" s="90">
      <c r="A800" s="4" t="n"/>
      <c r="F800" s="3" t="n"/>
    </row>
    <row r="801" ht="15.75" customHeight="1" s="90">
      <c r="A801" s="4" t="n"/>
      <c r="F801" s="3" t="n"/>
    </row>
    <row r="802" ht="15.75" customHeight="1" s="90">
      <c r="A802" s="4" t="n"/>
      <c r="F802" s="3" t="n"/>
    </row>
    <row r="803" ht="15.75" customHeight="1" s="90">
      <c r="A803" s="4" t="n"/>
      <c r="F803" s="3" t="n"/>
    </row>
    <row r="804" ht="15.75" customHeight="1" s="90">
      <c r="A804" s="4" t="n"/>
      <c r="F804" s="3" t="n"/>
    </row>
    <row r="805" ht="15.75" customHeight="1" s="90">
      <c r="A805" s="4" t="n"/>
      <c r="F805" s="3" t="n"/>
    </row>
    <row r="806" ht="15.75" customHeight="1" s="90">
      <c r="A806" s="4" t="n"/>
      <c r="F806" s="3" t="n"/>
    </row>
    <row r="807" ht="15.75" customHeight="1" s="90">
      <c r="A807" s="4" t="n"/>
      <c r="F807" s="3" t="n"/>
    </row>
    <row r="808" ht="15.75" customHeight="1" s="90">
      <c r="A808" s="4" t="n"/>
      <c r="F808" s="3" t="n"/>
    </row>
    <row r="809" ht="15.75" customHeight="1" s="90">
      <c r="A809" s="4" t="n"/>
      <c r="F809" s="3" t="n"/>
    </row>
    <row r="810" ht="15.75" customHeight="1" s="90">
      <c r="A810" s="4" t="n"/>
      <c r="F810" s="3" t="n"/>
    </row>
    <row r="811" ht="15.75" customHeight="1" s="90">
      <c r="A811" s="4" t="n"/>
      <c r="F811" s="3" t="n"/>
    </row>
    <row r="812" ht="15.75" customHeight="1" s="90">
      <c r="A812" s="4" t="n"/>
      <c r="F812" s="3" t="n"/>
    </row>
    <row r="813" ht="15.75" customHeight="1" s="90">
      <c r="A813" s="4" t="n"/>
      <c r="F813" s="3" t="n"/>
    </row>
    <row r="814" ht="15.75" customHeight="1" s="90">
      <c r="A814" s="4" t="n"/>
      <c r="F814" s="3" t="n"/>
    </row>
    <row r="815" ht="15.75" customHeight="1" s="90">
      <c r="A815" s="4" t="n"/>
      <c r="F815" s="3" t="n"/>
    </row>
    <row r="816" ht="15.75" customHeight="1" s="90">
      <c r="A816" s="4" t="n"/>
      <c r="F816" s="3" t="n"/>
    </row>
    <row r="817" ht="15.75" customHeight="1" s="90">
      <c r="A817" s="4" t="n"/>
      <c r="F817" s="3" t="n"/>
    </row>
    <row r="818" ht="15.75" customHeight="1" s="90">
      <c r="A818" s="4" t="n"/>
      <c r="F818" s="3" t="n"/>
    </row>
    <row r="819" ht="15.75" customHeight="1" s="90">
      <c r="A819" s="4" t="n"/>
      <c r="F819" s="3" t="n"/>
    </row>
    <row r="820" ht="15.75" customHeight="1" s="90">
      <c r="A820" s="4" t="n"/>
      <c r="F820" s="3" t="n"/>
    </row>
    <row r="821" ht="15.75" customHeight="1" s="90">
      <c r="A821" s="4" t="n"/>
      <c r="F821" s="3" t="n"/>
    </row>
    <row r="822" ht="15.75" customHeight="1" s="90">
      <c r="A822" s="4" t="n"/>
      <c r="F822" s="3" t="n"/>
    </row>
    <row r="823" ht="15.75" customHeight="1" s="90">
      <c r="A823" s="4" t="n"/>
      <c r="F823" s="3" t="n"/>
    </row>
    <row r="824" ht="15.75" customHeight="1" s="90">
      <c r="A824" s="4" t="n"/>
      <c r="F824" s="3" t="n"/>
    </row>
    <row r="825" ht="15.75" customHeight="1" s="90">
      <c r="A825" s="4" t="n"/>
      <c r="F825" s="3" t="n"/>
    </row>
    <row r="826" ht="15.75" customHeight="1" s="90">
      <c r="A826" s="4" t="n"/>
      <c r="F826" s="3" t="n"/>
    </row>
    <row r="827" ht="15.75" customHeight="1" s="90">
      <c r="A827" s="4" t="n"/>
      <c r="F827" s="3" t="n"/>
    </row>
    <row r="828" ht="15.75" customHeight="1" s="90">
      <c r="A828" s="4" t="n"/>
      <c r="F828" s="3" t="n"/>
    </row>
    <row r="829" ht="15.75" customHeight="1" s="90">
      <c r="A829" s="4" t="n"/>
      <c r="F829" s="3" t="n"/>
    </row>
    <row r="830" ht="15.75" customHeight="1" s="90">
      <c r="A830" s="4" t="n"/>
      <c r="F830" s="3" t="n"/>
    </row>
    <row r="831" ht="15.75" customHeight="1" s="90">
      <c r="A831" s="4" t="n"/>
      <c r="F831" s="3" t="n"/>
    </row>
    <row r="832" ht="15.75" customHeight="1" s="90">
      <c r="A832" s="4" t="n"/>
      <c r="F832" s="3" t="n"/>
    </row>
    <row r="833" ht="15.75" customHeight="1" s="90">
      <c r="A833" s="4" t="n"/>
      <c r="F833" s="3" t="n"/>
    </row>
    <row r="834" ht="15.75" customHeight="1" s="90">
      <c r="A834" s="4" t="n"/>
      <c r="F834" s="3" t="n"/>
    </row>
    <row r="835" ht="15.75" customHeight="1" s="90">
      <c r="A835" s="4" t="n"/>
      <c r="F835" s="3" t="n"/>
    </row>
    <row r="836" ht="15.75" customHeight="1" s="90">
      <c r="A836" s="4" t="n"/>
      <c r="F836" s="3" t="n"/>
    </row>
    <row r="837" ht="15.75" customHeight="1" s="90">
      <c r="A837" s="4" t="n"/>
      <c r="F837" s="3" t="n"/>
    </row>
    <row r="838" ht="15.75" customHeight="1" s="90">
      <c r="A838" s="4" t="n"/>
      <c r="F838" s="3" t="n"/>
    </row>
    <row r="839" ht="15.75" customHeight="1" s="90">
      <c r="A839" s="4" t="n"/>
      <c r="F839" s="3" t="n"/>
    </row>
    <row r="840" ht="15.75" customHeight="1" s="90">
      <c r="A840" s="4" t="n"/>
      <c r="F840" s="3" t="n"/>
    </row>
    <row r="841" ht="15.75" customHeight="1" s="90">
      <c r="A841" s="4" t="n"/>
      <c r="F841" s="3" t="n"/>
    </row>
    <row r="842" ht="15.75" customHeight="1" s="90">
      <c r="A842" s="4" t="n"/>
      <c r="F842" s="3" t="n"/>
    </row>
    <row r="843" ht="15.75" customHeight="1" s="90">
      <c r="A843" s="4" t="n"/>
      <c r="F843" s="3" t="n"/>
    </row>
    <row r="844" ht="15.75" customHeight="1" s="90">
      <c r="A844" s="4" t="n"/>
      <c r="F844" s="3" t="n"/>
    </row>
    <row r="845" ht="15.75" customHeight="1" s="90">
      <c r="A845" s="4" t="n"/>
      <c r="F845" s="3" t="n"/>
    </row>
    <row r="846" ht="15.75" customHeight="1" s="90">
      <c r="A846" s="4" t="n"/>
      <c r="F846" s="3" t="n"/>
    </row>
    <row r="847" ht="15.75" customHeight="1" s="90">
      <c r="A847" s="4" t="n"/>
      <c r="F847" s="3" t="n"/>
    </row>
    <row r="848" ht="15.75" customHeight="1" s="90">
      <c r="A848" s="4" t="n"/>
      <c r="F848" s="3" t="n"/>
    </row>
    <row r="849" ht="15.75" customHeight="1" s="90">
      <c r="A849" s="4" t="n"/>
      <c r="F849" s="3" t="n"/>
    </row>
    <row r="850" ht="15.75" customHeight="1" s="90">
      <c r="A850" s="4" t="n"/>
      <c r="F850" s="3" t="n"/>
    </row>
    <row r="851" ht="15.75" customHeight="1" s="90">
      <c r="A851" s="4" t="n"/>
      <c r="F851" s="3" t="n"/>
    </row>
    <row r="852" ht="15.75" customHeight="1" s="90">
      <c r="A852" s="4" t="n"/>
      <c r="F852" s="3" t="n"/>
    </row>
    <row r="853" ht="15.75" customHeight="1" s="90">
      <c r="A853" s="4" t="n"/>
      <c r="F853" s="3" t="n"/>
    </row>
    <row r="854" ht="15.75" customHeight="1" s="90">
      <c r="A854" s="4" t="n"/>
      <c r="F854" s="3" t="n"/>
    </row>
    <row r="855" ht="15.75" customHeight="1" s="90">
      <c r="A855" s="4" t="n"/>
      <c r="F855" s="3" t="n"/>
    </row>
    <row r="856" ht="15.75" customHeight="1" s="90">
      <c r="A856" s="4" t="n"/>
      <c r="F856" s="3" t="n"/>
    </row>
    <row r="857" ht="15.75" customHeight="1" s="90">
      <c r="A857" s="4" t="n"/>
      <c r="F857" s="3" t="n"/>
    </row>
    <row r="858" ht="15.75" customHeight="1" s="90">
      <c r="A858" s="4" t="n"/>
      <c r="F858" s="3" t="n"/>
    </row>
    <row r="859" ht="15.75" customHeight="1" s="90">
      <c r="A859" s="4" t="n"/>
      <c r="F859" s="3" t="n"/>
    </row>
    <row r="860" ht="15.75" customHeight="1" s="90">
      <c r="A860" s="4" t="n"/>
      <c r="F860" s="3" t="n"/>
    </row>
    <row r="861" ht="15.75" customHeight="1" s="90">
      <c r="A861" s="4" t="n"/>
      <c r="F861" s="3" t="n"/>
    </row>
    <row r="862" ht="15.75" customHeight="1" s="90">
      <c r="A862" s="4" t="n"/>
      <c r="F862" s="3" t="n"/>
    </row>
    <row r="863" ht="15.75" customHeight="1" s="90">
      <c r="A863" s="4" t="n"/>
      <c r="F863" s="3" t="n"/>
    </row>
    <row r="864" ht="15.75" customHeight="1" s="90">
      <c r="A864" s="4" t="n"/>
      <c r="F864" s="3" t="n"/>
    </row>
    <row r="865" ht="15.75" customHeight="1" s="90">
      <c r="A865" s="4" t="n"/>
      <c r="F865" s="3" t="n"/>
    </row>
    <row r="866" ht="15.75" customHeight="1" s="90">
      <c r="A866" s="4" t="n"/>
      <c r="F866" s="3" t="n"/>
    </row>
    <row r="867" ht="15.75" customHeight="1" s="90">
      <c r="A867" s="4" t="n"/>
      <c r="F867" s="3" t="n"/>
    </row>
    <row r="868" ht="15.75" customHeight="1" s="90">
      <c r="A868" s="4" t="n"/>
      <c r="F868" s="3" t="n"/>
    </row>
    <row r="869" ht="15.75" customHeight="1" s="90">
      <c r="A869" s="4" t="n"/>
      <c r="F869" s="3" t="n"/>
    </row>
    <row r="870" ht="15.75" customHeight="1" s="90">
      <c r="A870" s="4" t="n"/>
      <c r="F870" s="3" t="n"/>
    </row>
    <row r="871" ht="15.75" customHeight="1" s="90">
      <c r="A871" s="4" t="n"/>
      <c r="F871" s="3" t="n"/>
    </row>
    <row r="872" ht="15.75" customHeight="1" s="90">
      <c r="A872" s="4" t="n"/>
      <c r="F872" s="3" t="n"/>
    </row>
    <row r="873" ht="15.75" customHeight="1" s="90">
      <c r="A873" s="4" t="n"/>
      <c r="F873" s="3" t="n"/>
    </row>
    <row r="874" ht="15.75" customHeight="1" s="90">
      <c r="A874" s="4" t="n"/>
      <c r="F874" s="3" t="n"/>
    </row>
    <row r="875" ht="15.75" customHeight="1" s="90">
      <c r="A875" s="4" t="n"/>
      <c r="F875" s="3" t="n"/>
    </row>
    <row r="876" ht="15.75" customHeight="1" s="90">
      <c r="A876" s="4" t="n"/>
      <c r="F876" s="3" t="n"/>
    </row>
    <row r="877" ht="15.75" customHeight="1" s="90">
      <c r="A877" s="4" t="n"/>
      <c r="F877" s="3" t="n"/>
    </row>
    <row r="878" ht="15.75" customHeight="1" s="90">
      <c r="A878" s="4" t="n"/>
      <c r="F878" s="3" t="n"/>
    </row>
    <row r="879" ht="15.75" customHeight="1" s="90">
      <c r="A879" s="4" t="n"/>
      <c r="F879" s="3" t="n"/>
    </row>
    <row r="880" ht="15.75" customHeight="1" s="90">
      <c r="A880" s="4" t="n"/>
      <c r="F880" s="3" t="n"/>
    </row>
    <row r="881" ht="15.75" customHeight="1" s="90">
      <c r="A881" s="4" t="n"/>
      <c r="F881" s="3" t="n"/>
    </row>
    <row r="882" ht="15.75" customHeight="1" s="90">
      <c r="A882" s="4" t="n"/>
      <c r="F882" s="3" t="n"/>
    </row>
    <row r="883" ht="15.75" customHeight="1" s="90">
      <c r="A883" s="4" t="n"/>
      <c r="F883" s="3" t="n"/>
    </row>
    <row r="884" ht="15.75" customHeight="1" s="90">
      <c r="A884" s="4" t="n"/>
      <c r="F884" s="3" t="n"/>
    </row>
    <row r="885" ht="15.75" customHeight="1" s="90">
      <c r="A885" s="4" t="n"/>
      <c r="F885" s="3" t="n"/>
    </row>
    <row r="886" ht="15.75" customHeight="1" s="90">
      <c r="A886" s="4" t="n"/>
      <c r="F886" s="3" t="n"/>
    </row>
    <row r="887" ht="15.75" customHeight="1" s="90">
      <c r="A887" s="4" t="n"/>
      <c r="F887" s="3" t="n"/>
    </row>
    <row r="888" ht="15.75" customHeight="1" s="90">
      <c r="A888" s="4" t="n"/>
      <c r="F888" s="3" t="n"/>
    </row>
    <row r="889" ht="15.75" customHeight="1" s="90">
      <c r="A889" s="4" t="n"/>
      <c r="F889" s="3" t="n"/>
    </row>
    <row r="890" ht="15.75" customHeight="1" s="90">
      <c r="A890" s="4" t="n"/>
      <c r="F890" s="3" t="n"/>
    </row>
    <row r="891" ht="15.75" customHeight="1" s="90">
      <c r="A891" s="4" t="n"/>
      <c r="F891" s="3" t="n"/>
    </row>
    <row r="892" ht="15.75" customHeight="1" s="90">
      <c r="A892" s="4" t="n"/>
      <c r="F892" s="3" t="n"/>
    </row>
    <row r="893" ht="15.75" customHeight="1" s="90">
      <c r="A893" s="4" t="n"/>
      <c r="F893" s="3" t="n"/>
    </row>
    <row r="894" ht="15.75" customHeight="1" s="90">
      <c r="A894" s="4" t="n"/>
      <c r="F894" s="3" t="n"/>
    </row>
    <row r="895" ht="15.75" customHeight="1" s="90">
      <c r="A895" s="4" t="n"/>
      <c r="F895" s="3" t="n"/>
    </row>
    <row r="896" ht="15.75" customHeight="1" s="90">
      <c r="A896" s="4" t="n"/>
      <c r="F896" s="3" t="n"/>
    </row>
    <row r="897" ht="15.75" customHeight="1" s="90">
      <c r="A897" s="4" t="n"/>
      <c r="F897" s="3" t="n"/>
    </row>
    <row r="898" ht="15.75" customHeight="1" s="90">
      <c r="A898" s="4" t="n"/>
      <c r="F898" s="3" t="n"/>
    </row>
    <row r="899" ht="15.75" customHeight="1" s="90">
      <c r="A899" s="4" t="n"/>
      <c r="F899" s="3" t="n"/>
    </row>
    <row r="900" ht="15.75" customHeight="1" s="90">
      <c r="A900" s="4" t="n"/>
      <c r="F900" s="3" t="n"/>
    </row>
    <row r="901" ht="15.75" customHeight="1" s="90">
      <c r="A901" s="4" t="n"/>
      <c r="F901" s="3" t="n"/>
    </row>
    <row r="902" ht="15.75" customHeight="1" s="90">
      <c r="A902" s="4" t="n"/>
      <c r="F902" s="3" t="n"/>
    </row>
    <row r="903" ht="15.75" customHeight="1" s="90">
      <c r="A903" s="4" t="n"/>
      <c r="F903" s="3" t="n"/>
    </row>
    <row r="904" ht="15.75" customHeight="1" s="90">
      <c r="A904" s="4" t="n"/>
      <c r="F904" s="3" t="n"/>
    </row>
    <row r="905" ht="15.75" customHeight="1" s="90">
      <c r="A905" s="4" t="n"/>
      <c r="F905" s="3" t="n"/>
    </row>
    <row r="906" ht="15.75" customHeight="1" s="90">
      <c r="A906" s="4" t="n"/>
      <c r="F906" s="3" t="n"/>
    </row>
    <row r="907" ht="15.75" customHeight="1" s="90">
      <c r="A907" s="4" t="n"/>
      <c r="F907" s="3" t="n"/>
    </row>
    <row r="908" ht="15.75" customHeight="1" s="90">
      <c r="A908" s="4" t="n"/>
      <c r="F908" s="3" t="n"/>
    </row>
    <row r="909" ht="15.75" customHeight="1" s="90">
      <c r="A909" s="4" t="n"/>
      <c r="F909" s="3" t="n"/>
    </row>
    <row r="910" ht="15.75" customHeight="1" s="90">
      <c r="A910" s="4" t="n"/>
      <c r="F910" s="3" t="n"/>
    </row>
    <row r="911" ht="15.75" customHeight="1" s="90">
      <c r="A911" s="4" t="n"/>
      <c r="F911" s="3" t="n"/>
    </row>
    <row r="912" ht="15.75" customHeight="1" s="90">
      <c r="A912" s="4" t="n"/>
      <c r="F912" s="3" t="n"/>
    </row>
    <row r="913" ht="15.75" customHeight="1" s="90">
      <c r="A913" s="4" t="n"/>
      <c r="F913" s="3" t="n"/>
    </row>
    <row r="914" ht="15.75" customHeight="1" s="90">
      <c r="A914" s="4" t="n"/>
      <c r="F914" s="3" t="n"/>
    </row>
    <row r="915" ht="15.75" customHeight="1" s="90">
      <c r="A915" s="4" t="n"/>
      <c r="F915" s="3" t="n"/>
    </row>
    <row r="916" ht="15.75" customHeight="1" s="90">
      <c r="A916" s="4" t="n"/>
      <c r="F916" s="3" t="n"/>
    </row>
    <row r="917" ht="15.75" customHeight="1" s="90">
      <c r="A917" s="4" t="n"/>
      <c r="F917" s="3" t="n"/>
    </row>
    <row r="918" ht="15.75" customHeight="1" s="90">
      <c r="A918" s="4" t="n"/>
      <c r="F918" s="3" t="n"/>
    </row>
    <row r="919" ht="15.75" customHeight="1" s="90">
      <c r="A919" s="4" t="n"/>
      <c r="F919" s="3" t="n"/>
    </row>
    <row r="920" ht="15.75" customHeight="1" s="90">
      <c r="A920" s="4" t="n"/>
      <c r="F920" s="3" t="n"/>
    </row>
    <row r="921" ht="15.75" customHeight="1" s="90">
      <c r="A921" s="4" t="n"/>
      <c r="F921" s="3" t="n"/>
    </row>
    <row r="922" ht="15.75" customHeight="1" s="90">
      <c r="A922" s="4" t="n"/>
      <c r="F922" s="3" t="n"/>
    </row>
    <row r="923" ht="15.75" customHeight="1" s="90">
      <c r="A923" s="4" t="n"/>
      <c r="F923" s="3" t="n"/>
    </row>
    <row r="924" ht="15.75" customHeight="1" s="90">
      <c r="A924" s="4" t="n"/>
      <c r="F924" s="3" t="n"/>
    </row>
    <row r="925" ht="15.75" customHeight="1" s="90">
      <c r="A925" s="4" t="n"/>
      <c r="F925" s="3" t="n"/>
    </row>
    <row r="926" ht="15.75" customHeight="1" s="90">
      <c r="A926" s="4" t="n"/>
      <c r="F926" s="3" t="n"/>
    </row>
    <row r="927" ht="15.75" customHeight="1" s="90">
      <c r="A927" s="4" t="n"/>
      <c r="F927" s="3" t="n"/>
    </row>
    <row r="928" ht="15.75" customHeight="1" s="90">
      <c r="A928" s="4" t="n"/>
      <c r="F928" s="3" t="n"/>
    </row>
    <row r="929" ht="15.75" customHeight="1" s="90">
      <c r="A929" s="4" t="n"/>
      <c r="F929" s="3" t="n"/>
    </row>
    <row r="930" ht="15.75" customHeight="1" s="90">
      <c r="A930" s="4" t="n"/>
      <c r="F930" s="3" t="n"/>
    </row>
    <row r="931" ht="15.75" customHeight="1" s="90">
      <c r="A931" s="4" t="n"/>
      <c r="F931" s="3" t="n"/>
    </row>
    <row r="932" ht="15.75" customHeight="1" s="90">
      <c r="A932" s="4" t="n"/>
      <c r="F932" s="3" t="n"/>
    </row>
    <row r="933" ht="15.75" customHeight="1" s="90">
      <c r="A933" s="4" t="n"/>
      <c r="F933" s="3" t="n"/>
    </row>
    <row r="934" ht="15.75" customHeight="1" s="90">
      <c r="A934" s="4" t="n"/>
      <c r="F934" s="3" t="n"/>
    </row>
    <row r="935" ht="15.75" customHeight="1" s="90">
      <c r="A935" s="4" t="n"/>
      <c r="F935" s="3" t="n"/>
    </row>
    <row r="936" ht="15.75" customHeight="1" s="90">
      <c r="A936" s="4" t="n"/>
      <c r="F936" s="3" t="n"/>
    </row>
    <row r="937" ht="15.75" customHeight="1" s="90">
      <c r="A937" s="4" t="n"/>
      <c r="F937" s="3" t="n"/>
    </row>
    <row r="938" ht="15.75" customHeight="1" s="90">
      <c r="A938" s="4" t="n"/>
      <c r="F938" s="3" t="n"/>
    </row>
    <row r="939" ht="15.75" customHeight="1" s="90">
      <c r="A939" s="4" t="n"/>
      <c r="F939" s="3" t="n"/>
    </row>
    <row r="940" ht="15.75" customHeight="1" s="90">
      <c r="A940" s="4" t="n"/>
      <c r="F940" s="3" t="n"/>
    </row>
    <row r="941" ht="15.75" customHeight="1" s="90">
      <c r="A941" s="4" t="n"/>
      <c r="F941" s="3" t="n"/>
    </row>
    <row r="942" ht="15.75" customHeight="1" s="90">
      <c r="A942" s="4" t="n"/>
      <c r="F942" s="3" t="n"/>
    </row>
    <row r="943" ht="15.75" customHeight="1" s="90">
      <c r="A943" s="4" t="n"/>
      <c r="F943" s="3" t="n"/>
    </row>
    <row r="944" ht="15.75" customHeight="1" s="90">
      <c r="A944" s="4" t="n"/>
      <c r="F944" s="3" t="n"/>
    </row>
    <row r="945" ht="15.75" customHeight="1" s="90">
      <c r="A945" s="4" t="n"/>
      <c r="F945" s="3" t="n"/>
    </row>
    <row r="946" ht="15.75" customHeight="1" s="90">
      <c r="A946" s="4" t="n"/>
      <c r="F946" s="3" t="n"/>
    </row>
    <row r="947" ht="15.75" customHeight="1" s="90">
      <c r="A947" s="4" t="n"/>
      <c r="F947" s="3" t="n"/>
    </row>
    <row r="948" ht="15.75" customHeight="1" s="90">
      <c r="A948" s="4" t="n"/>
      <c r="F948" s="3" t="n"/>
    </row>
    <row r="949" ht="15.75" customHeight="1" s="90">
      <c r="A949" s="4" t="n"/>
      <c r="F949" s="3" t="n"/>
    </row>
    <row r="950" ht="15.75" customHeight="1" s="90">
      <c r="A950" s="4" t="n"/>
      <c r="F950" s="3" t="n"/>
    </row>
    <row r="951" ht="15.75" customHeight="1" s="90">
      <c r="A951" s="4" t="n"/>
      <c r="F951" s="3" t="n"/>
    </row>
    <row r="952" ht="15.75" customHeight="1" s="90">
      <c r="A952" s="4" t="n"/>
      <c r="F952" s="3" t="n"/>
    </row>
    <row r="953" ht="15.75" customHeight="1" s="90">
      <c r="A953" s="4" t="n"/>
      <c r="F953" s="3" t="n"/>
    </row>
    <row r="954" ht="15.75" customHeight="1" s="90">
      <c r="A954" s="4" t="n"/>
      <c r="F954" s="3" t="n"/>
    </row>
    <row r="955" ht="15.75" customHeight="1" s="90">
      <c r="A955" s="4" t="n"/>
      <c r="F955" s="3" t="n"/>
    </row>
    <row r="956" ht="15.75" customHeight="1" s="90">
      <c r="A956" s="4" t="n"/>
      <c r="F956" s="3" t="n"/>
    </row>
    <row r="957" ht="15.75" customHeight="1" s="90">
      <c r="A957" s="4" t="n"/>
      <c r="F957" s="3" t="n"/>
    </row>
    <row r="958" ht="15.75" customHeight="1" s="90">
      <c r="A958" s="4" t="n"/>
      <c r="F958" s="3" t="n"/>
    </row>
    <row r="959" ht="15.75" customHeight="1" s="90">
      <c r="A959" s="4" t="n"/>
      <c r="F959" s="3" t="n"/>
    </row>
    <row r="960" ht="15.75" customHeight="1" s="90">
      <c r="A960" s="4" t="n"/>
      <c r="F960" s="3" t="n"/>
    </row>
    <row r="961" ht="15.75" customHeight="1" s="90">
      <c r="A961" s="4" t="n"/>
      <c r="F961" s="3" t="n"/>
    </row>
    <row r="962" ht="15.75" customHeight="1" s="90">
      <c r="A962" s="4" t="n"/>
      <c r="F962" s="3" t="n"/>
    </row>
    <row r="963" ht="15.75" customHeight="1" s="90">
      <c r="A963" s="4" t="n"/>
      <c r="F963" s="3" t="n"/>
    </row>
    <row r="964" ht="15.75" customHeight="1" s="90">
      <c r="A964" s="4" t="n"/>
      <c r="F964" s="3" t="n"/>
    </row>
    <row r="965" ht="15.75" customHeight="1" s="90">
      <c r="A965" s="4" t="n"/>
      <c r="F965" s="3" t="n"/>
    </row>
    <row r="966" ht="15.75" customHeight="1" s="90">
      <c r="A966" s="4" t="n"/>
      <c r="F966" s="3" t="n"/>
    </row>
    <row r="967" ht="15.75" customHeight="1" s="90">
      <c r="A967" s="4" t="n"/>
      <c r="F967" s="3" t="n"/>
    </row>
    <row r="968" ht="15.75" customHeight="1" s="90">
      <c r="A968" s="4" t="n"/>
      <c r="F968" s="3" t="n"/>
    </row>
    <row r="969" ht="15.75" customHeight="1" s="90">
      <c r="A969" s="4" t="n"/>
      <c r="F969" s="3" t="n"/>
    </row>
    <row r="970" ht="15.75" customHeight="1" s="90">
      <c r="A970" s="4" t="n"/>
      <c r="F970" s="3" t="n"/>
    </row>
    <row r="971" ht="15.75" customHeight="1" s="90">
      <c r="A971" s="4" t="n"/>
      <c r="F971" s="3" t="n"/>
    </row>
    <row r="972" ht="15.75" customHeight="1" s="90">
      <c r="A972" s="4" t="n"/>
      <c r="F972" s="3" t="n"/>
    </row>
    <row r="973" ht="15.75" customHeight="1" s="90">
      <c r="A973" s="4" t="n"/>
      <c r="F973" s="3" t="n"/>
    </row>
    <row r="974" ht="15.75" customHeight="1" s="90">
      <c r="A974" s="4" t="n"/>
      <c r="F974" s="3" t="n"/>
    </row>
    <row r="975" ht="15.75" customHeight="1" s="90">
      <c r="A975" s="4" t="n"/>
      <c r="F975" s="3" t="n"/>
    </row>
    <row r="976" ht="15.75" customHeight="1" s="90">
      <c r="A976" s="4" t="n"/>
      <c r="F976" s="3" t="n"/>
    </row>
    <row r="977" ht="15.75" customHeight="1" s="90">
      <c r="A977" s="4" t="n"/>
      <c r="F977" s="3" t="n"/>
    </row>
    <row r="978" ht="15.75" customHeight="1" s="90">
      <c r="A978" s="4" t="n"/>
      <c r="F978" s="3" t="n"/>
    </row>
    <row r="979" ht="15.75" customHeight="1" s="90">
      <c r="A979" s="4" t="n"/>
      <c r="F979" s="3" t="n"/>
    </row>
    <row r="980" ht="15.75" customHeight="1" s="90">
      <c r="A980" s="4" t="n"/>
      <c r="F980" s="3" t="n"/>
    </row>
    <row r="981" ht="15.75" customHeight="1" s="90">
      <c r="A981" s="4" t="n"/>
      <c r="F981" s="3" t="n"/>
    </row>
    <row r="982" ht="15.75" customHeight="1" s="90">
      <c r="A982" s="4" t="n"/>
      <c r="F982" s="3" t="n"/>
    </row>
    <row r="983" ht="15.75" customHeight="1" s="90">
      <c r="A983" s="4" t="n"/>
      <c r="F983" s="3" t="n"/>
    </row>
    <row r="984" ht="15.75" customHeight="1" s="90">
      <c r="A984" s="4" t="n"/>
      <c r="F984" s="3" t="n"/>
    </row>
    <row r="985" ht="15.75" customHeight="1" s="90">
      <c r="A985" s="4" t="n"/>
      <c r="F985" s="3" t="n"/>
    </row>
    <row r="986" ht="15.75" customHeight="1" s="90">
      <c r="A986" s="4" t="n"/>
      <c r="F986" s="3" t="n"/>
    </row>
    <row r="987" ht="15.75" customHeight="1" s="90">
      <c r="A987" s="4" t="n"/>
      <c r="F987" s="3" t="n"/>
    </row>
    <row r="988" ht="15.75" customHeight="1" s="90">
      <c r="A988" s="4" t="n"/>
      <c r="F988" s="3" t="n"/>
    </row>
    <row r="989" ht="15.75" customHeight="1" s="90">
      <c r="A989" s="4" t="n"/>
      <c r="F989" s="3" t="n"/>
    </row>
    <row r="990" ht="15.75" customHeight="1" s="90">
      <c r="A990" s="4" t="n"/>
      <c r="F990" s="3" t="n"/>
    </row>
    <row r="991" ht="15.75" customHeight="1" s="90">
      <c r="A991" s="4" t="n"/>
      <c r="F991" s="3" t="n"/>
    </row>
    <row r="992" ht="15.75" customHeight="1" s="90">
      <c r="A992" s="4" t="n"/>
      <c r="F992" s="3" t="n"/>
    </row>
    <row r="993" ht="15.75" customHeight="1" s="90">
      <c r="A993" s="4" t="n"/>
      <c r="F993" s="3" t="n"/>
    </row>
    <row r="994" ht="15.75" customHeight="1" s="90">
      <c r="A994" s="4" t="n"/>
      <c r="F994" s="3" t="n"/>
    </row>
    <row r="995" ht="15.75" customHeight="1" s="90">
      <c r="A995" s="4" t="n"/>
      <c r="F995" s="3" t="n"/>
    </row>
    <row r="996" ht="15.75" customHeight="1" s="90">
      <c r="A996" s="4" t="n"/>
      <c r="F996" s="3" t="n"/>
    </row>
    <row r="997" ht="15.75" customHeight="1" s="90">
      <c r="A997" s="4" t="n"/>
      <c r="F997" s="3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1" topLeftCell="A28" activePane="bottomLeft" state="frozen"/>
      <selection pane="bottomLeft" activeCell="C32" sqref="C32"/>
    </sheetView>
  </sheetViews>
  <sheetFormatPr baseColWidth="8" defaultColWidth="14.42578125" defaultRowHeight="15" customHeight="1"/>
  <cols>
    <col width="10" customWidth="1" style="90" min="1" max="1"/>
    <col width="12" customWidth="1" style="90" min="2" max="2"/>
    <col width="88" customWidth="1" style="90" min="3" max="3"/>
    <col width="20.7109375" customWidth="1" style="90" min="4" max="4"/>
    <col width="14.42578125" customWidth="1" style="90" min="5" max="5"/>
    <col width="8.7109375" customWidth="1" style="90" min="6" max="6"/>
  </cols>
  <sheetData>
    <row r="1" ht="12.75" customHeight="1" s="90">
      <c r="A1" s="13" t="inlineStr">
        <is>
          <t>Cards_Id</t>
        </is>
      </c>
      <c r="B1" s="13" t="inlineStr">
        <is>
          <t>Status</t>
        </is>
      </c>
      <c r="C1" s="13" t="inlineStr">
        <is>
          <t>Feedbacks_Long_Description</t>
        </is>
      </c>
      <c r="D1" s="5" t="n"/>
    </row>
    <row r="2" ht="42" customHeight="1" s="90">
      <c r="A2" s="49" t="n">
        <v>1</v>
      </c>
      <c r="B2" s="23" t="inlineStr">
        <is>
          <t>PRAWDA</t>
        </is>
      </c>
      <c r="C2" s="24" t="inlineStr">
        <is>
          <t>Audyt ujawnił dokładny obraz firmy – wiesz gdzie jesteś i co wymaga wzmocnienia. Masz solidną podstawę do budowania planu transformacji i każdej kolejnej decyzji inwestycyjnej.</t>
        </is>
      </c>
      <c r="D2" s="61" t="n"/>
    </row>
    <row r="3" ht="42" customHeight="1" s="90">
      <c r="A3" s="49" t="n">
        <v>2</v>
      </c>
      <c r="B3" s="23" t="inlineStr">
        <is>
          <t>PRAWDA</t>
        </is>
      </c>
      <c r="C3" s="24" t="inlineStr">
        <is>
          <t>Masz precyzyjny obraz klientów i rozumiesz co ich motywuje. Twoje decyzje marketingowe i produktowe będą celniejsze niż u konkurentów którzy działają na domysłach.</t>
        </is>
      </c>
      <c r="D3" s="61" t="n"/>
    </row>
    <row r="4" ht="42" customHeight="1" s="90">
      <c r="A4" s="49" t="n">
        <v>3</v>
      </c>
      <c r="B4" s="23" t="inlineStr">
        <is>
          <t>PRAWDA</t>
        </is>
      </c>
      <c r="C4" s="24" t="inlineStr">
        <is>
          <t>Twoja propozycja wartości jest wyraźna i przekonująca. Klienci rozumieją dlaczego mają wybrać właśnie Ciebie spośród dziesiątek sklepów z grillami.</t>
        </is>
      </c>
      <c r="D4" s="61" t="n"/>
    </row>
    <row r="5" ht="42" customHeight="1" s="90">
      <c r="A5" s="49" t="n">
        <v>4</v>
      </c>
      <c r="B5" s="23" t="inlineStr">
        <is>
          <t>PRAWDA</t>
        </is>
      </c>
      <c r="C5" s="24" t="inlineStr">
        <is>
          <t>Znasz mocne i słabe strony rywali oraz luki rynkowe które możesz zagospodarować. To bezcenna wiedza – teraz możesz trafić tam gdzie konkurencja jest najsłabsza.</t>
        </is>
      </c>
      <c r="D5" s="61" t="n"/>
    </row>
    <row r="6" ht="42" customHeight="1" s="90">
      <c r="A6" s="49" t="n">
        <v>5</v>
      </c>
      <c r="B6" s="23" t="inlineStr">
        <is>
          <t>PRAWDA</t>
        </is>
      </c>
      <c r="C6" s="24" t="inlineStr">
        <is>
          <t>Platforma idealnie dopasowana do Twoich potrzeb. Integracje działają sprawnie i możesz skupić się na sprzedaży zamiast problemach technicznych.</t>
        </is>
      </c>
      <c r="D6" s="61" t="n"/>
    </row>
    <row r="7" ht="42" customHeight="1" s="90">
      <c r="A7" s="49" t="n">
        <v>6</v>
      </c>
      <c r="B7" s="23" t="inlineStr">
        <is>
          <t>PRAWDA</t>
        </is>
      </c>
      <c r="C7" s="24" t="inlineStr">
        <is>
          <t>Profesjonalny katalog który sprzedaje przez całą dobę. Klienci mają wszystko czego potrzebują do decyzji – bez konieczności dzwonienia i wychodzenia ze sklepu.</t>
        </is>
      </c>
      <c r="D7" s="61" t="n"/>
    </row>
    <row r="8" ht="42" customHeight="1" s="90">
      <c r="A8" s="49" t="n">
        <v>7</v>
      </c>
      <c r="B8" s="23" t="inlineStr">
        <is>
          <t>PRAWDA</t>
        </is>
      </c>
      <c r="C8" s="24" t="inlineStr">
        <is>
          <t>Ceny które zarabiają i wygrywają z konkurencją jednocześnie. Model cenowy jest spójny – marże zdrowe, klienci zadowoleni, a Ty wiesz dokładnie ile zarabiasz na każdej transakcji.</t>
        </is>
      </c>
      <c r="D8" s="61" t="n"/>
    </row>
    <row r="9" ht="42" customHeight="1" s="90">
      <c r="A9" s="49" t="n">
        <v>8</v>
      </c>
      <c r="B9" s="23" t="inlineStr">
        <is>
          <t>PRAWDA</t>
        </is>
      </c>
      <c r="C9" s="24" t="inlineStr">
        <is>
          <t>Integracja ERP i CRM działa bezproblemowo. Zamówienia spływają automatycznie, stany magazynowe się zgadzają, a dane klientów są zawsze aktualne i dostępne w jednym miejscu.</t>
        </is>
      </c>
      <c r="D9" s="61" t="n"/>
    </row>
    <row r="10" ht="42" customHeight="1" s="90">
      <c r="A10" s="49" t="n">
        <v>8</v>
      </c>
      <c r="B10" s="25" t="inlineStr">
        <is>
          <t>FAŁSZ</t>
        </is>
      </c>
      <c r="C10" s="24" t="inlineStr">
        <is>
          <t>Ręczna synchronizacja danych generuje błędy i opóźnienia. Klienci zamawiają produkty których nie ma w magazynie – a Ty tracisz czas na ręczne korekty zamiast rozwijać sprzedaż.</t>
        </is>
      </c>
      <c r="D10" s="61" t="n"/>
    </row>
    <row r="11" ht="42" customHeight="1" s="90">
      <c r="A11" s="49" t="n">
        <v>9</v>
      </c>
      <c r="B11" s="23" t="inlineStr">
        <is>
          <t>PRAWDA</t>
        </is>
      </c>
      <c r="C11" s="24" t="inlineStr">
        <is>
          <t>Logistyka jest Twoją przewagą. Szybka dostawa, przejrzyste zwroty i konkurencyjne koszty sprawiają że klienci wracają i polecają sklep znajomym.</t>
        </is>
      </c>
      <c r="D11" s="61" t="n"/>
    </row>
    <row r="12" ht="42" customHeight="1" s="90">
      <c r="A12" s="49" t="n">
        <v>10</v>
      </c>
      <c r="B12" s="23" t="inlineStr">
        <is>
          <t>PRAWDA</t>
        </is>
      </c>
      <c r="C12" s="24" t="inlineStr">
        <is>
          <t>Zielona logistyka stała się realnym atutem marki. Klienci ekologicznie świadomi aktywnie wybierają Twój sklep – certyfikaty środowiskowe robią robotę.</t>
        </is>
      </c>
      <c r="D12" s="61" t="n"/>
    </row>
    <row r="13" ht="42" customHeight="1" s="90">
      <c r="A13" s="49" t="n">
        <v>11</v>
      </c>
      <c r="B13" s="23" t="inlineStr">
        <is>
          <t>PRAWDA</t>
        </is>
      </c>
      <c r="C13" s="24" t="inlineStr">
        <is>
          <t>Bogaty wybór metod płatności eliminuje bariery zakupowe. Odsetek porzuconych koszyków z powodu braku preferowanej metody płatności spadł do absolutnego minimum.</t>
        </is>
      </c>
      <c r="D13" s="61" t="n"/>
    </row>
    <row r="14" ht="42" customHeight="1" s="90">
      <c r="A14" s="49" t="n">
        <v>12</v>
      </c>
      <c r="B14" s="23" t="inlineStr">
        <is>
          <t>PRAWDA</t>
        </is>
      </c>
      <c r="C14" s="24" t="inlineStr">
        <is>
          <t>Obsługa na poziomie który buduje lojalność. Szybkie odpowiedzi i bezproblemowe zwroty przekształcają problemy w pozytywne doświadczenia i powracających klientów.</t>
        </is>
      </c>
      <c r="D14" s="61" t="n"/>
    </row>
    <row r="15" ht="42" customHeight="1" s="90">
      <c r="A15" s="49" t="n">
        <v>13</v>
      </c>
      <c r="B15" s="23" t="inlineStr">
        <is>
          <t>PRAWDA</t>
        </is>
      </c>
      <c r="C15" s="24" t="inlineStr">
        <is>
          <t>Zespół sprawnie operuje narzędziami i procesami. E-commerce manager trzyma rękę na pulsie – sklep działa jak dobrze naoliwiona maszyna od pierwszego dnia.</t>
        </is>
      </c>
      <c r="D15" s="61" t="n"/>
    </row>
    <row r="16" ht="42" customHeight="1" s="90">
      <c r="A16" s="49" t="n">
        <v>14</v>
      </c>
      <c r="B16" s="23" t="inlineStr">
        <is>
          <t>PRAWDA</t>
        </is>
      </c>
      <c r="C16" s="24" t="inlineStr">
        <is>
          <t>Strategia marketingowa jest spójna i mierzalna. Każdy kanał ma swoją rolę i budżet – działasz planowo zamiast chaotycznie, a każda złotówka ma określony cel.</t>
        </is>
      </c>
      <c r="D16" s="61" t="n"/>
    </row>
    <row r="17" ht="42" customHeight="1" s="90">
      <c r="A17" s="49" t="n">
        <v>15</v>
      </c>
      <c r="B17" s="23" t="inlineStr">
        <is>
          <t>PRAWDA</t>
        </is>
      </c>
      <c r="C17" s="24" t="inlineStr">
        <is>
          <t>Sklep jest intuicyjny i szybki na każdym urządzeniu. Klienci docierają do kasy bez frustracji – ścieżka zakupowa nie stawia żadnych niepotrzebnych barier.</t>
        </is>
      </c>
      <c r="D17" s="61" t="n"/>
    </row>
    <row r="18" ht="42" customHeight="1" s="90">
      <c r="A18" s="49" t="n">
        <v>15</v>
      </c>
      <c r="B18" s="25" t="inlineStr">
        <is>
          <t>FAŁSZ</t>
        </is>
      </c>
      <c r="C18" s="24" t="inlineStr">
        <is>
          <t>Sklep zaprojektowany bez uwzględnienia katalogu produktów i ograniczeń platformy. Nawigacja nie odpowiada strukturze oferty, a część funkcji UX jest technicznie niemożliwa do wdrożenia. Klienci odchodzą sfrustrowaną – a przeprojektowanie kosztuje tyle co pierwsze wdrożenie.</t>
        </is>
      </c>
      <c r="D18" s="61" t="n"/>
    </row>
    <row r="19" ht="42" customHeight="1" s="90">
      <c r="A19" s="49" t="n">
        <v>16</v>
      </c>
      <c r="B19" s="23" t="inlineStr">
        <is>
          <t>PRAWDA</t>
        </is>
      </c>
      <c r="C19" s="24" t="inlineStr">
        <is>
          <t>Masz pełny wgląd w to co działa. Dane z dashboardu KPI pozwalają reagować na problemy zanim staną się kryzysem i alokować budżet tam gdzie przynosi największy zwrot.</t>
        </is>
      </c>
      <c r="D19" s="61" t="n"/>
    </row>
    <row r="20" ht="42" customHeight="1" s="90">
      <c r="A20" s="49" t="n">
        <v>17</v>
      </c>
      <c r="B20" s="23" t="inlineStr">
        <is>
          <t>PRAWDA</t>
        </is>
      </c>
      <c r="C20" s="24" t="inlineStr">
        <is>
          <t>Start przebiegł bez żadnego błędu technicznego. Pierwsi klienci mieli doskonałe doświadczenie – zaufanie do marki budowane jest od pierwszej wizyty.</t>
        </is>
      </c>
      <c r="D20" s="61" t="n"/>
    </row>
    <row r="21" ht="42" customHeight="1" s="90">
      <c r="A21" s="49" t="n">
        <v>18</v>
      </c>
      <c r="B21" s="23" t="inlineStr">
        <is>
          <t>PRAWDA</t>
        </is>
      </c>
      <c r="C21" s="24" t="inlineStr">
        <is>
          <t>Sklep w pełni zgodny z prawem. Klienci widzą przejrzyste warunki zakupu i czują że trafiają do profesjonalnego i wiarygodnego sprzedawcy.</t>
        </is>
      </c>
      <c r="D21" s="61" t="n"/>
    </row>
    <row r="22" ht="42" customHeight="1" s="90">
      <c r="A22" s="49" t="n">
        <v>19</v>
      </c>
      <c r="B22" s="23" t="inlineStr">
        <is>
          <t>PRAWDA</t>
        </is>
      </c>
      <c r="C22" s="24" t="inlineStr">
        <is>
          <t>Kampania pre-launch zebrała ponad 2 000 adresów email. W dniu startu masz do kogo napisać – i generujesz sprzedaż od pierwszych godzin bez potrzeby płatnych reklam.</t>
        </is>
      </c>
      <c r="D22" s="61" t="n"/>
    </row>
    <row r="23" ht="42" customHeight="1" s="90">
      <c r="A23" s="49" t="n">
        <v>19</v>
      </c>
      <c r="B23" s="25" t="inlineStr">
        <is>
          <t>FAŁSZ</t>
        </is>
      </c>
      <c r="C23" s="24" t="inlineStr">
        <is>
          <t>Kampania pre-launch bez segmentacji klientów i strategii marketingowej to losowe działania w social media. Zebrane emaile należą do osób niezainteresowanych Twoją ofertą – lista jest bezużyteczna. W dniu startu wysyłasz do pustej widowni.</t>
        </is>
      </c>
      <c r="D23" s="61" t="n"/>
    </row>
    <row r="24" ht="42" customHeight="1" s="90">
      <c r="A24" s="49" t="n">
        <v>20</v>
      </c>
      <c r="B24" s="23" t="inlineStr">
        <is>
          <t>PRAWDA</t>
        </is>
      </c>
      <c r="C24" s="24" t="inlineStr">
        <is>
          <t>Model finansowy potwierdza opłacalność i wskazuje realistyczny próg rentowności. Wiesz ile musisz sprzedać i możesz planować budżet marketingowy bez zgadywania.</t>
        </is>
      </c>
      <c r="D24" s="61" t="n"/>
    </row>
    <row r="25" ht="42" customHeight="1" s="90">
      <c r="A25" s="49" t="n">
        <v>21</v>
      </c>
      <c r="B25" s="23" t="inlineStr">
        <is>
          <t>PRAWDA</t>
        </is>
      </c>
      <c r="C25" s="24" t="inlineStr">
        <is>
          <t>Mapa podróży klienta ujawniła krytyczne momenty w których możesz zachwycić lub stracić kupującego. Sklep i komunikacja są teraz zoptymalizowane pod rzeczywiste zachowania.</t>
        </is>
      </c>
      <c r="D25" s="61" t="n"/>
    </row>
    <row r="26" ht="42" customHeight="1" s="90">
      <c r="A26" s="49" t="n">
        <v>22</v>
      </c>
      <c r="B26" s="23" t="inlineStr">
        <is>
          <t>PRAWDA</t>
        </is>
      </c>
      <c r="C26" s="24" t="inlineStr">
        <is>
          <t>Pilotaż ujawnił kilka krytycznych błędów zanim zobaczył je cały rynek. Poprawki wprowadzone w ciszy kosztują ułamek kryzysu reputacyjnego przy pełnym launchu.</t>
        </is>
      </c>
      <c r="D26" s="61" t="n"/>
    </row>
    <row r="27" ht="42" customHeight="1" s="90">
      <c r="A27" s="51" t="n">
        <v>23</v>
      </c>
      <c r="B27" s="23" t="inlineStr">
        <is>
          <t>PRAWDA</t>
        </is>
      </c>
      <c r="C27" s="26" t="inlineStr">
        <is>
          <t>Oficjalny start! Mapa 2 jest odblokowana. Mnożnik przygotowania aktywny – Twoje decyzje rynkowe są tym silniejsze im więcej kart zagrałeś na Mapie 1. Czas na zdobywanie rynku.</t>
        </is>
      </c>
      <c r="D27" s="61" t="n"/>
    </row>
    <row r="28" ht="42" customHeight="1" s="90">
      <c r="A28" s="51" t="n">
        <v>23</v>
      </c>
      <c r="B28" s="25" t="inlineStr">
        <is>
          <t>FAŁSZ</t>
        </is>
      </c>
      <c r="C28" s="26" t="inlineStr">
        <is>
          <t>Sklep uruchomiony bez sprawdzonych płatności lub testów technicznych. Pierwsi klienci trafiają na błędy w procesie zakupu – i już nie wracają. Zaufanie do marki buduje się latami, a traci w pierwszej minucie od startu.</t>
        </is>
      </c>
      <c r="D28" s="61" t="n"/>
    </row>
    <row r="29" ht="42" customHeight="1" s="90">
      <c r="A29" s="53" t="n">
        <v>24</v>
      </c>
      <c r="B29" s="23" t="inlineStr">
        <is>
          <t>PRAWDA</t>
        </is>
      </c>
      <c r="C29" s="27" t="inlineStr">
        <is>
          <t>SEO przynosi efekty. Ruch organiczny rośnie co miesiąc, a koszt pozyskania klienta z Google jest kilkukrotnie niższy niż z płatnych reklam – i rośnie bez wzrostu budżetu.</t>
        </is>
      </c>
      <c r="D29" s="61" t="n"/>
    </row>
    <row r="30" ht="42" customHeight="1" s="90">
      <c r="A30" s="53" t="n">
        <v>25</v>
      </c>
      <c r="B30" s="23" t="inlineStr">
        <is>
          <t>PRAWDA</t>
        </is>
      </c>
      <c r="C30" s="27" t="inlineStr">
        <is>
          <t>Google Ads generuje pozytywny ROAS. Kampanie Shopping trafiają w intencje zakupowe klientów w chwili gdy są gotowi zapłacić – sprzedaż rośnie przy kontrolowanych kosztach.</t>
        </is>
      </c>
      <c r="D30" s="61" t="n"/>
    </row>
    <row r="31" ht="42" customHeight="1" s="90">
      <c r="A31" s="53" t="n">
        <v>26</v>
      </c>
      <c r="B31" s="23" t="inlineStr">
        <is>
          <t>PRAWDA</t>
        </is>
      </c>
      <c r="C31" s="27" t="inlineStr">
        <is>
          <t>Social media budują aktywną społeczność fanów grillowania. Organiczny zasięg rośnie, a kampanie Meta trafiają precyzyjnie do segmentu docelowego z rosnącą skutecznością.</t>
        </is>
      </c>
      <c r="D31" s="61" t="n"/>
    </row>
    <row r="32" ht="42" customHeight="1" s="90">
      <c r="A32" s="53" t="n">
        <v>27</v>
      </c>
      <c r="B32" s="23" t="inlineStr">
        <is>
          <t>PRAWDA</t>
        </is>
      </c>
      <c r="C32" s="27" t="inlineStr">
        <is>
          <t>Blog grillowy stał się źródłem wartościowego ruchu organicznego. Klienci trafiają przez eksperckie treści i są już gotowi do zakupu – konwersja z tego kanału należy do najwyższych.</t>
        </is>
      </c>
      <c r="D32" s="61" t="n"/>
    </row>
    <row r="33" ht="42" customHeight="1" s="90">
      <c r="A33" s="53" t="n">
        <v>27</v>
      </c>
      <c r="B33" s="25" t="inlineStr">
        <is>
          <t>FAŁSZ</t>
        </is>
      </c>
      <c r="C33" s="27" t="inlineStr">
        <is>
          <t>Blog istnieje ale nikt go nie czyta. Treści niezoptymalizowane pod SEO nie pojawiają się w wynikach wyszukiwania – inwestycja w content nie przynosi zwrotu bez solidnego fundamentu SEO.</t>
        </is>
      </c>
      <c r="D33" s="61" t="n"/>
    </row>
    <row r="34" ht="42" customHeight="1" s="90">
      <c r="A34" s="53" t="n">
        <v>28</v>
      </c>
      <c r="B34" s="23" t="inlineStr">
        <is>
          <t>PRAWDA</t>
        </is>
      </c>
      <c r="C34" s="27" t="inlineStr">
        <is>
          <t>Automatyzacja email pracuje za Ciebie bez przerwy. Porzucone koszyki odzyskiwane automatycznie, personalizowane kampanie z open rate 3× wyższym niż branżowa średnia.</t>
        </is>
      </c>
      <c r="D34" s="61" t="n"/>
    </row>
    <row r="35" ht="42" customHeight="1" s="90">
      <c r="A35" s="53" t="n">
        <v>29</v>
      </c>
      <c r="B35" s="23" t="inlineStr">
        <is>
          <t>PRAWDA</t>
        </is>
      </c>
      <c r="C35" s="27" t="inlineStr">
        <is>
          <t>Iteracyjne poprawki UX przynoszą wymierne efekty. Konwersja wzrosła znacząco po uproszczeniu procesu zakupowego – dane behawioralne wskazywały dokładnie gdzie są problemy.</t>
        </is>
      </c>
      <c r="D35" s="61" t="n"/>
    </row>
    <row r="36" ht="42" customHeight="1" s="90">
      <c r="A36" s="53" t="n">
        <v>30</v>
      </c>
      <c r="B36" s="23" t="inlineStr">
        <is>
          <t>PRAWDA</t>
        </is>
      </c>
      <c r="C36" s="27" t="inlineStr">
        <is>
          <t>Testy A/B odsłaniają zaskakujące prawdy o zachowaniach klientów. Każda iteracja podnosi konwersję – decyzje oparte na danych systematycznie wyprzedzają intuicję.</t>
        </is>
      </c>
      <c r="D36" s="61" t="n"/>
    </row>
    <row r="37" ht="42" customHeight="1" s="90">
      <c r="A37" s="53" t="n">
        <v>30</v>
      </c>
      <c r="B37" s="25" t="inlineStr">
        <is>
          <t>FAŁSZ</t>
        </is>
      </c>
      <c r="C37" s="27" t="inlineStr">
        <is>
          <t>Testy A/B bez danych behawioralnych z UX i bez systemu KPI dają wyniki przypadkowe. Nie wiesz co testować ani jak mierzyć sukces. Decyzje podejmowane na podstawie takich testów są tak samo ryzykowne jak intuicja – tylko droższe.</t>
        </is>
      </c>
      <c r="D37" s="61" t="n"/>
    </row>
    <row r="38" ht="42" customHeight="1" s="90">
      <c r="A38" s="53" t="n">
        <v>31</v>
      </c>
      <c r="B38" s="23" t="inlineStr">
        <is>
          <t>PRAWDA</t>
        </is>
      </c>
      <c r="C38" s="27" t="inlineStr">
        <is>
          <t>Program lojalnościowy angażuje rosnącą grupę klientów. Powracający kupujący generują większość przychodu przy znacznie niższych kosztach niż pozyskanie nowych.</t>
        </is>
      </c>
      <c r="D38" s="61" t="n"/>
    </row>
    <row r="39" ht="42" customHeight="1" s="90">
      <c r="A39" s="53" t="n">
        <v>32</v>
      </c>
      <c r="B39" s="23" t="inlineStr">
        <is>
          <t>PRAWDA</t>
        </is>
      </c>
      <c r="C39" s="27" t="inlineStr">
        <is>
          <t>Allegro otwiera dostęp do milionów kupujących bez kosztów budowania własnego ruchu. Marketplace przyciąga nowych klientów którzy następnie wracają bezpośrednio do Twojego sklepu.</t>
        </is>
      </c>
      <c r="D39" s="61" t="n"/>
    </row>
    <row r="40" ht="42" customHeight="1" s="90">
      <c r="A40" s="53" t="n">
        <v>33</v>
      </c>
      <c r="B40" s="23" t="inlineStr">
        <is>
          <t>PRAWDA</t>
        </is>
      </c>
      <c r="C40" s="27" t="inlineStr">
        <is>
          <t>Influencerzy grillowi polecają Twoje produkty swoim zaangażowanym społecznościom. Autentyczne rekomendacje konwertują znacznie lepiej niż tradycyjna reklama display.</t>
        </is>
      </c>
      <c r="D40" s="61" t="n"/>
    </row>
    <row r="41" ht="42" customHeight="1" s="90">
      <c r="A41" s="53" t="n">
        <v>34</v>
      </c>
      <c r="B41" s="23" t="inlineStr">
        <is>
          <t>PRAWDA</t>
        </is>
      </c>
      <c r="C41" s="27" t="inlineStr">
        <is>
          <t>Remarketing skutecznie dogania klientów którzy odwiedzili sklep bez zakupu. CTR reklam remarketingowych jest kilkukrotnie wyższy niż standardowych kampanii – przy niższym koszcie kliknięcia.</t>
        </is>
      </c>
      <c r="D41" s="61" t="n"/>
    </row>
    <row r="42" ht="42" customHeight="1" s="90">
      <c r="A42" s="53" t="n">
        <v>34</v>
      </c>
      <c r="B42" s="25" t="inlineStr">
        <is>
          <t>FAŁSZ</t>
        </is>
      </c>
      <c r="C42" s="27" t="inlineStr">
        <is>
          <t>Remarketing bez aktywnych kampanii Google Ads nie ma skonfigurowanego piksela konwersji. Reklamy nie trafiają do właściwych odbiorców i przepalają budżet bez mierzalnego efektu.</t>
        </is>
      </c>
      <c r="D42" s="61" t="n"/>
    </row>
    <row r="43" ht="42" customHeight="1" s="90">
      <c r="A43" s="53" t="n">
        <v>35</v>
      </c>
      <c r="B43" s="23" t="inlineStr">
        <is>
          <t>PRAWDA</t>
        </is>
      </c>
      <c r="C43" s="27" t="inlineStr">
        <is>
          <t>Cross-sell i up-sell podniosły średnią wartość zamówienia o blisko 30%. Klienci kupują kompletne zestawy zamiast pojedynczych produktów – więcej przychodu bez wzrostu kosztów akwizycji.</t>
        </is>
      </c>
      <c r="D43" s="61" t="n"/>
    </row>
    <row r="44" ht="42" customHeight="1" s="90">
      <c r="A44" s="53" t="n">
        <v>36</v>
      </c>
      <c r="B44" s="23" t="inlineStr">
        <is>
          <t>PRAWDA</t>
        </is>
      </c>
      <c r="C44" s="27" t="inlineStr">
        <is>
          <t>Grill Box zdobywa lojalnych abonentów. Przewidywalny przychód co miesiąc ułatwia planowanie zakupów i logistyki – i stabilizuje wyniki niezależnie od sezonowości.</t>
        </is>
      </c>
      <c r="D44" s="61" t="n"/>
    </row>
    <row r="45" ht="42" customHeight="1" s="90">
      <c r="A45" s="53" t="n">
        <v>36</v>
      </c>
      <c r="B45" s="25" t="inlineStr">
        <is>
          <t>FAŁSZ</t>
        </is>
      </c>
      <c r="C45" s="27" t="inlineStr">
        <is>
          <t>Subskrypcja uruchomiona bez bazy lojalnych klientów i bez automatyzacji email to chaos operacyjny. Klienci nie mają powodu by się zapisać, a obsługa abonentów ręcznie pochłania cały zysk modelu. Model subskrypcyjny działa tylko gdy ma pod sobą gotową infrastrukturę.</t>
        </is>
      </c>
      <c r="D45" s="61" t="n"/>
    </row>
    <row r="46" ht="42" customHeight="1" s="90">
      <c r="A46" s="53" t="n">
        <v>37</v>
      </c>
      <c r="B46" s="23" t="inlineStr">
        <is>
          <t>PRAWDA</t>
        </is>
      </c>
      <c r="C46" s="27" t="inlineStr">
        <is>
          <t>Optymalizacja operacyjna przyniosła realną redukcję kosztów. Wyższa marża bez podnoszenia cen wzmacnia pozycję konkurencyjną i tworzy przestrzeń na inwestycje w kolejne obszary.</t>
        </is>
      </c>
      <c r="D46" s="61" t="n"/>
    </row>
    <row r="47" ht="42" customHeight="1" s="90">
      <c r="A47" s="53" t="n">
        <v>38</v>
      </c>
      <c r="B47" s="23" t="inlineStr">
        <is>
          <t>PRAWDA</t>
        </is>
      </c>
      <c r="C47" s="27" t="inlineStr">
        <is>
          <t>Setki pozytywnych recenzji budują zaufanie które konwertuje. Nowi klienci kupują chętniej widząc że inni są zadowoleni – social proof zastępuje działanie sprzedawcy przy każdej wizycie.</t>
        </is>
      </c>
      <c r="D47" s="61" t="n"/>
    </row>
    <row r="48" ht="42" customHeight="1" s="90">
      <c r="A48" s="53" t="n">
        <v>39</v>
      </c>
      <c r="B48" s="23" t="inlineStr">
        <is>
          <t>PRAWDA</t>
        </is>
      </c>
      <c r="C48" s="27" t="inlineStr">
        <is>
          <t>Ekspansja na czeski rynek przynosi pierwsze transakcje po 6 tygodniach. Infrastruktura i doświadczenie z marketplace w Polsce okazały się solidnym fundamentem dla wejścia zagranicznego.</t>
        </is>
      </c>
      <c r="D48" s="61" t="n"/>
    </row>
    <row r="49" ht="42" customHeight="1" s="90">
      <c r="A49" s="53" t="n">
        <v>39</v>
      </c>
      <c r="B49" s="25" t="inlineStr">
        <is>
          <t>FAŁSZ</t>
        </is>
      </c>
      <c r="C49" s="27" t="inlineStr">
        <is>
          <t>Ekspansja bez sprawdzonej logistyki krajowej i bez infrastruktury marketplace jest skazana na niepowodzenie. Koszty dostawy zagranicznej bez negocjowanych stawek zjadają marżę, a brak obecności na lokalnych platformach sprawia że nikt Cię nie znajdzie.</t>
        </is>
      </c>
      <c r="D49" s="61" t="n"/>
    </row>
    <row r="50" ht="42" customHeight="1" s="90">
      <c r="A50" s="53" t="n">
        <v>40</v>
      </c>
      <c r="B50" s="23" t="inlineStr">
        <is>
          <t>PRAWDA</t>
        </is>
      </c>
      <c r="C50" s="27" t="inlineStr">
        <is>
          <t>Linia eco-friendly przyciąga nowy segment świadomych konsumentów. Marka zyskuje wizerunek odpowiedzialnego producenta i otwiera dostęp do kanałów dystrybucji niedostępnych dla zwykłych sklepów.</t>
        </is>
      </c>
      <c r="D50" s="61" t="n"/>
    </row>
    <row r="51" ht="42" customHeight="1" s="90">
      <c r="A51" s="53" t="n">
        <v>41</v>
      </c>
      <c r="B51" s="23" t="inlineStr">
        <is>
          <t>PRAWDA</t>
        </is>
      </c>
      <c r="C51" s="27" t="inlineStr">
        <is>
          <t>Dashboardy BI dają Ci przewagę informacyjną nad konkurencją. Widzisz trendy zanim staną się problemem – decyzje podejmowane na danych są szybsze i trafniejsze niż oparte na przeczuciach.</t>
        </is>
      </c>
      <c r="D51" s="61" t="n"/>
    </row>
    <row r="52" ht="42" customHeight="1" s="90">
      <c r="A52" s="53" t="n">
        <v>42</v>
      </c>
      <c r="B52" s="23" t="inlineStr">
        <is>
          <t>PRAWDA</t>
        </is>
      </c>
      <c r="C52" s="27" t="inlineStr">
        <is>
          <t>Kampania sezonowa wygenerowała rekordową sprzedaż tygodniową. Odpowiedni moment i trafny przekaz sprawiły że budżet reklamowy zwrócił się wielokrotnie w ciągu kilku intensywnych dni.</t>
        </is>
      </c>
      <c r="D52" s="61" t="n"/>
    </row>
    <row r="53" ht="42" customHeight="1" s="90">
      <c r="A53" s="53" t="n">
        <v>43</v>
      </c>
      <c r="B53" s="23" t="inlineStr">
        <is>
          <t>PRAWDA</t>
        </is>
      </c>
      <c r="C53" s="27" t="inlineStr">
        <is>
          <t>Integracja z Ceneo przynosi stały strumień klientów z wysoką intencją zakupową. Twoje ceny i opinie wypadają korzystnie w porównaniu z konkurencją – konwersja z tego kanału jest wysoka.</t>
        </is>
      </c>
      <c r="D53" s="61" t="n"/>
    </row>
    <row r="54" ht="42" customHeight="1" s="90">
      <c r="A54" s="72" t="n"/>
      <c r="B54" s="72" t="n"/>
      <c r="C54" s="72" t="n"/>
      <c r="D54" s="61" t="n"/>
    </row>
    <row r="55" ht="42" customHeight="1" s="90">
      <c r="A55" s="72" t="n"/>
      <c r="B55" s="72" t="n"/>
      <c r="C55" s="72" t="n"/>
      <c r="D55" s="61" t="n"/>
    </row>
    <row r="56" ht="42" customHeight="1" s="90">
      <c r="A56" s="72" t="n"/>
      <c r="B56" s="72" t="n"/>
      <c r="C56" s="72" t="n"/>
      <c r="D56" s="61" t="n"/>
    </row>
    <row r="57" ht="42" customHeight="1" s="90">
      <c r="A57" s="72" t="n"/>
      <c r="B57" s="72" t="n"/>
      <c r="C57" s="72" t="n"/>
      <c r="D57" s="61" t="n"/>
    </row>
    <row r="58" ht="42" customHeight="1" s="90">
      <c r="A58" s="72" t="n"/>
      <c r="B58" s="72" t="n"/>
      <c r="C58" s="72" t="n"/>
      <c r="D58" s="61" t="n"/>
    </row>
    <row r="59" ht="42" customHeight="1" s="90">
      <c r="A59" s="72" t="n"/>
      <c r="B59" s="72" t="n"/>
      <c r="C59" s="72" t="n"/>
      <c r="D59" s="61" t="n"/>
    </row>
    <row r="60" ht="42" customHeight="1" s="90">
      <c r="A60" s="72" t="n"/>
      <c r="B60" s="72" t="n"/>
      <c r="C60" s="72" t="n"/>
      <c r="D60" s="61" t="n"/>
    </row>
    <row r="61" ht="42" customHeight="1" s="90">
      <c r="A61" s="72" t="n"/>
      <c r="B61" s="72" t="n"/>
      <c r="C61" s="72" t="n"/>
      <c r="D61" s="61" t="n"/>
    </row>
    <row r="62" ht="42" customHeight="1" s="90">
      <c r="A62" s="72" t="n"/>
      <c r="B62" s="72" t="n"/>
      <c r="C62" s="72" t="n"/>
      <c r="D62" s="61" t="n"/>
    </row>
    <row r="63" ht="42" customHeight="1" s="90">
      <c r="A63" s="72" t="n"/>
      <c r="B63" s="72" t="n"/>
      <c r="C63" s="72" t="n"/>
      <c r="D63" s="61" t="n"/>
    </row>
    <row r="64" ht="42" customHeight="1" s="90">
      <c r="A64" s="72" t="n"/>
      <c r="B64" s="72" t="n"/>
      <c r="C64" s="72" t="n"/>
      <c r="D64" s="61" t="n"/>
    </row>
    <row r="65" ht="42" customHeight="1" s="90">
      <c r="A65" s="72" t="n"/>
      <c r="B65" s="72" t="n"/>
      <c r="C65" s="72" t="n"/>
      <c r="D65" s="61" t="n"/>
    </row>
    <row r="66" ht="42" customHeight="1" s="90">
      <c r="A66" s="72" t="n"/>
      <c r="B66" s="72" t="n"/>
      <c r="C66" s="72" t="n"/>
      <c r="D66" s="61" t="n"/>
    </row>
    <row r="67" ht="42" customHeight="1" s="90">
      <c r="A67" s="72" t="n"/>
      <c r="B67" s="72" t="n"/>
      <c r="C67" s="72" t="n"/>
      <c r="D67" s="61" t="n"/>
    </row>
    <row r="68" ht="42" customHeight="1" s="90">
      <c r="A68" s="72" t="n"/>
      <c r="B68" s="72" t="n"/>
      <c r="C68" s="72" t="n"/>
      <c r="D68" s="61" t="n"/>
    </row>
    <row r="69" ht="42" customHeight="1" s="90">
      <c r="A69" s="72" t="n"/>
      <c r="B69" s="72" t="n"/>
      <c r="C69" s="72" t="n"/>
      <c r="D69" s="61" t="n"/>
    </row>
    <row r="70" ht="42" customHeight="1" s="90">
      <c r="A70" s="72" t="n"/>
      <c r="B70" s="72" t="n"/>
      <c r="C70" s="72" t="n"/>
      <c r="D70" s="61" t="n"/>
    </row>
    <row r="71" ht="42" customHeight="1" s="90">
      <c r="A71" s="72" t="n"/>
      <c r="B71" s="72" t="n"/>
      <c r="C71" s="72" t="n"/>
      <c r="D71" s="61" t="n"/>
    </row>
    <row r="72" ht="42" customHeight="1" s="90">
      <c r="A72" s="72" t="n"/>
      <c r="B72" s="72" t="n"/>
      <c r="C72" s="72" t="n"/>
      <c r="D72" s="61" t="n"/>
    </row>
    <row r="73" ht="42" customHeight="1" s="90">
      <c r="A73" s="72" t="n"/>
      <c r="B73" s="72" t="n"/>
      <c r="C73" s="72" t="n"/>
      <c r="D73" s="61" t="n"/>
    </row>
    <row r="74" ht="42" customHeight="1" s="90">
      <c r="A74" s="72" t="n"/>
      <c r="B74" s="72" t="n"/>
      <c r="C74" s="72" t="n"/>
      <c r="D74" s="61" t="n"/>
    </row>
    <row r="75" ht="42" customHeight="1" s="90">
      <c r="A75" s="72" t="n"/>
      <c r="B75" s="72" t="n"/>
      <c r="C75" s="72" t="n"/>
      <c r="D75" s="61" t="n"/>
    </row>
    <row r="76" ht="42" customHeight="1" s="90">
      <c r="A76" s="72" t="n"/>
      <c r="B76" s="72" t="n"/>
      <c r="C76" s="72" t="n"/>
      <c r="D76" s="61" t="n"/>
    </row>
    <row r="77" ht="42" customHeight="1" s="90">
      <c r="A77" s="72" t="n"/>
      <c r="B77" s="72" t="n"/>
      <c r="C77" s="72" t="n"/>
      <c r="D77" s="61" t="n"/>
    </row>
    <row r="78" ht="42" customHeight="1" s="90">
      <c r="A78" s="72" t="n"/>
      <c r="B78" s="72" t="n"/>
      <c r="C78" s="72" t="n"/>
      <c r="D78" s="61" t="n"/>
    </row>
    <row r="79" ht="42" customHeight="1" s="90">
      <c r="A79" s="72" t="n"/>
      <c r="B79" s="72" t="n"/>
      <c r="C79" s="72" t="n"/>
      <c r="D79" s="61" t="n"/>
    </row>
    <row r="80" ht="42" customHeight="1" s="90">
      <c r="A80" s="72" t="n"/>
      <c r="B80" s="72" t="n"/>
      <c r="C80" s="72" t="n"/>
      <c r="D80" s="61" t="n"/>
    </row>
    <row r="81" ht="42" customHeight="1" s="90">
      <c r="A81" s="72" t="n"/>
      <c r="B81" s="72" t="n"/>
      <c r="C81" s="72" t="n"/>
      <c r="D81" s="61" t="n"/>
    </row>
    <row r="82" ht="42" customHeight="1" s="90">
      <c r="A82" s="72" t="n"/>
      <c r="B82" s="72" t="n"/>
      <c r="C82" s="72" t="n"/>
      <c r="D82" s="61" t="n"/>
    </row>
    <row r="83" ht="42" customHeight="1" s="90">
      <c r="A83" s="72" t="n"/>
      <c r="B83" s="72" t="n"/>
      <c r="C83" s="72" t="n"/>
      <c r="D83" s="61" t="n"/>
    </row>
    <row r="84" ht="42" customHeight="1" s="90">
      <c r="A84" s="72" t="n"/>
      <c r="B84" s="72" t="n"/>
      <c r="C84" s="72" t="n"/>
      <c r="D84" s="61" t="n"/>
    </row>
    <row r="85" ht="42" customHeight="1" s="90">
      <c r="A85" s="72" t="n"/>
      <c r="B85" s="72" t="n"/>
      <c r="C85" s="72" t="n"/>
      <c r="D85" s="61" t="n"/>
    </row>
    <row r="86" ht="42" customHeight="1" s="90">
      <c r="A86" s="72" t="n"/>
      <c r="B86" s="72" t="n"/>
      <c r="C86" s="72" t="n"/>
      <c r="D86" s="61" t="n"/>
    </row>
    <row r="87" ht="42" customHeight="1" s="90">
      <c r="A87" s="72" t="n"/>
      <c r="B87" s="72" t="n"/>
      <c r="C87" s="72" t="n"/>
      <c r="D87" s="61" t="n"/>
    </row>
    <row r="88" ht="12.75" customHeight="1" s="90">
      <c r="A88" s="61" t="n"/>
      <c r="B88" s="61" t="n"/>
      <c r="C88" s="61" t="n"/>
      <c r="D88" s="61" t="n"/>
    </row>
    <row r="89" ht="12.75" customHeight="1" s="90">
      <c r="A89" s="61" t="n"/>
      <c r="B89" s="61" t="n"/>
      <c r="C89" s="61" t="n"/>
      <c r="D89" s="61" t="n"/>
    </row>
    <row r="90" ht="12.75" customHeight="1" s="90">
      <c r="A90" s="61" t="n"/>
      <c r="B90" s="61" t="n"/>
      <c r="C90" s="61" t="n"/>
      <c r="D90" s="61" t="n"/>
    </row>
    <row r="91" ht="12.75" customHeight="1" s="90">
      <c r="A91" s="61" t="n"/>
      <c r="B91" s="61" t="n"/>
      <c r="C91" s="61" t="n"/>
      <c r="D91" s="61" t="n"/>
    </row>
    <row r="92" ht="12.75" customHeight="1" s="90">
      <c r="A92" s="61" t="n"/>
      <c r="B92" s="61" t="n"/>
      <c r="C92" s="61" t="n"/>
      <c r="D92" s="61" t="n"/>
    </row>
    <row r="93" ht="12.75" customHeight="1" s="90">
      <c r="A93" s="61" t="n"/>
      <c r="B93" s="61" t="n"/>
      <c r="C93" s="61" t="n"/>
      <c r="D93" s="61" t="n"/>
    </row>
    <row r="94" ht="12.75" customHeight="1" s="90">
      <c r="A94" s="61" t="n"/>
      <c r="B94" s="61" t="n"/>
      <c r="C94" s="61" t="n"/>
      <c r="D94" s="61" t="n"/>
    </row>
    <row r="95" ht="12.75" customHeight="1" s="90">
      <c r="A95" s="61" t="n"/>
      <c r="B95" s="61" t="n"/>
      <c r="C95" s="61" t="n"/>
      <c r="D95" s="61" t="n"/>
    </row>
    <row r="96" ht="12.75" customHeight="1" s="90">
      <c r="A96" s="61" t="n"/>
      <c r="B96" s="61" t="n"/>
      <c r="C96" s="61" t="n"/>
      <c r="D96" s="61" t="n"/>
    </row>
    <row r="97" ht="12.75" customHeight="1" s="90">
      <c r="A97" s="61" t="n"/>
      <c r="B97" s="61" t="n"/>
      <c r="C97" s="61" t="n"/>
      <c r="D97" s="61" t="n"/>
    </row>
    <row r="98" ht="12.75" customHeight="1" s="90">
      <c r="A98" s="61" t="n"/>
      <c r="B98" s="61" t="n"/>
      <c r="C98" s="61" t="n"/>
      <c r="D98" s="61" t="n"/>
    </row>
    <row r="99" ht="12.75" customHeight="1" s="90">
      <c r="A99" s="61" t="n"/>
      <c r="B99" s="61" t="n"/>
      <c r="C99" s="61" t="n"/>
      <c r="D99" s="61" t="n"/>
    </row>
    <row r="100" ht="12.75" customHeight="1" s="90">
      <c r="A100" s="61" t="n"/>
      <c r="B100" s="61" t="n"/>
      <c r="C100" s="61" t="n"/>
      <c r="D100" s="61" t="n"/>
    </row>
    <row r="101" ht="12.75" customHeight="1" s="90">
      <c r="A101" s="61" t="n"/>
      <c r="B101" s="61" t="n"/>
      <c r="C101" s="61" t="n"/>
      <c r="D101" s="61" t="n"/>
    </row>
    <row r="102" ht="12.75" customHeight="1" s="90">
      <c r="A102" s="61" t="n"/>
      <c r="B102" s="61" t="n"/>
      <c r="C102" s="61" t="n"/>
      <c r="D102" s="61" t="n"/>
    </row>
    <row r="103" ht="12.75" customHeight="1" s="90">
      <c r="A103" s="61" t="n"/>
      <c r="B103" s="61" t="n"/>
      <c r="C103" s="61" t="n"/>
      <c r="D103" s="61" t="n"/>
    </row>
    <row r="104" ht="12.75" customHeight="1" s="90">
      <c r="A104" s="61" t="n"/>
      <c r="B104" s="61" t="n"/>
      <c r="C104" s="61" t="n"/>
      <c r="D104" s="61" t="n"/>
    </row>
    <row r="105" ht="12.75" customHeight="1" s="90">
      <c r="A105" s="61" t="n"/>
      <c r="B105" s="61" t="n"/>
      <c r="C105" s="61" t="n"/>
      <c r="D105" s="61" t="n"/>
    </row>
    <row r="106" ht="12.75" customHeight="1" s="90">
      <c r="A106" s="61" t="n"/>
      <c r="B106" s="61" t="n"/>
      <c r="C106" s="61" t="n"/>
      <c r="D106" s="61" t="n"/>
    </row>
    <row r="107" ht="12.75" customHeight="1" s="90">
      <c r="A107" s="61" t="n"/>
      <c r="B107" s="61" t="n"/>
      <c r="C107" s="61" t="n"/>
      <c r="D107" s="61" t="n"/>
    </row>
    <row r="108" ht="12.75" customHeight="1" s="90">
      <c r="A108" s="61" t="n"/>
      <c r="B108" s="61" t="n"/>
      <c r="C108" s="61" t="n"/>
      <c r="D108" s="61" t="n"/>
    </row>
    <row r="109" ht="12.75" customHeight="1" s="90">
      <c r="A109" s="61" t="n"/>
      <c r="B109" s="61" t="n"/>
      <c r="C109" s="61" t="n"/>
      <c r="D109" s="61" t="n"/>
    </row>
    <row r="110" ht="12.75" customHeight="1" s="90">
      <c r="A110" s="61" t="n"/>
      <c r="B110" s="61" t="n"/>
      <c r="C110" s="61" t="n"/>
      <c r="D110" s="61" t="n"/>
    </row>
    <row r="111" ht="12.75" customHeight="1" s="90">
      <c r="A111" s="61" t="n"/>
      <c r="B111" s="61" t="n"/>
      <c r="C111" s="61" t="n"/>
      <c r="D111" s="61" t="n"/>
    </row>
    <row r="112" ht="12.75" customHeight="1" s="90">
      <c r="A112" s="61" t="n"/>
      <c r="B112" s="61" t="n"/>
      <c r="C112" s="61" t="n"/>
      <c r="D112" s="61" t="n"/>
    </row>
    <row r="113" ht="12.75" customHeight="1" s="90">
      <c r="A113" s="61" t="n"/>
      <c r="B113" s="61" t="n"/>
      <c r="C113" s="61" t="n"/>
      <c r="D113" s="61" t="n"/>
    </row>
    <row r="114" ht="12.75" customHeight="1" s="90">
      <c r="A114" s="61" t="n"/>
      <c r="B114" s="61" t="n"/>
      <c r="C114" s="61" t="n"/>
      <c r="D114" s="61" t="n"/>
    </row>
    <row r="115" ht="12.75" customHeight="1" s="90">
      <c r="A115" s="61" t="n"/>
      <c r="B115" s="61" t="n"/>
      <c r="C115" s="61" t="n"/>
      <c r="D115" s="61" t="n"/>
    </row>
    <row r="116" ht="12.75" customHeight="1" s="90">
      <c r="A116" s="61" t="n"/>
      <c r="B116" s="61" t="n"/>
      <c r="C116" s="61" t="n"/>
      <c r="D116" s="61" t="n"/>
    </row>
    <row r="117" ht="12.75" customHeight="1" s="90">
      <c r="A117" s="61" t="n"/>
      <c r="B117" s="61" t="n"/>
      <c r="C117" s="61" t="n"/>
      <c r="D117" s="61" t="n"/>
    </row>
    <row r="118" ht="12.75" customHeight="1" s="90">
      <c r="A118" s="61" t="n"/>
      <c r="B118" s="61" t="n"/>
      <c r="C118" s="61" t="n"/>
      <c r="D118" s="61" t="n"/>
    </row>
    <row r="119" ht="12.75" customHeight="1" s="90">
      <c r="A119" s="61" t="n"/>
      <c r="B119" s="61" t="n"/>
      <c r="C119" s="61" t="n"/>
      <c r="D119" s="61" t="n"/>
    </row>
    <row r="120" ht="12.75" customHeight="1" s="90">
      <c r="A120" s="61" t="n"/>
      <c r="B120" s="61" t="n"/>
      <c r="C120" s="61" t="n"/>
      <c r="D120" s="61" t="n"/>
    </row>
    <row r="121" ht="12.75" customHeight="1" s="90">
      <c r="A121" s="61" t="n"/>
      <c r="B121" s="61" t="n"/>
      <c r="C121" s="61" t="n"/>
      <c r="D121" s="61" t="n"/>
    </row>
    <row r="122" ht="12.75" customHeight="1" s="90">
      <c r="A122" s="61" t="n"/>
      <c r="B122" s="61" t="n"/>
      <c r="C122" s="61" t="n"/>
      <c r="D122" s="61" t="n"/>
    </row>
    <row r="123" ht="12.75" customHeight="1" s="90">
      <c r="A123" s="61" t="n"/>
      <c r="B123" s="61" t="n"/>
      <c r="C123" s="61" t="n"/>
      <c r="D123" s="61" t="n"/>
    </row>
    <row r="124" ht="12.75" customHeight="1" s="90">
      <c r="A124" s="61" t="n"/>
      <c r="B124" s="61" t="n"/>
      <c r="C124" s="61" t="n"/>
      <c r="D124" s="61" t="n"/>
    </row>
    <row r="125" ht="12.75" customHeight="1" s="90">
      <c r="A125" s="61" t="n"/>
      <c r="B125" s="61" t="n"/>
      <c r="C125" s="61" t="n"/>
      <c r="D125" s="61" t="n"/>
    </row>
    <row r="126" ht="12.75" customHeight="1" s="90">
      <c r="A126" s="61" t="n"/>
      <c r="B126" s="61" t="n"/>
      <c r="C126" s="61" t="n"/>
      <c r="D126" s="61" t="n"/>
    </row>
    <row r="127" ht="12.75" customHeight="1" s="90">
      <c r="A127" s="61" t="n"/>
      <c r="B127" s="61" t="n"/>
      <c r="C127" s="61" t="n"/>
      <c r="D127" s="61" t="n"/>
    </row>
    <row r="128" ht="12.75" customHeight="1" s="90">
      <c r="A128" s="61" t="n"/>
      <c r="B128" s="61" t="n"/>
      <c r="C128" s="61" t="n"/>
      <c r="D128" s="61" t="n"/>
    </row>
    <row r="129" ht="12.75" customHeight="1" s="90">
      <c r="A129" s="61" t="n"/>
      <c r="B129" s="61" t="n"/>
      <c r="C129" s="61" t="n"/>
      <c r="D129" s="61" t="n"/>
    </row>
    <row r="130" ht="12.75" customHeight="1" s="90">
      <c r="A130" s="61" t="n"/>
      <c r="B130" s="61" t="n"/>
      <c r="C130" s="61" t="n"/>
      <c r="D130" s="61" t="n"/>
    </row>
    <row r="131" ht="12.75" customHeight="1" s="90">
      <c r="A131" s="61" t="n"/>
      <c r="B131" s="61" t="n"/>
      <c r="C131" s="61" t="n"/>
      <c r="D131" s="61" t="n"/>
    </row>
    <row r="132" ht="12.75" customHeight="1" s="90">
      <c r="A132" s="61" t="n"/>
      <c r="B132" s="61" t="n"/>
      <c r="C132" s="61" t="n"/>
      <c r="D132" s="61" t="n"/>
    </row>
    <row r="133" ht="12.75" customHeight="1" s="90">
      <c r="A133" s="61" t="n"/>
      <c r="B133" s="61" t="n"/>
      <c r="C133" s="61" t="n"/>
      <c r="D133" s="61" t="n"/>
    </row>
    <row r="134" ht="12.75" customHeight="1" s="90">
      <c r="A134" s="61" t="n"/>
      <c r="B134" s="61" t="n"/>
      <c r="C134" s="61" t="n"/>
      <c r="D134" s="61" t="n"/>
    </row>
    <row r="135" ht="12.75" customHeight="1" s="90">
      <c r="A135" s="61" t="n"/>
      <c r="B135" s="61" t="n"/>
      <c r="C135" s="61" t="n"/>
      <c r="D135" s="61" t="n"/>
    </row>
    <row r="136" ht="12.75" customHeight="1" s="90">
      <c r="A136" s="61" t="n"/>
      <c r="B136" s="61" t="n"/>
      <c r="C136" s="61" t="n"/>
      <c r="D136" s="61" t="n"/>
    </row>
    <row r="137" ht="12.75" customHeight="1" s="90">
      <c r="A137" s="61" t="n"/>
      <c r="B137" s="61" t="n"/>
      <c r="C137" s="61" t="n"/>
      <c r="D137" s="61" t="n"/>
    </row>
    <row r="138" ht="12.75" customHeight="1" s="90">
      <c r="A138" s="61" t="n"/>
      <c r="B138" s="61" t="n"/>
      <c r="C138" s="61" t="n"/>
      <c r="D138" s="61" t="n"/>
    </row>
    <row r="139" ht="12.75" customHeight="1" s="90">
      <c r="A139" s="61" t="n"/>
      <c r="B139" s="61" t="n"/>
      <c r="C139" s="61" t="n"/>
      <c r="D139" s="61" t="n"/>
    </row>
    <row r="140" ht="12.75" customHeight="1" s="90">
      <c r="A140" s="61" t="n"/>
      <c r="B140" s="61" t="n"/>
      <c r="C140" s="61" t="n"/>
      <c r="D140" s="61" t="n"/>
    </row>
    <row r="141" ht="12.75" customHeight="1" s="90">
      <c r="A141" s="61" t="n"/>
      <c r="B141" s="61" t="n"/>
      <c r="C141" s="61" t="n"/>
      <c r="D141" s="61" t="n"/>
    </row>
    <row r="142" ht="12.75" customHeight="1" s="90">
      <c r="A142" s="61" t="n"/>
      <c r="B142" s="61" t="n"/>
      <c r="C142" s="61" t="n"/>
      <c r="D142" s="61" t="n"/>
    </row>
    <row r="143" ht="12.75" customHeight="1" s="90">
      <c r="A143" s="61" t="n"/>
      <c r="B143" s="61" t="n"/>
      <c r="C143" s="61" t="n"/>
      <c r="D143" s="61" t="n"/>
    </row>
    <row r="144" ht="12.75" customHeight="1" s="90">
      <c r="A144" s="61" t="n"/>
      <c r="B144" s="61" t="n"/>
      <c r="C144" s="61" t="n"/>
      <c r="D144" s="61" t="n"/>
    </row>
    <row r="145" ht="12.75" customHeight="1" s="90">
      <c r="A145" s="61" t="n"/>
      <c r="B145" s="61" t="n"/>
      <c r="C145" s="61" t="n"/>
      <c r="D145" s="61" t="n"/>
    </row>
    <row r="146" ht="12.75" customHeight="1" s="90">
      <c r="A146" s="61" t="n"/>
      <c r="B146" s="61" t="n"/>
      <c r="C146" s="61" t="n"/>
      <c r="D146" s="61" t="n"/>
    </row>
    <row r="147" ht="12.75" customHeight="1" s="90">
      <c r="A147" s="61" t="n"/>
      <c r="B147" s="61" t="n"/>
      <c r="C147" s="61" t="n"/>
      <c r="D147" s="61" t="n"/>
    </row>
    <row r="148" ht="12.75" customHeight="1" s="90">
      <c r="A148" s="61" t="n"/>
      <c r="B148" s="61" t="n"/>
      <c r="C148" s="61" t="n"/>
      <c r="D148" s="61" t="n"/>
    </row>
    <row r="149" ht="12.75" customHeight="1" s="90">
      <c r="A149" s="61" t="n"/>
      <c r="B149" s="61" t="n"/>
      <c r="C149" s="61" t="n"/>
      <c r="D149" s="61" t="n"/>
    </row>
    <row r="150" ht="12.75" customHeight="1" s="90">
      <c r="A150" s="61" t="n"/>
      <c r="B150" s="61" t="n"/>
      <c r="C150" s="61" t="n"/>
      <c r="D150" s="61" t="n"/>
    </row>
    <row r="151" ht="12.75" customHeight="1" s="90">
      <c r="A151" s="61" t="n"/>
      <c r="B151" s="61" t="n"/>
      <c r="C151" s="61" t="n"/>
      <c r="D151" s="61" t="n"/>
    </row>
    <row r="152" ht="12.75" customHeight="1" s="90">
      <c r="A152" s="61" t="n"/>
      <c r="B152" s="61" t="n"/>
      <c r="C152" s="61" t="n"/>
      <c r="D152" s="61" t="n"/>
    </row>
    <row r="153" ht="12.75" customHeight="1" s="90">
      <c r="A153" s="61" t="n"/>
      <c r="B153" s="61" t="n"/>
      <c r="C153" s="61" t="n"/>
      <c r="D153" s="61" t="n"/>
    </row>
    <row r="154" ht="12.75" customHeight="1" s="90">
      <c r="A154" s="61" t="n"/>
      <c r="B154" s="61" t="n"/>
      <c r="C154" s="61" t="n"/>
      <c r="D154" s="61" t="n"/>
    </row>
    <row r="155" ht="12.75" customHeight="1" s="90">
      <c r="A155" s="61" t="n"/>
      <c r="B155" s="61" t="n"/>
      <c r="C155" s="61" t="n"/>
      <c r="D155" s="61" t="n"/>
    </row>
    <row r="156" ht="12.75" customHeight="1" s="90">
      <c r="A156" s="61" t="n"/>
      <c r="B156" s="61" t="n"/>
      <c r="C156" s="61" t="n"/>
      <c r="D156" s="61" t="n"/>
    </row>
    <row r="157" ht="12.75" customHeight="1" s="90">
      <c r="A157" s="61" t="n"/>
      <c r="B157" s="61" t="n"/>
      <c r="C157" s="61" t="n"/>
      <c r="D157" s="61" t="n"/>
    </row>
    <row r="158" ht="12.75" customHeight="1" s="90">
      <c r="A158" s="61" t="n"/>
      <c r="B158" s="61" t="n"/>
      <c r="C158" s="61" t="n"/>
      <c r="D158" s="61" t="n"/>
    </row>
    <row r="159" ht="12.75" customHeight="1" s="90">
      <c r="A159" s="61" t="n"/>
      <c r="B159" s="61" t="n"/>
      <c r="C159" s="61" t="n"/>
      <c r="D159" s="61" t="n"/>
    </row>
    <row r="160" ht="12.75" customHeight="1" s="90">
      <c r="A160" s="61" t="n"/>
      <c r="B160" s="61" t="n"/>
      <c r="C160" s="61" t="n"/>
      <c r="D160" s="61" t="n"/>
    </row>
    <row r="161" ht="12.75" customHeight="1" s="90">
      <c r="A161" s="61" t="n"/>
      <c r="B161" s="61" t="n"/>
      <c r="C161" s="61" t="n"/>
      <c r="D161" s="61" t="n"/>
    </row>
    <row r="162" ht="12.75" customHeight="1" s="90">
      <c r="A162" s="61" t="n"/>
      <c r="B162" s="61" t="n"/>
      <c r="C162" s="61" t="n"/>
      <c r="D162" s="61" t="n"/>
    </row>
    <row r="163" ht="12.75" customHeight="1" s="90">
      <c r="A163" s="61" t="n"/>
      <c r="B163" s="61" t="n"/>
      <c r="C163" s="61" t="n"/>
      <c r="D163" s="61" t="n"/>
    </row>
    <row r="164" ht="12.75" customHeight="1" s="90">
      <c r="A164" s="61" t="n"/>
      <c r="B164" s="61" t="n"/>
      <c r="C164" s="61" t="n"/>
      <c r="D164" s="61" t="n"/>
    </row>
    <row r="165" ht="12.75" customHeight="1" s="90">
      <c r="A165" s="61" t="n"/>
      <c r="B165" s="61" t="n"/>
      <c r="C165" s="61" t="n"/>
      <c r="D165" s="61" t="n"/>
    </row>
    <row r="166" ht="12.75" customHeight="1" s="90">
      <c r="A166" s="61" t="n"/>
      <c r="B166" s="61" t="n"/>
      <c r="C166" s="61" t="n"/>
      <c r="D166" s="61" t="n"/>
    </row>
    <row r="167" ht="12.75" customHeight="1" s="90">
      <c r="A167" s="61" t="n"/>
      <c r="B167" s="61" t="n"/>
      <c r="C167" s="61" t="n"/>
      <c r="D167" s="61" t="n"/>
    </row>
    <row r="168" ht="12.75" customHeight="1" s="90">
      <c r="A168" s="61" t="n"/>
      <c r="B168" s="61" t="n"/>
      <c r="C168" s="61" t="n"/>
      <c r="D168" s="61" t="n"/>
    </row>
    <row r="169" ht="12.75" customHeight="1" s="90">
      <c r="A169" s="61" t="n"/>
      <c r="B169" s="61" t="n"/>
      <c r="C169" s="61" t="n"/>
      <c r="D169" s="61" t="n"/>
    </row>
    <row r="170" ht="12.75" customHeight="1" s="90">
      <c r="A170" s="61" t="n"/>
      <c r="B170" s="61" t="n"/>
      <c r="C170" s="61" t="n"/>
      <c r="D170" s="61" t="n"/>
    </row>
    <row r="171" ht="12.75" customHeight="1" s="90">
      <c r="A171" s="61" t="n"/>
      <c r="B171" s="61" t="n"/>
      <c r="C171" s="61" t="n"/>
      <c r="D171" s="61" t="n"/>
    </row>
    <row r="172" ht="12.75" customHeight="1" s="90">
      <c r="A172" s="61" t="n"/>
      <c r="B172" s="61" t="n"/>
      <c r="C172" s="61" t="n"/>
      <c r="D172" s="61" t="n"/>
    </row>
    <row r="173" ht="12.75" customHeight="1" s="90">
      <c r="A173" s="61" t="n"/>
      <c r="B173" s="61" t="n"/>
      <c r="C173" s="61" t="n"/>
      <c r="D173" s="61" t="n"/>
    </row>
    <row r="174" ht="12.75" customHeight="1" s="90">
      <c r="A174" s="61" t="n"/>
      <c r="B174" s="61" t="n"/>
      <c r="C174" s="61" t="n"/>
      <c r="D174" s="61" t="n"/>
    </row>
    <row r="175" ht="12.75" customHeight="1" s="90">
      <c r="A175" s="61" t="n"/>
      <c r="B175" s="61" t="n"/>
      <c r="C175" s="61" t="n"/>
      <c r="D175" s="61" t="n"/>
    </row>
    <row r="176" ht="12.75" customHeight="1" s="90">
      <c r="A176" s="61" t="n"/>
      <c r="B176" s="61" t="n"/>
      <c r="C176" s="61" t="n"/>
      <c r="D176" s="61" t="n"/>
    </row>
    <row r="177" ht="12.75" customHeight="1" s="90">
      <c r="A177" s="61" t="n"/>
      <c r="B177" s="61" t="n"/>
      <c r="C177" s="61" t="n"/>
      <c r="D177" s="61" t="n"/>
    </row>
    <row r="178" ht="12.75" customHeight="1" s="90">
      <c r="A178" s="61" t="n"/>
      <c r="B178" s="61" t="n"/>
      <c r="C178" s="61" t="n"/>
      <c r="D178" s="61" t="n"/>
    </row>
    <row r="179" ht="12.75" customHeight="1" s="90">
      <c r="A179" s="61" t="n"/>
      <c r="B179" s="61" t="n"/>
      <c r="C179" s="61" t="n"/>
      <c r="D179" s="61" t="n"/>
    </row>
    <row r="180" ht="12.75" customHeight="1" s="90">
      <c r="A180" s="61" t="n"/>
      <c r="B180" s="61" t="n"/>
      <c r="C180" s="61" t="n"/>
      <c r="D180" s="61" t="n"/>
    </row>
    <row r="181" ht="12.75" customHeight="1" s="90">
      <c r="A181" s="61" t="n"/>
      <c r="B181" s="61" t="n"/>
      <c r="C181" s="61" t="n"/>
      <c r="D181" s="61" t="n"/>
    </row>
    <row r="182" ht="12.75" customHeight="1" s="90">
      <c r="A182" s="61" t="n"/>
      <c r="B182" s="61" t="n"/>
      <c r="C182" s="61" t="n"/>
      <c r="D182" s="61" t="n"/>
    </row>
    <row r="183" ht="12.75" customHeight="1" s="90">
      <c r="A183" s="61" t="n"/>
      <c r="B183" s="61" t="n"/>
      <c r="C183" s="61" t="n"/>
      <c r="D183" s="61" t="n"/>
    </row>
    <row r="184" ht="12.75" customHeight="1" s="90">
      <c r="A184" s="61" t="n"/>
      <c r="B184" s="61" t="n"/>
      <c r="C184" s="61" t="n"/>
      <c r="D184" s="61" t="n"/>
    </row>
    <row r="185" ht="12.75" customHeight="1" s="90">
      <c r="A185" s="61" t="n"/>
      <c r="B185" s="61" t="n"/>
      <c r="C185" s="61" t="n"/>
      <c r="D185" s="61" t="n"/>
    </row>
    <row r="186" ht="12.75" customHeight="1" s="90">
      <c r="A186" s="61" t="n"/>
      <c r="B186" s="61" t="n"/>
      <c r="C186" s="61" t="n"/>
      <c r="D186" s="61" t="n"/>
    </row>
    <row r="187" ht="12.75" customHeight="1" s="90">
      <c r="A187" s="61" t="n"/>
      <c r="B187" s="61" t="n"/>
      <c r="C187" s="61" t="n"/>
      <c r="D187" s="61" t="n"/>
    </row>
    <row r="188" ht="12.75" customHeight="1" s="90">
      <c r="A188" s="61" t="n"/>
      <c r="B188" s="61" t="n"/>
      <c r="C188" s="61" t="n"/>
      <c r="D188" s="61" t="n"/>
    </row>
    <row r="189" ht="12.75" customHeight="1" s="90">
      <c r="A189" s="61" t="n"/>
      <c r="B189" s="61" t="n"/>
      <c r="C189" s="61" t="n"/>
      <c r="D189" s="61" t="n"/>
    </row>
    <row r="190" ht="12.75" customHeight="1" s="90">
      <c r="A190" s="61" t="n"/>
      <c r="B190" s="61" t="n"/>
      <c r="C190" s="61" t="n"/>
      <c r="D190" s="61" t="n"/>
    </row>
    <row r="191" ht="12.75" customHeight="1" s="90">
      <c r="A191" s="61" t="n"/>
      <c r="B191" s="61" t="n"/>
      <c r="C191" s="61" t="n"/>
      <c r="D191" s="61" t="n"/>
    </row>
    <row r="192" ht="12.75" customHeight="1" s="90">
      <c r="A192" s="61" t="n"/>
      <c r="B192" s="61" t="n"/>
      <c r="C192" s="61" t="n"/>
      <c r="D192" s="61" t="n"/>
    </row>
    <row r="193" ht="12.75" customHeight="1" s="90">
      <c r="A193" s="61" t="n"/>
      <c r="B193" s="61" t="n"/>
      <c r="C193" s="61" t="n"/>
      <c r="D193" s="61" t="n"/>
    </row>
    <row r="194" ht="12.75" customHeight="1" s="90">
      <c r="A194" s="61" t="n"/>
      <c r="B194" s="61" t="n"/>
      <c r="C194" s="61" t="n"/>
      <c r="D194" s="61" t="n"/>
    </row>
    <row r="195" ht="12.75" customHeight="1" s="90">
      <c r="A195" s="61" t="n"/>
      <c r="B195" s="61" t="n"/>
      <c r="C195" s="61" t="n"/>
      <c r="D195" s="61" t="n"/>
    </row>
    <row r="196" ht="12.75" customHeight="1" s="90">
      <c r="A196" s="61" t="n"/>
      <c r="B196" s="61" t="n"/>
      <c r="C196" s="61" t="n"/>
      <c r="D196" s="61" t="n"/>
    </row>
    <row r="197" ht="12.75" customHeight="1" s="90">
      <c r="A197" s="61" t="n"/>
      <c r="B197" s="61" t="n"/>
      <c r="C197" s="61" t="n"/>
      <c r="D197" s="61" t="n"/>
    </row>
    <row r="198" ht="12.75" customHeight="1" s="90">
      <c r="A198" s="61" t="n"/>
      <c r="B198" s="61" t="n"/>
      <c r="C198" s="61" t="n"/>
      <c r="D198" s="61" t="n"/>
    </row>
    <row r="199" ht="12.75" customHeight="1" s="90">
      <c r="A199" s="61" t="n"/>
      <c r="B199" s="61" t="n"/>
      <c r="C199" s="61" t="n"/>
      <c r="D199" s="61" t="n"/>
    </row>
    <row r="200" ht="12.75" customHeight="1" s="90">
      <c r="A200" s="61" t="n"/>
      <c r="B200" s="61" t="n"/>
      <c r="C200" s="61" t="n"/>
      <c r="D200" s="61" t="n"/>
    </row>
    <row r="201" ht="12.75" customHeight="1" s="90">
      <c r="A201" s="62" t="n"/>
      <c r="B201" s="61" t="n"/>
      <c r="C201" s="66" t="n"/>
      <c r="D201" s="61" t="n"/>
    </row>
    <row r="202" ht="12.75" customHeight="1" s="90">
      <c r="A202" s="62" t="n"/>
      <c r="B202" s="61" t="n"/>
      <c r="C202" s="66" t="n"/>
      <c r="D202" s="61" t="n"/>
    </row>
    <row r="203" ht="12.75" customHeight="1" s="90">
      <c r="A203" s="62" t="n"/>
      <c r="B203" s="61" t="n"/>
      <c r="C203" s="66" t="n"/>
      <c r="D203" s="61" t="n"/>
    </row>
    <row r="204" ht="12.75" customHeight="1" s="90">
      <c r="A204" s="62" t="n"/>
      <c r="B204" s="61" t="n"/>
      <c r="C204" s="66" t="n"/>
      <c r="D204" s="61" t="n"/>
    </row>
    <row r="205" ht="12.75" customHeight="1" s="90">
      <c r="A205" s="62" t="n"/>
      <c r="B205" s="61" t="n"/>
      <c r="C205" s="66" t="n"/>
      <c r="D205" s="61" t="n"/>
    </row>
    <row r="206" ht="12.75" customHeight="1" s="90">
      <c r="A206" s="62" t="n"/>
      <c r="B206" s="61" t="n"/>
      <c r="C206" s="66" t="n"/>
      <c r="D206" s="61" t="n"/>
    </row>
    <row r="207" ht="12.75" customHeight="1" s="90">
      <c r="A207" s="62" t="n"/>
      <c r="B207" s="61" t="n"/>
      <c r="C207" s="66" t="n"/>
      <c r="D207" s="61" t="n"/>
    </row>
    <row r="208" ht="12.75" customHeight="1" s="90">
      <c r="A208" s="62" t="n"/>
      <c r="B208" s="61" t="n"/>
      <c r="C208" s="66" t="n"/>
      <c r="D208" s="61" t="n"/>
    </row>
    <row r="209" ht="12.75" customHeight="1" s="90">
      <c r="A209" s="62" t="n"/>
      <c r="B209" s="61" t="n"/>
      <c r="C209" s="66" t="n"/>
      <c r="D209" s="61" t="n"/>
    </row>
    <row r="210" ht="12.75" customHeight="1" s="90">
      <c r="A210" s="62" t="n"/>
      <c r="B210" s="61" t="n"/>
      <c r="C210" s="66" t="n"/>
      <c r="D210" s="61" t="n"/>
    </row>
    <row r="211" ht="12.75" customHeight="1" s="90">
      <c r="A211" s="62" t="n"/>
      <c r="B211" s="61" t="n"/>
      <c r="C211" s="66" t="n"/>
      <c r="D211" s="61" t="n"/>
    </row>
    <row r="212" ht="12.75" customHeight="1" s="90">
      <c r="A212" s="62" t="n"/>
      <c r="B212" s="61" t="n"/>
      <c r="C212" s="66" t="n"/>
      <c r="D212" s="61" t="n"/>
    </row>
    <row r="213" ht="12.75" customHeight="1" s="90">
      <c r="A213" s="62" t="n"/>
      <c r="B213" s="61" t="n"/>
      <c r="C213" s="66" t="n"/>
      <c r="D213" s="61" t="n"/>
    </row>
    <row r="214" ht="12.75" customHeight="1" s="90">
      <c r="A214" s="62" t="n"/>
      <c r="B214" s="61" t="n"/>
      <c r="C214" s="66" t="n"/>
      <c r="D214" s="61" t="n"/>
    </row>
    <row r="215" ht="12.75" customHeight="1" s="90">
      <c r="A215" s="62" t="n"/>
      <c r="B215" s="61" t="n"/>
      <c r="C215" s="66" t="n"/>
      <c r="D215" s="61" t="n"/>
    </row>
    <row r="216" ht="12.75" customHeight="1" s="90">
      <c r="A216" s="62" t="n"/>
      <c r="B216" s="61" t="n"/>
      <c r="C216" s="66" t="n"/>
      <c r="D216" s="61" t="n"/>
    </row>
    <row r="217" ht="12.75" customHeight="1" s="90">
      <c r="A217" s="62" t="n"/>
      <c r="B217" s="61" t="n"/>
      <c r="C217" s="66" t="n"/>
      <c r="D217" s="61" t="n"/>
    </row>
    <row r="218" ht="12.75" customHeight="1" s="90">
      <c r="A218" s="62" t="n"/>
      <c r="B218" s="61" t="n"/>
      <c r="C218" s="66" t="n"/>
      <c r="D218" s="61" t="n"/>
    </row>
    <row r="219" ht="12.75" customHeight="1" s="90">
      <c r="A219" s="62" t="n"/>
      <c r="B219" s="61" t="n"/>
      <c r="C219" s="66" t="n"/>
      <c r="D219" s="61" t="n"/>
    </row>
    <row r="220" ht="12.75" customHeight="1" s="90">
      <c r="A220" s="62" t="n"/>
      <c r="B220" s="61" t="n"/>
      <c r="C220" s="66" t="n"/>
      <c r="D220" s="61" t="n"/>
    </row>
    <row r="221" ht="12.75" customHeight="1" s="90">
      <c r="A221" s="62" t="n"/>
      <c r="B221" s="61" t="n"/>
      <c r="C221" s="66" t="n"/>
      <c r="D221" s="61" t="n"/>
    </row>
    <row r="222" ht="12.75" customHeight="1" s="90">
      <c r="A222" s="62" t="n"/>
      <c r="B222" s="61" t="n"/>
      <c r="C222" s="66" t="n"/>
      <c r="D222" s="61" t="n"/>
    </row>
    <row r="223" ht="12.75" customHeight="1" s="90">
      <c r="A223" s="62" t="n"/>
      <c r="B223" s="61" t="n"/>
      <c r="C223" s="66" t="n"/>
      <c r="D223" s="61" t="n"/>
    </row>
    <row r="224" ht="12.75" customHeight="1" s="90">
      <c r="A224" s="62" t="n"/>
      <c r="B224" s="61" t="n"/>
      <c r="C224" s="66" t="n"/>
      <c r="D224" s="61" t="n"/>
    </row>
    <row r="225" ht="12.75" customHeight="1" s="90">
      <c r="A225" s="62" t="n"/>
      <c r="B225" s="61" t="n"/>
      <c r="C225" s="66" t="n"/>
      <c r="D225" s="61" t="n"/>
    </row>
    <row r="226" ht="12.75" customHeight="1" s="90">
      <c r="A226" s="62" t="n"/>
      <c r="B226" s="61" t="n"/>
      <c r="C226" s="66" t="n"/>
      <c r="D226" s="61" t="n"/>
    </row>
    <row r="227" ht="12.75" customHeight="1" s="90">
      <c r="A227" s="62" t="n"/>
      <c r="B227" s="61" t="n"/>
      <c r="C227" s="66" t="n"/>
      <c r="D227" s="61" t="n"/>
    </row>
    <row r="228" ht="12.75" customHeight="1" s="90">
      <c r="A228" s="62" t="n"/>
      <c r="B228" s="61" t="n"/>
      <c r="C228" s="66" t="n"/>
      <c r="D228" s="61" t="n"/>
    </row>
    <row r="229" ht="12.75" customHeight="1" s="90">
      <c r="A229" s="62" t="n"/>
      <c r="B229" s="61" t="n"/>
      <c r="C229" s="66" t="n"/>
      <c r="D229" s="61" t="n"/>
    </row>
    <row r="230" ht="12.75" customHeight="1" s="90">
      <c r="A230" s="62" t="n"/>
      <c r="B230" s="61" t="n"/>
      <c r="C230" s="66" t="n"/>
      <c r="D230" s="61" t="n"/>
    </row>
    <row r="231" ht="12.75" customHeight="1" s="90">
      <c r="A231" s="62" t="n"/>
      <c r="B231" s="61" t="n"/>
      <c r="C231" s="66" t="n"/>
      <c r="D231" s="61" t="n"/>
    </row>
    <row r="232" ht="12.75" customHeight="1" s="90">
      <c r="A232" s="62" t="n"/>
      <c r="B232" s="61" t="n"/>
      <c r="C232" s="66" t="n"/>
      <c r="D232" s="61" t="n"/>
    </row>
    <row r="233" ht="12.75" customHeight="1" s="90">
      <c r="A233" s="62" t="n"/>
      <c r="B233" s="61" t="n"/>
      <c r="C233" s="66" t="n"/>
      <c r="D233" s="61" t="n"/>
    </row>
    <row r="234" ht="12.75" customHeight="1" s="90">
      <c r="A234" s="62" t="n"/>
      <c r="B234" s="61" t="n"/>
      <c r="C234" s="66" t="n"/>
      <c r="D234" s="61" t="n"/>
    </row>
    <row r="235" ht="12.75" customHeight="1" s="90">
      <c r="A235" s="62" t="n"/>
      <c r="B235" s="61" t="n"/>
      <c r="C235" s="66" t="n"/>
      <c r="D235" s="61" t="n"/>
    </row>
    <row r="236" ht="12.75" customHeight="1" s="90">
      <c r="A236" s="62" t="n"/>
      <c r="B236" s="61" t="n"/>
      <c r="C236" s="66" t="n"/>
      <c r="D236" s="61" t="n"/>
    </row>
    <row r="237" ht="12.75" customHeight="1" s="90">
      <c r="A237" s="62" t="n"/>
      <c r="B237" s="61" t="n"/>
      <c r="C237" s="66" t="n"/>
      <c r="D237" s="61" t="n"/>
    </row>
    <row r="238" ht="12.75" customHeight="1" s="90">
      <c r="A238" s="62" t="n"/>
      <c r="B238" s="61" t="n"/>
      <c r="C238" s="66" t="n"/>
      <c r="D238" s="61" t="n"/>
    </row>
    <row r="239" ht="12.75" customHeight="1" s="90">
      <c r="A239" s="62" t="n"/>
      <c r="B239" s="61" t="n"/>
      <c r="C239" s="66" t="n"/>
      <c r="D239" s="61" t="n"/>
    </row>
    <row r="240" ht="12.75" customHeight="1" s="90">
      <c r="A240" s="62" t="n"/>
      <c r="B240" s="61" t="n"/>
      <c r="C240" s="66" t="n"/>
      <c r="D240" s="61" t="n"/>
    </row>
    <row r="241" ht="12.75" customHeight="1" s="90">
      <c r="A241" s="62" t="n"/>
      <c r="B241" s="61" t="n"/>
      <c r="C241" s="66" t="n"/>
      <c r="D241" s="61" t="n"/>
    </row>
    <row r="242" ht="12.75" customHeight="1" s="90">
      <c r="A242" s="62" t="n"/>
      <c r="B242" s="61" t="n"/>
      <c r="C242" s="66" t="n"/>
      <c r="D242" s="61" t="n"/>
    </row>
    <row r="243" ht="12.75" customHeight="1" s="90">
      <c r="A243" s="62" t="n"/>
      <c r="B243" s="61" t="n"/>
      <c r="C243" s="66" t="n"/>
      <c r="D243" s="61" t="n"/>
    </row>
    <row r="244" ht="12.75" customHeight="1" s="90">
      <c r="A244" s="62" t="n"/>
      <c r="B244" s="61" t="n"/>
      <c r="C244" s="66" t="n"/>
      <c r="D244" s="61" t="n"/>
    </row>
    <row r="245" ht="12.75" customHeight="1" s="90">
      <c r="A245" s="62" t="n"/>
      <c r="B245" s="61" t="n"/>
      <c r="C245" s="66" t="n"/>
      <c r="D245" s="61" t="n"/>
    </row>
    <row r="246" ht="12.75" customHeight="1" s="90">
      <c r="A246" s="62" t="n"/>
      <c r="B246" s="61" t="n"/>
      <c r="C246" s="66" t="n"/>
      <c r="D246" s="61" t="n"/>
    </row>
    <row r="247" ht="12.75" customHeight="1" s="90">
      <c r="A247" s="62" t="n"/>
      <c r="B247" s="61" t="n"/>
      <c r="C247" s="66" t="n"/>
      <c r="D247" s="61" t="n"/>
    </row>
    <row r="248" ht="12.75" customHeight="1" s="90">
      <c r="A248" s="62" t="n"/>
      <c r="B248" s="61" t="n"/>
      <c r="C248" s="66" t="n"/>
      <c r="D248" s="61" t="n"/>
    </row>
    <row r="249" ht="12.75" customHeight="1" s="90">
      <c r="A249" s="62" t="n"/>
      <c r="B249" s="61" t="n"/>
      <c r="C249" s="66" t="n"/>
      <c r="D249" s="61" t="n"/>
    </row>
    <row r="250" ht="12.75" customHeight="1" s="90">
      <c r="A250" s="62" t="n"/>
      <c r="B250" s="61" t="n"/>
      <c r="C250" s="66" t="n"/>
      <c r="D250" s="61" t="n"/>
    </row>
    <row r="251" ht="12.75" customHeight="1" s="90">
      <c r="A251" s="62" t="n"/>
      <c r="B251" s="61" t="n"/>
      <c r="C251" s="66" t="n"/>
      <c r="D251" s="61" t="n"/>
    </row>
    <row r="252" ht="12.75" customHeight="1" s="90">
      <c r="A252" s="62" t="n"/>
      <c r="B252" s="61" t="n"/>
      <c r="C252" s="66" t="n"/>
      <c r="D252" s="61" t="n"/>
    </row>
    <row r="253" ht="12.75" customHeight="1" s="90">
      <c r="A253" s="62" t="n"/>
      <c r="B253" s="61" t="n"/>
      <c r="C253" s="66" t="n"/>
      <c r="D253" s="61" t="n"/>
    </row>
    <row r="254" ht="12.75" customHeight="1" s="90">
      <c r="A254" s="62" t="n"/>
      <c r="B254" s="61" t="n"/>
      <c r="C254" s="66" t="n"/>
      <c r="D254" s="61" t="n"/>
    </row>
    <row r="255" ht="12.75" customHeight="1" s="90">
      <c r="A255" s="62" t="n"/>
      <c r="B255" s="61" t="n"/>
      <c r="C255" s="66" t="n"/>
      <c r="D255" s="61" t="n"/>
    </row>
    <row r="256" ht="12.75" customHeight="1" s="90">
      <c r="A256" s="62" t="n"/>
      <c r="B256" s="61" t="n"/>
      <c r="C256" s="66" t="n"/>
      <c r="D256" s="61" t="n"/>
    </row>
    <row r="257" ht="12.75" customHeight="1" s="90">
      <c r="A257" s="62" t="n"/>
      <c r="B257" s="61" t="n"/>
      <c r="C257" s="66" t="n"/>
      <c r="D257" s="61" t="n"/>
    </row>
    <row r="258" ht="12.75" customHeight="1" s="90">
      <c r="A258" s="62" t="n"/>
      <c r="B258" s="61" t="n"/>
      <c r="C258" s="66" t="n"/>
      <c r="D258" s="61" t="n"/>
    </row>
    <row r="259" ht="12.75" customHeight="1" s="90">
      <c r="A259" s="62" t="n"/>
      <c r="B259" s="61" t="n"/>
      <c r="C259" s="66" t="n"/>
      <c r="D259" s="61" t="n"/>
    </row>
    <row r="260" ht="12.75" customHeight="1" s="90">
      <c r="A260" s="62" t="n"/>
      <c r="B260" s="61" t="n"/>
      <c r="C260" s="66" t="n"/>
      <c r="D260" s="61" t="n"/>
    </row>
    <row r="261" ht="12.75" customHeight="1" s="90">
      <c r="A261" s="62" t="n"/>
      <c r="B261" s="61" t="n"/>
      <c r="C261" s="66" t="n"/>
      <c r="D261" s="61" t="n"/>
    </row>
    <row r="262" ht="12.75" customHeight="1" s="90">
      <c r="A262" s="62" t="n"/>
      <c r="B262" s="61" t="n"/>
      <c r="C262" s="66" t="n"/>
      <c r="D262" s="61" t="n"/>
    </row>
    <row r="263" ht="12.75" customHeight="1" s="90">
      <c r="A263" s="62" t="n"/>
      <c r="B263" s="61" t="n"/>
      <c r="C263" s="66" t="n"/>
      <c r="D263" s="61" t="n"/>
    </row>
    <row r="264" ht="12.75" customHeight="1" s="90">
      <c r="A264" s="62" t="n"/>
      <c r="B264" s="61" t="n"/>
      <c r="C264" s="66" t="n"/>
      <c r="D264" s="61" t="n"/>
    </row>
    <row r="265" ht="12.75" customHeight="1" s="90">
      <c r="A265" s="62" t="n"/>
      <c r="B265" s="61" t="n"/>
      <c r="C265" s="66" t="n"/>
      <c r="D265" s="61" t="n"/>
    </row>
    <row r="266" ht="12.75" customHeight="1" s="90">
      <c r="A266" s="62" t="n"/>
      <c r="B266" s="61" t="n"/>
      <c r="C266" s="66" t="n"/>
      <c r="D266" s="61" t="n"/>
    </row>
    <row r="267" ht="15.75" customHeight="1" s="90">
      <c r="A267" s="62" t="n"/>
      <c r="B267" s="61" t="n"/>
      <c r="C267" s="66" t="n"/>
      <c r="D267" s="61" t="n"/>
    </row>
    <row r="268" ht="15.75" customHeight="1" s="90">
      <c r="A268" s="62" t="n"/>
      <c r="B268" s="61" t="n"/>
      <c r="C268" s="66" t="n"/>
      <c r="D268" s="61" t="n"/>
    </row>
    <row r="269" ht="15.75" customHeight="1" s="90">
      <c r="A269" s="62" t="n"/>
      <c r="B269" s="61" t="n"/>
      <c r="C269" s="66" t="n"/>
      <c r="D269" s="61" t="n"/>
    </row>
    <row r="270" ht="15.75" customHeight="1" s="90">
      <c r="A270" s="62" t="n"/>
      <c r="B270" s="61" t="n"/>
      <c r="C270" s="66" t="n"/>
      <c r="D270" s="61" t="n"/>
    </row>
    <row r="271" ht="15.75" customHeight="1" s="90">
      <c r="A271" s="62" t="n"/>
      <c r="B271" s="61" t="n"/>
      <c r="C271" s="66" t="n"/>
      <c r="D271" s="61" t="n"/>
    </row>
    <row r="272" ht="15.75" customHeight="1" s="90">
      <c r="A272" s="62" t="n"/>
      <c r="B272" s="61" t="n"/>
      <c r="C272" s="66" t="n"/>
      <c r="D272" s="61" t="n"/>
    </row>
    <row r="273" ht="15.75" customHeight="1" s="90">
      <c r="A273" s="62" t="n"/>
      <c r="B273" s="61" t="n"/>
      <c r="C273" s="66" t="n"/>
      <c r="D273" s="61" t="n"/>
    </row>
    <row r="274" ht="15.75" customHeight="1" s="90">
      <c r="A274" s="62" t="n"/>
      <c r="B274" s="61" t="n"/>
      <c r="C274" s="66" t="n"/>
      <c r="D274" s="61" t="n"/>
    </row>
    <row r="275" ht="15.75" customHeight="1" s="90">
      <c r="A275" s="62" t="n"/>
      <c r="B275" s="61" t="n"/>
      <c r="C275" s="66" t="n"/>
      <c r="D275" s="61" t="n"/>
    </row>
    <row r="276" ht="15.75" customHeight="1" s="90">
      <c r="A276" s="62" t="n"/>
      <c r="B276" s="61" t="n"/>
      <c r="C276" s="66" t="n"/>
      <c r="D276" s="61" t="n"/>
    </row>
    <row r="277" ht="15.75" customHeight="1" s="90">
      <c r="A277" s="62" t="n"/>
      <c r="B277" s="61" t="n"/>
      <c r="C277" s="66" t="n"/>
      <c r="D277" s="61" t="n"/>
    </row>
    <row r="278" ht="15.75" customHeight="1" s="90">
      <c r="A278" s="62" t="n"/>
      <c r="B278" s="61" t="n"/>
      <c r="C278" s="66" t="n"/>
      <c r="D278" s="61" t="n"/>
    </row>
    <row r="279" ht="15.75" customHeight="1" s="90">
      <c r="A279" s="62" t="n"/>
      <c r="B279" s="61" t="n"/>
      <c r="C279" s="66" t="n"/>
      <c r="D279" s="61" t="n"/>
    </row>
    <row r="280" ht="15.75" customHeight="1" s="90">
      <c r="A280" s="62" t="n"/>
      <c r="B280" s="61" t="n"/>
      <c r="C280" s="66" t="n"/>
      <c r="D280" s="61" t="n"/>
    </row>
    <row r="281" ht="15.75" customHeight="1" s="90">
      <c r="A281" s="62" t="n"/>
      <c r="B281" s="61" t="n"/>
      <c r="C281" s="66" t="n"/>
      <c r="D281" s="61" t="n"/>
    </row>
    <row r="282" ht="15.75" customHeight="1" s="90">
      <c r="A282" s="62" t="n"/>
      <c r="B282" s="61" t="n"/>
      <c r="C282" s="66" t="n"/>
      <c r="D282" s="61" t="n"/>
    </row>
    <row r="283" ht="15.75" customHeight="1" s="90">
      <c r="A283" s="62" t="n"/>
      <c r="B283" s="61" t="n"/>
      <c r="C283" s="66" t="n"/>
      <c r="D283" s="61" t="n"/>
    </row>
    <row r="284" ht="15.75" customHeight="1" s="90">
      <c r="A284" s="62" t="n"/>
      <c r="B284" s="61" t="n"/>
      <c r="C284" s="66" t="n"/>
      <c r="D284" s="61" t="n"/>
    </row>
    <row r="285" ht="15.75" customHeight="1" s="90">
      <c r="A285" s="62" t="n"/>
      <c r="B285" s="61" t="n"/>
      <c r="C285" s="66" t="n"/>
      <c r="D285" s="61" t="n"/>
    </row>
    <row r="286" ht="15.75" customHeight="1" s="90">
      <c r="A286" s="62" t="n"/>
      <c r="B286" s="61" t="n"/>
      <c r="C286" s="66" t="n"/>
      <c r="D286" s="61" t="n"/>
    </row>
    <row r="287" ht="15.75" customHeight="1" s="90">
      <c r="A287" s="62" t="n"/>
      <c r="B287" s="61" t="n"/>
      <c r="C287" s="66" t="n"/>
      <c r="D287" s="61" t="n"/>
    </row>
    <row r="288" ht="15.75" customHeight="1" s="90">
      <c r="A288" s="62" t="n"/>
      <c r="B288" s="61" t="n"/>
      <c r="C288" s="66" t="n"/>
      <c r="D288" s="61" t="n"/>
    </row>
    <row r="289" ht="15.75" customHeight="1" s="90">
      <c r="A289" s="62" t="n"/>
      <c r="B289" s="61" t="n"/>
      <c r="C289" s="66" t="n"/>
      <c r="D289" s="61" t="n"/>
    </row>
    <row r="290" ht="15.75" customHeight="1" s="90">
      <c r="A290" s="62" t="n"/>
      <c r="B290" s="61" t="n"/>
      <c r="C290" s="66" t="n"/>
      <c r="D290" s="61" t="n"/>
    </row>
    <row r="291" ht="15.75" customHeight="1" s="90">
      <c r="A291" s="62" t="n"/>
      <c r="B291" s="61" t="n"/>
      <c r="C291" s="66" t="n"/>
      <c r="D291" s="61" t="n"/>
    </row>
    <row r="292" ht="15.75" customHeight="1" s="90">
      <c r="A292" s="62" t="n"/>
      <c r="B292" s="61" t="n"/>
      <c r="C292" s="66" t="n"/>
      <c r="D292" s="61" t="n"/>
    </row>
    <row r="293" ht="15.75" customHeight="1" s="90">
      <c r="A293" s="62" t="n"/>
      <c r="B293" s="61" t="n"/>
      <c r="C293" s="66" t="n"/>
      <c r="D293" s="61" t="n"/>
    </row>
    <row r="294" ht="15.75" customHeight="1" s="90">
      <c r="A294" s="62" t="n"/>
      <c r="B294" s="61" t="n"/>
      <c r="C294" s="66" t="n"/>
      <c r="D294" s="61" t="n"/>
    </row>
    <row r="295" ht="15.75" customHeight="1" s="90">
      <c r="A295" s="62" t="n"/>
      <c r="B295" s="61" t="n"/>
      <c r="C295" s="66" t="n"/>
      <c r="D295" s="61" t="n"/>
    </row>
    <row r="296" ht="15.75" customHeight="1" s="90">
      <c r="A296" s="62" t="n"/>
      <c r="B296" s="61" t="n"/>
      <c r="C296" s="66" t="n"/>
      <c r="D296" s="61" t="n"/>
    </row>
    <row r="297" ht="15.75" customHeight="1" s="90">
      <c r="A297" s="62" t="n"/>
      <c r="B297" s="61" t="n"/>
      <c r="C297" s="66" t="n"/>
      <c r="D297" s="61" t="n"/>
    </row>
    <row r="298" ht="15.75" customHeight="1" s="90">
      <c r="A298" s="62" t="n"/>
      <c r="B298" s="61" t="n"/>
      <c r="C298" s="66" t="n"/>
      <c r="D298" s="61" t="n"/>
    </row>
    <row r="299" ht="15.75" customHeight="1" s="90">
      <c r="A299" s="62" t="n"/>
      <c r="B299" s="61" t="n"/>
      <c r="C299" s="66" t="n"/>
      <c r="D299" s="61" t="n"/>
    </row>
    <row r="300" ht="15.75" customHeight="1" s="90">
      <c r="A300" s="62" t="n"/>
      <c r="B300" s="61" t="n"/>
      <c r="C300" s="66" t="n"/>
      <c r="D300" s="61" t="n"/>
    </row>
    <row r="301" ht="15.75" customHeight="1" s="90">
      <c r="A301" s="3" t="n"/>
      <c r="C301" s="6" t="n"/>
    </row>
    <row r="302" ht="15.75" customHeight="1" s="90">
      <c r="A302" s="3" t="n"/>
      <c r="C302" s="6" t="n"/>
    </row>
    <row r="303" ht="15.75" customHeight="1" s="90">
      <c r="A303" s="3" t="n"/>
      <c r="C303" s="6" t="n"/>
    </row>
    <row r="304" ht="15.75" customHeight="1" s="90">
      <c r="A304" s="3" t="n"/>
      <c r="C304" s="6" t="n"/>
    </row>
    <row r="305" ht="15.75" customHeight="1" s="90">
      <c r="A305" s="3" t="n"/>
      <c r="C305" s="6" t="n"/>
    </row>
    <row r="306" ht="15.75" customHeight="1" s="90">
      <c r="A306" s="3" t="n"/>
      <c r="C306" s="6" t="n"/>
    </row>
    <row r="307" ht="15.75" customHeight="1" s="90">
      <c r="A307" s="3" t="n"/>
      <c r="C307" s="6" t="n"/>
    </row>
    <row r="308" ht="15.75" customHeight="1" s="90">
      <c r="A308" s="3" t="n"/>
      <c r="C308" s="6" t="n"/>
    </row>
    <row r="309" ht="15.75" customHeight="1" s="90">
      <c r="A309" s="3" t="n"/>
      <c r="C309" s="6" t="n"/>
    </row>
    <row r="310" ht="15.75" customHeight="1" s="90">
      <c r="A310" s="3" t="n"/>
      <c r="C310" s="6" t="n"/>
    </row>
    <row r="311" ht="15.75" customHeight="1" s="90">
      <c r="A311" s="3" t="n"/>
      <c r="C311" s="6" t="n"/>
    </row>
    <row r="312" ht="15.75" customHeight="1" s="90">
      <c r="A312" s="3" t="n"/>
      <c r="C312" s="6" t="n"/>
    </row>
    <row r="313" ht="15.75" customHeight="1" s="90">
      <c r="A313" s="3" t="n"/>
      <c r="C313" s="6" t="n"/>
    </row>
    <row r="314" ht="15.75" customHeight="1" s="90">
      <c r="A314" s="3" t="n"/>
      <c r="C314" s="6" t="n"/>
    </row>
    <row r="315" ht="15.75" customHeight="1" s="90">
      <c r="A315" s="3" t="n"/>
      <c r="C315" s="6" t="n"/>
    </row>
    <row r="316" ht="15.75" customHeight="1" s="90">
      <c r="A316" s="3" t="n"/>
      <c r="C316" s="6" t="n"/>
    </row>
    <row r="317" ht="15.75" customHeight="1" s="90">
      <c r="A317" s="3" t="n"/>
      <c r="C317" s="6" t="n"/>
    </row>
    <row r="318" ht="15.75" customHeight="1" s="90">
      <c r="A318" s="3" t="n"/>
      <c r="C318" s="6" t="n"/>
    </row>
    <row r="319" ht="15.75" customHeight="1" s="90">
      <c r="A319" s="3" t="n"/>
      <c r="C319" s="6" t="n"/>
    </row>
    <row r="320" ht="15.75" customHeight="1" s="90">
      <c r="A320" s="3" t="n"/>
      <c r="C320" s="6" t="n"/>
    </row>
    <row r="321" ht="15.75" customHeight="1" s="90">
      <c r="A321" s="3" t="n"/>
      <c r="C321" s="6" t="n"/>
    </row>
    <row r="322" ht="15.75" customHeight="1" s="90">
      <c r="A322" s="3" t="n"/>
      <c r="C322" s="6" t="n"/>
    </row>
    <row r="323" ht="15.75" customHeight="1" s="90">
      <c r="A323" s="3" t="n"/>
      <c r="C323" s="6" t="n"/>
    </row>
    <row r="324" ht="15.75" customHeight="1" s="90">
      <c r="A324" s="3" t="n"/>
      <c r="C324" s="6" t="n"/>
    </row>
    <row r="325" ht="15.75" customHeight="1" s="90">
      <c r="A325" s="3" t="n"/>
      <c r="C325" s="6" t="n"/>
    </row>
    <row r="326" ht="15.75" customHeight="1" s="90">
      <c r="A326" s="3" t="n"/>
      <c r="C326" s="6" t="n"/>
    </row>
    <row r="327" ht="15.75" customHeight="1" s="90">
      <c r="A327" s="3" t="n"/>
      <c r="C327" s="6" t="n"/>
    </row>
    <row r="328" ht="15.75" customHeight="1" s="90">
      <c r="A328" s="3" t="n"/>
      <c r="C328" s="6" t="n"/>
    </row>
    <row r="329" ht="15.75" customHeight="1" s="90">
      <c r="A329" s="3" t="n"/>
      <c r="C329" s="6" t="n"/>
    </row>
    <row r="330" ht="15.75" customHeight="1" s="90">
      <c r="A330" s="3" t="n"/>
      <c r="C330" s="6" t="n"/>
    </row>
    <row r="331" ht="15.75" customHeight="1" s="90">
      <c r="A331" s="3" t="n"/>
      <c r="C331" s="6" t="n"/>
    </row>
    <row r="332" ht="15.75" customHeight="1" s="90">
      <c r="A332" s="3" t="n"/>
      <c r="C332" s="6" t="n"/>
    </row>
    <row r="333" ht="15.75" customHeight="1" s="90">
      <c r="A333" s="3" t="n"/>
      <c r="C333" s="6" t="n"/>
    </row>
    <row r="334" ht="15.75" customHeight="1" s="90">
      <c r="A334" s="3" t="n"/>
      <c r="C334" s="6" t="n"/>
    </row>
    <row r="335" ht="15.75" customHeight="1" s="90">
      <c r="A335" s="3" t="n"/>
      <c r="C335" s="6" t="n"/>
    </row>
    <row r="336" ht="15.75" customHeight="1" s="90">
      <c r="A336" s="3" t="n"/>
      <c r="C336" s="6" t="n"/>
    </row>
    <row r="337" ht="15.75" customHeight="1" s="90">
      <c r="A337" s="3" t="n"/>
      <c r="C337" s="6" t="n"/>
    </row>
    <row r="338" ht="15.75" customHeight="1" s="90">
      <c r="A338" s="3" t="n"/>
      <c r="C338" s="6" t="n"/>
    </row>
    <row r="339" ht="15.75" customHeight="1" s="90">
      <c r="A339" s="3" t="n"/>
      <c r="C339" s="6" t="n"/>
    </row>
    <row r="340" ht="15.75" customHeight="1" s="90">
      <c r="A340" s="3" t="n"/>
      <c r="C340" s="6" t="n"/>
    </row>
    <row r="341" ht="15.75" customHeight="1" s="90">
      <c r="A341" s="3" t="n"/>
      <c r="C341" s="6" t="n"/>
    </row>
    <row r="342" ht="15.75" customHeight="1" s="90">
      <c r="A342" s="3" t="n"/>
      <c r="C342" s="6" t="n"/>
    </row>
    <row r="343" ht="15.75" customHeight="1" s="90">
      <c r="A343" s="3" t="n"/>
      <c r="C343" s="6" t="n"/>
    </row>
    <row r="344" ht="15.75" customHeight="1" s="90">
      <c r="A344" s="3" t="n"/>
      <c r="C344" s="6" t="n"/>
    </row>
    <row r="345" ht="15.75" customHeight="1" s="90">
      <c r="A345" s="3" t="n"/>
      <c r="C345" s="6" t="n"/>
    </row>
    <row r="346" ht="15.75" customHeight="1" s="90">
      <c r="A346" s="3" t="n"/>
      <c r="C346" s="6" t="n"/>
    </row>
    <row r="347" ht="15.75" customHeight="1" s="90">
      <c r="A347" s="3" t="n"/>
      <c r="C347" s="6" t="n"/>
    </row>
    <row r="348" ht="15.75" customHeight="1" s="90">
      <c r="A348" s="3" t="n"/>
      <c r="C348" s="6" t="n"/>
    </row>
    <row r="349" ht="15.75" customHeight="1" s="90">
      <c r="A349" s="3" t="n"/>
      <c r="C349" s="6" t="n"/>
    </row>
    <row r="350" ht="15.75" customHeight="1" s="90">
      <c r="A350" s="3" t="n"/>
      <c r="C350" s="6" t="n"/>
    </row>
    <row r="351" ht="15.75" customHeight="1" s="90">
      <c r="A351" s="3" t="n"/>
      <c r="C351" s="6" t="n"/>
    </row>
    <row r="352" ht="15.75" customHeight="1" s="90">
      <c r="A352" s="3" t="n"/>
      <c r="C352" s="6" t="n"/>
    </row>
    <row r="353" ht="15.75" customHeight="1" s="90">
      <c r="A353" s="3" t="n"/>
      <c r="C353" s="6" t="n"/>
    </row>
    <row r="354" ht="15.75" customHeight="1" s="90">
      <c r="A354" s="3" t="n"/>
      <c r="C354" s="6" t="n"/>
    </row>
    <row r="355" ht="15.75" customHeight="1" s="90">
      <c r="A355" s="3" t="n"/>
      <c r="C355" s="6" t="n"/>
    </row>
    <row r="356" ht="15.75" customHeight="1" s="90">
      <c r="A356" s="3" t="n"/>
      <c r="C356" s="6" t="n"/>
    </row>
    <row r="357" ht="15.75" customHeight="1" s="90">
      <c r="A357" s="3" t="n"/>
      <c r="C357" s="6" t="n"/>
    </row>
    <row r="358" ht="15.75" customHeight="1" s="90">
      <c r="A358" s="3" t="n"/>
      <c r="C358" s="6" t="n"/>
    </row>
    <row r="359" ht="15.75" customHeight="1" s="90">
      <c r="A359" s="3" t="n"/>
      <c r="C359" s="6" t="n"/>
    </row>
    <row r="360" ht="15.75" customHeight="1" s="90">
      <c r="A360" s="3" t="n"/>
      <c r="C360" s="6" t="n"/>
    </row>
    <row r="361" ht="15.75" customHeight="1" s="90">
      <c r="A361" s="3" t="n"/>
      <c r="C361" s="6" t="n"/>
    </row>
    <row r="362" ht="15.75" customHeight="1" s="90">
      <c r="A362" s="3" t="n"/>
      <c r="C362" s="6" t="n"/>
    </row>
    <row r="363" ht="15.75" customHeight="1" s="90">
      <c r="A363" s="3" t="n"/>
      <c r="C363" s="6" t="n"/>
    </row>
    <row r="364" ht="15.75" customHeight="1" s="90">
      <c r="A364" s="3" t="n"/>
      <c r="C364" s="6" t="n"/>
    </row>
    <row r="365" ht="15.75" customHeight="1" s="90">
      <c r="A365" s="3" t="n"/>
      <c r="C365" s="6" t="n"/>
    </row>
    <row r="366" ht="15.75" customHeight="1" s="90">
      <c r="A366" s="3" t="n"/>
      <c r="C366" s="6" t="n"/>
    </row>
    <row r="367" ht="15.75" customHeight="1" s="90">
      <c r="A367" s="3" t="n"/>
      <c r="C367" s="6" t="n"/>
    </row>
    <row r="368" ht="15.75" customHeight="1" s="90">
      <c r="A368" s="3" t="n"/>
      <c r="C368" s="6" t="n"/>
    </row>
    <row r="369" ht="15.75" customHeight="1" s="90">
      <c r="A369" s="3" t="n"/>
      <c r="C369" s="6" t="n"/>
    </row>
    <row r="370" ht="15.75" customHeight="1" s="90">
      <c r="A370" s="3" t="n"/>
      <c r="C370" s="6" t="n"/>
    </row>
    <row r="371" ht="15.75" customHeight="1" s="90">
      <c r="A371" s="3" t="n"/>
      <c r="C371" s="6" t="n"/>
    </row>
    <row r="372" ht="15.75" customHeight="1" s="90">
      <c r="A372" s="3" t="n"/>
      <c r="C372" s="6" t="n"/>
    </row>
    <row r="373" ht="15.75" customHeight="1" s="90">
      <c r="A373" s="3" t="n"/>
      <c r="C373" s="6" t="n"/>
    </row>
    <row r="374" ht="15.75" customHeight="1" s="90">
      <c r="A374" s="3" t="n"/>
      <c r="C374" s="6" t="n"/>
    </row>
    <row r="375" ht="15.75" customHeight="1" s="90">
      <c r="A375" s="3" t="n"/>
      <c r="C375" s="6" t="n"/>
    </row>
    <row r="376" ht="15.75" customHeight="1" s="90">
      <c r="A376" s="3" t="n"/>
      <c r="C376" s="6" t="n"/>
    </row>
    <row r="377" ht="15.75" customHeight="1" s="90">
      <c r="A377" s="3" t="n"/>
      <c r="C377" s="6" t="n"/>
    </row>
    <row r="378" ht="15.75" customHeight="1" s="90">
      <c r="A378" s="3" t="n"/>
      <c r="C378" s="6" t="n"/>
    </row>
    <row r="379" ht="15.75" customHeight="1" s="90">
      <c r="A379" s="3" t="n"/>
      <c r="C379" s="6" t="n"/>
    </row>
    <row r="380" ht="15.75" customHeight="1" s="90">
      <c r="A380" s="3" t="n"/>
      <c r="C380" s="6" t="n"/>
    </row>
    <row r="381" ht="15.75" customHeight="1" s="90">
      <c r="A381" s="3" t="n"/>
      <c r="C381" s="6" t="n"/>
    </row>
    <row r="382" ht="15.75" customHeight="1" s="90">
      <c r="A382" s="3" t="n"/>
      <c r="C382" s="6" t="n"/>
    </row>
    <row r="383" ht="15.75" customHeight="1" s="90">
      <c r="A383" s="3" t="n"/>
      <c r="C383" s="6" t="n"/>
    </row>
    <row r="384" ht="15.75" customHeight="1" s="90">
      <c r="A384" s="3" t="n"/>
      <c r="C384" s="6" t="n"/>
    </row>
    <row r="385" ht="15.75" customHeight="1" s="90">
      <c r="A385" s="3" t="n"/>
      <c r="C385" s="6" t="n"/>
    </row>
    <row r="386" ht="15.75" customHeight="1" s="90">
      <c r="A386" s="3" t="n"/>
      <c r="C386" s="6" t="n"/>
    </row>
    <row r="387" ht="15.75" customHeight="1" s="90">
      <c r="A387" s="3" t="n"/>
      <c r="C387" s="6" t="n"/>
    </row>
    <row r="388" ht="15.75" customHeight="1" s="90">
      <c r="A388" s="3" t="n"/>
      <c r="C388" s="6" t="n"/>
    </row>
    <row r="389" ht="15.75" customHeight="1" s="90">
      <c r="A389" s="3" t="n"/>
      <c r="C389" s="6" t="n"/>
    </row>
    <row r="390" ht="15.75" customHeight="1" s="90">
      <c r="A390" s="3" t="n"/>
      <c r="C390" s="6" t="n"/>
    </row>
    <row r="391" ht="15.75" customHeight="1" s="90">
      <c r="A391" s="3" t="n"/>
      <c r="C391" s="6" t="n"/>
    </row>
    <row r="392" ht="15.75" customHeight="1" s="90">
      <c r="A392" s="3" t="n"/>
      <c r="C392" s="6" t="n"/>
    </row>
    <row r="393" ht="15.75" customHeight="1" s="90">
      <c r="A393" s="3" t="n"/>
      <c r="C393" s="6" t="n"/>
    </row>
    <row r="394" ht="15.75" customHeight="1" s="90">
      <c r="A394" s="3" t="n"/>
      <c r="C394" s="6" t="n"/>
    </row>
    <row r="395" ht="15.75" customHeight="1" s="90">
      <c r="A395" s="3" t="n"/>
      <c r="C395" s="6" t="n"/>
    </row>
    <row r="396" ht="15.75" customHeight="1" s="90">
      <c r="A396" s="3" t="n"/>
      <c r="C396" s="6" t="n"/>
    </row>
    <row r="397" ht="15.75" customHeight="1" s="90">
      <c r="A397" s="3" t="n"/>
      <c r="C397" s="6" t="n"/>
    </row>
    <row r="398" ht="15.75" customHeight="1" s="90">
      <c r="A398" s="3" t="n"/>
      <c r="C398" s="6" t="n"/>
    </row>
    <row r="399" ht="15.75" customHeight="1" s="90">
      <c r="A399" s="3" t="n"/>
      <c r="C399" s="6" t="n"/>
    </row>
    <row r="400" ht="15.75" customHeight="1" s="90">
      <c r="A400" s="3" t="n"/>
      <c r="C400" s="6" t="n"/>
    </row>
    <row r="401" ht="15.75" customHeight="1" s="90">
      <c r="A401" s="3" t="n"/>
      <c r="C401" s="6" t="n"/>
    </row>
    <row r="402" ht="15.75" customHeight="1" s="90">
      <c r="A402" s="3" t="n"/>
      <c r="C402" s="6" t="n"/>
    </row>
    <row r="403" ht="15.75" customHeight="1" s="90">
      <c r="A403" s="3" t="n"/>
      <c r="C403" s="6" t="n"/>
    </row>
    <row r="404" ht="15.75" customHeight="1" s="90">
      <c r="A404" s="3" t="n"/>
      <c r="C404" s="6" t="n"/>
    </row>
    <row r="405" ht="15.75" customHeight="1" s="90">
      <c r="A405" s="3" t="n"/>
      <c r="C405" s="6" t="n"/>
    </row>
    <row r="406" ht="15.75" customHeight="1" s="90">
      <c r="A406" s="3" t="n"/>
      <c r="C406" s="6" t="n"/>
    </row>
    <row r="407" ht="15.75" customHeight="1" s="90">
      <c r="A407" s="3" t="n"/>
      <c r="C407" s="6" t="n"/>
    </row>
    <row r="408" ht="15.75" customHeight="1" s="90">
      <c r="A408" s="3" t="n"/>
      <c r="C408" s="6" t="n"/>
    </row>
    <row r="409" ht="15.75" customHeight="1" s="90">
      <c r="A409" s="3" t="n"/>
      <c r="C409" s="6" t="n"/>
    </row>
    <row r="410" ht="15.75" customHeight="1" s="90">
      <c r="A410" s="3" t="n"/>
      <c r="C410" s="6" t="n"/>
    </row>
    <row r="411" ht="15.75" customHeight="1" s="90">
      <c r="A411" s="3" t="n"/>
      <c r="C411" s="6" t="n"/>
    </row>
    <row r="412" ht="15.75" customHeight="1" s="90">
      <c r="A412" s="3" t="n"/>
      <c r="C412" s="6" t="n"/>
    </row>
    <row r="413" ht="15.75" customHeight="1" s="90">
      <c r="A413" s="3" t="n"/>
      <c r="C413" s="6" t="n"/>
    </row>
    <row r="414" ht="15.75" customHeight="1" s="90">
      <c r="A414" s="3" t="n"/>
      <c r="C414" s="6" t="n"/>
    </row>
    <row r="415" ht="15.75" customHeight="1" s="90">
      <c r="A415" s="3" t="n"/>
      <c r="C415" s="6" t="n"/>
    </row>
    <row r="416" ht="15.75" customHeight="1" s="90">
      <c r="A416" s="3" t="n"/>
      <c r="C416" s="6" t="n"/>
    </row>
    <row r="417" ht="15.75" customHeight="1" s="90">
      <c r="A417" s="3" t="n"/>
      <c r="C417" s="6" t="n"/>
    </row>
    <row r="418" ht="15.75" customHeight="1" s="90">
      <c r="A418" s="3" t="n"/>
      <c r="C418" s="6" t="n"/>
    </row>
    <row r="419" ht="15.75" customHeight="1" s="90">
      <c r="A419" s="3" t="n"/>
      <c r="C419" s="6" t="n"/>
    </row>
    <row r="420" ht="15.75" customHeight="1" s="90">
      <c r="A420" s="3" t="n"/>
      <c r="C420" s="6" t="n"/>
    </row>
    <row r="421" ht="15.75" customHeight="1" s="90">
      <c r="A421" s="3" t="n"/>
      <c r="C421" s="6" t="n"/>
    </row>
    <row r="422" ht="15.75" customHeight="1" s="90">
      <c r="A422" s="3" t="n"/>
      <c r="C422" s="6" t="n"/>
    </row>
    <row r="423" ht="15.75" customHeight="1" s="90">
      <c r="A423" s="3" t="n"/>
      <c r="C423" s="6" t="n"/>
    </row>
    <row r="424" ht="15.75" customHeight="1" s="90">
      <c r="A424" s="3" t="n"/>
      <c r="C424" s="6" t="n"/>
    </row>
    <row r="425" ht="15.75" customHeight="1" s="90">
      <c r="A425" s="3" t="n"/>
      <c r="C425" s="6" t="n"/>
    </row>
    <row r="426" ht="15.75" customHeight="1" s="90">
      <c r="A426" s="3" t="n"/>
      <c r="C426" s="6" t="n"/>
    </row>
    <row r="427" ht="15.75" customHeight="1" s="90">
      <c r="A427" s="3" t="n"/>
      <c r="C427" s="6" t="n"/>
    </row>
    <row r="428" ht="15.75" customHeight="1" s="90">
      <c r="A428" s="3" t="n"/>
      <c r="C428" s="6" t="n"/>
    </row>
    <row r="429" ht="15.75" customHeight="1" s="90">
      <c r="A429" s="3" t="n"/>
      <c r="C429" s="6" t="n"/>
    </row>
    <row r="430" ht="15.75" customHeight="1" s="90">
      <c r="A430" s="3" t="n"/>
      <c r="C430" s="6" t="n"/>
    </row>
    <row r="431" ht="15.75" customHeight="1" s="90">
      <c r="A431" s="3" t="n"/>
      <c r="C431" s="6" t="n"/>
    </row>
    <row r="432" ht="15.75" customHeight="1" s="90">
      <c r="A432" s="3" t="n"/>
      <c r="C432" s="6" t="n"/>
    </row>
    <row r="433" ht="15.75" customHeight="1" s="90">
      <c r="A433" s="3" t="n"/>
      <c r="C433" s="6" t="n"/>
    </row>
    <row r="434" ht="15.75" customHeight="1" s="90">
      <c r="A434" s="3" t="n"/>
      <c r="C434" s="6" t="n"/>
    </row>
    <row r="435" ht="15.75" customHeight="1" s="90">
      <c r="A435" s="3" t="n"/>
      <c r="C435" s="6" t="n"/>
    </row>
    <row r="436" ht="15.75" customHeight="1" s="90">
      <c r="A436" s="3" t="n"/>
      <c r="C436" s="6" t="n"/>
    </row>
    <row r="437" ht="15.75" customHeight="1" s="90">
      <c r="A437" s="3" t="n"/>
      <c r="C437" s="6" t="n"/>
    </row>
    <row r="438" ht="15.75" customHeight="1" s="90">
      <c r="A438" s="3" t="n"/>
      <c r="C438" s="6" t="n"/>
    </row>
    <row r="439" ht="15.75" customHeight="1" s="90">
      <c r="A439" s="3" t="n"/>
      <c r="C439" s="6" t="n"/>
    </row>
    <row r="440" ht="15.75" customHeight="1" s="90">
      <c r="A440" s="3" t="n"/>
      <c r="C440" s="6" t="n"/>
    </row>
    <row r="441" ht="15.75" customHeight="1" s="90">
      <c r="A441" s="3" t="n"/>
      <c r="C441" s="6" t="n"/>
    </row>
    <row r="442" ht="15.75" customHeight="1" s="90">
      <c r="A442" s="3" t="n"/>
      <c r="C442" s="6" t="n"/>
    </row>
    <row r="443" ht="15.75" customHeight="1" s="90">
      <c r="A443" s="3" t="n"/>
      <c r="C443" s="6" t="n"/>
    </row>
    <row r="444" ht="15.75" customHeight="1" s="90">
      <c r="A444" s="3" t="n"/>
      <c r="C444" s="6" t="n"/>
    </row>
    <row r="445" ht="15.75" customHeight="1" s="90">
      <c r="A445" s="3" t="n"/>
      <c r="C445" s="6" t="n"/>
    </row>
    <row r="446" ht="15.75" customHeight="1" s="90">
      <c r="A446" s="3" t="n"/>
      <c r="C446" s="6" t="n"/>
    </row>
    <row r="447" ht="15.75" customHeight="1" s="90">
      <c r="A447" s="3" t="n"/>
      <c r="C447" s="6" t="n"/>
    </row>
    <row r="448" ht="15.75" customHeight="1" s="90">
      <c r="A448" s="3" t="n"/>
      <c r="C448" s="6" t="n"/>
    </row>
    <row r="449" ht="15.75" customHeight="1" s="90">
      <c r="A449" s="3" t="n"/>
      <c r="C449" s="6" t="n"/>
    </row>
    <row r="450" ht="15.75" customHeight="1" s="90">
      <c r="A450" s="3" t="n"/>
      <c r="C450" s="6" t="n"/>
    </row>
    <row r="451" ht="15.75" customHeight="1" s="90">
      <c r="A451" s="3" t="n"/>
      <c r="C451" s="6" t="n"/>
    </row>
    <row r="452" ht="15.75" customHeight="1" s="90">
      <c r="A452" s="3" t="n"/>
      <c r="C452" s="6" t="n"/>
    </row>
    <row r="453" ht="15.75" customHeight="1" s="90">
      <c r="A453" s="3" t="n"/>
      <c r="C453" s="6" t="n"/>
    </row>
    <row r="454" ht="15.75" customHeight="1" s="90">
      <c r="A454" s="3" t="n"/>
      <c r="C454" s="6" t="n"/>
    </row>
    <row r="455" ht="15.75" customHeight="1" s="90">
      <c r="A455" s="3" t="n"/>
      <c r="C455" s="6" t="n"/>
    </row>
    <row r="456" ht="15.75" customHeight="1" s="90">
      <c r="A456" s="3" t="n"/>
      <c r="C456" s="6" t="n"/>
    </row>
    <row r="457" ht="15.75" customHeight="1" s="90">
      <c r="A457" s="3" t="n"/>
      <c r="C457" s="6" t="n"/>
    </row>
    <row r="458" ht="15.75" customHeight="1" s="90">
      <c r="A458" s="3" t="n"/>
      <c r="C458" s="6" t="n"/>
    </row>
    <row r="459" ht="15.75" customHeight="1" s="90">
      <c r="A459" s="3" t="n"/>
      <c r="C459" s="6" t="n"/>
    </row>
    <row r="460" ht="15.75" customHeight="1" s="90">
      <c r="A460" s="3" t="n"/>
      <c r="C460" s="6" t="n"/>
    </row>
    <row r="461" ht="15.75" customHeight="1" s="90">
      <c r="A461" s="3" t="n"/>
      <c r="C461" s="6" t="n"/>
    </row>
    <row r="462" ht="15.75" customHeight="1" s="90">
      <c r="A462" s="3" t="n"/>
      <c r="C462" s="6" t="n"/>
    </row>
    <row r="463" ht="15.75" customHeight="1" s="90">
      <c r="A463" s="3" t="n"/>
      <c r="C463" s="6" t="n"/>
    </row>
    <row r="464" ht="15.75" customHeight="1" s="90">
      <c r="A464" s="3" t="n"/>
      <c r="C464" s="6" t="n"/>
    </row>
    <row r="465" ht="15.75" customHeight="1" s="90">
      <c r="A465" s="3" t="n"/>
      <c r="C465" s="6" t="n"/>
    </row>
    <row r="466" ht="15.75" customHeight="1" s="90">
      <c r="A466" s="3" t="n"/>
      <c r="C466" s="6" t="n"/>
    </row>
    <row r="467" ht="15.75" customHeight="1" s="90">
      <c r="A467" s="3" t="n"/>
      <c r="C467" s="6" t="n"/>
    </row>
    <row r="468" ht="15.75" customHeight="1" s="90">
      <c r="A468" s="3" t="n"/>
      <c r="C468" s="6" t="n"/>
    </row>
    <row r="469" ht="15.75" customHeight="1" s="90">
      <c r="A469" s="3" t="n"/>
      <c r="C469" s="6" t="n"/>
    </row>
    <row r="470" ht="15.75" customHeight="1" s="90">
      <c r="A470" s="3" t="n"/>
      <c r="C470" s="6" t="n"/>
    </row>
    <row r="471" ht="15.75" customHeight="1" s="90">
      <c r="A471" s="3" t="n"/>
      <c r="C471" s="6" t="n"/>
    </row>
    <row r="472" ht="15.75" customHeight="1" s="90">
      <c r="A472" s="3" t="n"/>
      <c r="C472" s="6" t="n"/>
    </row>
    <row r="473" ht="15.75" customHeight="1" s="90">
      <c r="A473" s="3" t="n"/>
      <c r="C473" s="6" t="n"/>
    </row>
    <row r="474" ht="15.75" customHeight="1" s="90">
      <c r="A474" s="3" t="n"/>
      <c r="C474" s="6" t="n"/>
    </row>
    <row r="475" ht="15.75" customHeight="1" s="90">
      <c r="A475" s="3" t="n"/>
      <c r="C475" s="6" t="n"/>
    </row>
    <row r="476" ht="15.75" customHeight="1" s="90">
      <c r="A476" s="3" t="n"/>
      <c r="C476" s="6" t="n"/>
    </row>
    <row r="477" ht="15.75" customHeight="1" s="90">
      <c r="A477" s="3" t="n"/>
      <c r="C477" s="6" t="n"/>
    </row>
    <row r="478" ht="15.75" customHeight="1" s="90">
      <c r="A478" s="3" t="n"/>
      <c r="C478" s="6" t="n"/>
    </row>
    <row r="479" ht="15.75" customHeight="1" s="90">
      <c r="A479" s="3" t="n"/>
      <c r="C479" s="6" t="n"/>
    </row>
    <row r="480" ht="15.75" customHeight="1" s="90">
      <c r="A480" s="3" t="n"/>
      <c r="C480" s="6" t="n"/>
    </row>
    <row r="481" ht="15.75" customHeight="1" s="90">
      <c r="A481" s="3" t="n"/>
      <c r="C481" s="6" t="n"/>
    </row>
    <row r="482" ht="15.75" customHeight="1" s="90">
      <c r="A482" s="3" t="n"/>
      <c r="C482" s="6" t="n"/>
    </row>
    <row r="483" ht="15.75" customHeight="1" s="90">
      <c r="A483" s="3" t="n"/>
      <c r="C483" s="6" t="n"/>
    </row>
    <row r="484" ht="15.75" customHeight="1" s="90">
      <c r="A484" s="3" t="n"/>
      <c r="C484" s="6" t="n"/>
    </row>
    <row r="485" ht="15.75" customHeight="1" s="90">
      <c r="A485" s="3" t="n"/>
      <c r="C485" s="6" t="n"/>
    </row>
    <row r="486" ht="15.75" customHeight="1" s="90">
      <c r="A486" s="3" t="n"/>
      <c r="C486" s="6" t="n"/>
    </row>
    <row r="487" ht="15.75" customHeight="1" s="90">
      <c r="A487" s="3" t="n"/>
      <c r="C487" s="6" t="n"/>
    </row>
    <row r="488" ht="15.75" customHeight="1" s="90">
      <c r="A488" s="3" t="n"/>
      <c r="C488" s="6" t="n"/>
    </row>
    <row r="489" ht="15.75" customHeight="1" s="90">
      <c r="A489" s="3" t="n"/>
      <c r="C489" s="6" t="n"/>
    </row>
    <row r="490" ht="15.75" customHeight="1" s="90">
      <c r="A490" s="3" t="n"/>
      <c r="C490" s="6" t="n"/>
    </row>
    <row r="491" ht="15.75" customHeight="1" s="90">
      <c r="A491" s="3" t="n"/>
      <c r="C491" s="6" t="n"/>
    </row>
    <row r="492" ht="15.75" customHeight="1" s="90">
      <c r="A492" s="3" t="n"/>
      <c r="C492" s="6" t="n"/>
    </row>
    <row r="493" ht="15.75" customHeight="1" s="90">
      <c r="A493" s="3" t="n"/>
      <c r="C493" s="6" t="n"/>
    </row>
    <row r="494" ht="15.75" customHeight="1" s="90">
      <c r="A494" s="3" t="n"/>
      <c r="C494" s="6" t="n"/>
    </row>
    <row r="495" ht="15.75" customHeight="1" s="90">
      <c r="A495" s="3" t="n"/>
      <c r="C495" s="6" t="n"/>
    </row>
    <row r="496" ht="15.75" customHeight="1" s="90">
      <c r="A496" s="3" t="n"/>
      <c r="C496" s="6" t="n"/>
    </row>
    <row r="497" ht="15.75" customHeight="1" s="90">
      <c r="A497" s="3" t="n"/>
      <c r="C497" s="6" t="n"/>
    </row>
    <row r="498" ht="15.75" customHeight="1" s="90">
      <c r="A498" s="3" t="n"/>
      <c r="C498" s="6" t="n"/>
    </row>
    <row r="499" ht="15.75" customHeight="1" s="90">
      <c r="A499" s="3" t="n"/>
      <c r="C499" s="6" t="n"/>
    </row>
    <row r="500" ht="15.75" customHeight="1" s="90">
      <c r="A500" s="3" t="n"/>
      <c r="C500" s="6" t="n"/>
    </row>
    <row r="501" ht="15.75" customHeight="1" s="90">
      <c r="A501" s="3" t="n"/>
      <c r="C501" s="6" t="n"/>
    </row>
    <row r="502" ht="15.75" customHeight="1" s="90">
      <c r="A502" s="3" t="n"/>
      <c r="C502" s="6" t="n"/>
    </row>
    <row r="503" ht="15.75" customHeight="1" s="90">
      <c r="A503" s="3" t="n"/>
      <c r="C503" s="6" t="n"/>
    </row>
    <row r="504" ht="15.75" customHeight="1" s="90">
      <c r="A504" s="3" t="n"/>
      <c r="C504" s="6" t="n"/>
    </row>
    <row r="505" ht="15.75" customHeight="1" s="90">
      <c r="A505" s="3" t="n"/>
      <c r="C505" s="6" t="n"/>
    </row>
    <row r="506" ht="15.75" customHeight="1" s="90">
      <c r="A506" s="3" t="n"/>
      <c r="C506" s="6" t="n"/>
    </row>
    <row r="507" ht="15.75" customHeight="1" s="90">
      <c r="A507" s="3" t="n"/>
      <c r="C507" s="6" t="n"/>
    </row>
    <row r="508" ht="15.75" customHeight="1" s="90">
      <c r="A508" s="3" t="n"/>
      <c r="C508" s="6" t="n"/>
    </row>
    <row r="509" ht="15.75" customHeight="1" s="90">
      <c r="A509" s="3" t="n"/>
      <c r="C509" s="6" t="n"/>
    </row>
    <row r="510" ht="15.75" customHeight="1" s="90">
      <c r="A510" s="3" t="n"/>
      <c r="C510" s="6" t="n"/>
    </row>
    <row r="511" ht="15.75" customHeight="1" s="90">
      <c r="A511" s="3" t="n"/>
      <c r="C511" s="6" t="n"/>
    </row>
    <row r="512" ht="15.75" customHeight="1" s="90">
      <c r="A512" s="3" t="n"/>
      <c r="C512" s="6" t="n"/>
    </row>
    <row r="513" ht="15.75" customHeight="1" s="90">
      <c r="A513" s="3" t="n"/>
      <c r="C513" s="6" t="n"/>
    </row>
    <row r="514" ht="15.75" customHeight="1" s="90">
      <c r="A514" s="3" t="n"/>
      <c r="C514" s="6" t="n"/>
    </row>
    <row r="515" ht="15.75" customHeight="1" s="90">
      <c r="A515" s="3" t="n"/>
      <c r="C515" s="6" t="n"/>
    </row>
    <row r="516" ht="15.75" customHeight="1" s="90">
      <c r="A516" s="3" t="n"/>
      <c r="C516" s="6" t="n"/>
    </row>
    <row r="517" ht="15.75" customHeight="1" s="90">
      <c r="A517" s="3" t="n"/>
      <c r="C517" s="6" t="n"/>
    </row>
    <row r="518" ht="15.75" customHeight="1" s="90">
      <c r="A518" s="3" t="n"/>
      <c r="C518" s="6" t="n"/>
    </row>
    <row r="519" ht="15.75" customHeight="1" s="90">
      <c r="A519" s="3" t="n"/>
      <c r="C519" s="6" t="n"/>
    </row>
    <row r="520" ht="15.75" customHeight="1" s="90">
      <c r="A520" s="3" t="n"/>
      <c r="C520" s="6" t="n"/>
    </row>
    <row r="521" ht="15.75" customHeight="1" s="90">
      <c r="A521" s="3" t="n"/>
      <c r="C521" s="6" t="n"/>
    </row>
    <row r="522" ht="15.75" customHeight="1" s="90">
      <c r="A522" s="3" t="n"/>
      <c r="C522" s="6" t="n"/>
    </row>
    <row r="523" ht="15.75" customHeight="1" s="90">
      <c r="A523" s="3" t="n"/>
      <c r="C523" s="6" t="n"/>
    </row>
    <row r="524" ht="15.75" customHeight="1" s="90">
      <c r="A524" s="3" t="n"/>
      <c r="C524" s="6" t="n"/>
    </row>
    <row r="525" ht="15.75" customHeight="1" s="90">
      <c r="A525" s="3" t="n"/>
      <c r="C525" s="6" t="n"/>
    </row>
    <row r="526" ht="15.75" customHeight="1" s="90">
      <c r="A526" s="3" t="n"/>
      <c r="C526" s="6" t="n"/>
    </row>
    <row r="527" ht="15.75" customHeight="1" s="90">
      <c r="A527" s="3" t="n"/>
      <c r="C527" s="6" t="n"/>
    </row>
    <row r="528" ht="15.75" customHeight="1" s="90">
      <c r="A528" s="3" t="n"/>
      <c r="C528" s="6" t="n"/>
    </row>
    <row r="529" ht="15.75" customHeight="1" s="90">
      <c r="A529" s="3" t="n"/>
      <c r="C529" s="6" t="n"/>
    </row>
    <row r="530" ht="15.75" customHeight="1" s="90">
      <c r="A530" s="3" t="n"/>
      <c r="C530" s="6" t="n"/>
    </row>
    <row r="531" ht="15.75" customHeight="1" s="90">
      <c r="A531" s="3" t="n"/>
      <c r="C531" s="6" t="n"/>
    </row>
    <row r="532" ht="15.75" customHeight="1" s="90">
      <c r="A532" s="3" t="n"/>
      <c r="C532" s="6" t="n"/>
    </row>
    <row r="533" ht="15.75" customHeight="1" s="90">
      <c r="A533" s="3" t="n"/>
      <c r="C533" s="6" t="n"/>
    </row>
    <row r="534" ht="15.75" customHeight="1" s="90">
      <c r="A534" s="3" t="n"/>
      <c r="C534" s="6" t="n"/>
    </row>
    <row r="535" ht="15.75" customHeight="1" s="90">
      <c r="A535" s="3" t="n"/>
      <c r="C535" s="6" t="n"/>
    </row>
    <row r="536" ht="15.75" customHeight="1" s="90">
      <c r="A536" s="3" t="n"/>
      <c r="C536" s="6" t="n"/>
    </row>
    <row r="537" ht="15.75" customHeight="1" s="90">
      <c r="A537" s="3" t="n"/>
      <c r="C537" s="6" t="n"/>
    </row>
    <row r="538" ht="15.75" customHeight="1" s="90">
      <c r="A538" s="3" t="n"/>
      <c r="C538" s="6" t="n"/>
    </row>
    <row r="539" ht="15.75" customHeight="1" s="90">
      <c r="A539" s="3" t="n"/>
      <c r="C539" s="6" t="n"/>
    </row>
    <row r="540" ht="15.75" customHeight="1" s="90">
      <c r="A540" s="3" t="n"/>
      <c r="C540" s="6" t="n"/>
    </row>
    <row r="541" ht="15.75" customHeight="1" s="90">
      <c r="A541" s="3" t="n"/>
      <c r="C541" s="6" t="n"/>
    </row>
    <row r="542" ht="15.75" customHeight="1" s="90">
      <c r="A542" s="3" t="n"/>
      <c r="C542" s="6" t="n"/>
    </row>
    <row r="543" ht="15.75" customHeight="1" s="90">
      <c r="A543" s="3" t="n"/>
      <c r="C543" s="6" t="n"/>
    </row>
    <row r="544" ht="15.75" customHeight="1" s="90">
      <c r="A544" s="3" t="n"/>
      <c r="C544" s="6" t="n"/>
    </row>
    <row r="545" ht="15.75" customHeight="1" s="90">
      <c r="A545" s="3" t="n"/>
      <c r="C545" s="6" t="n"/>
    </row>
    <row r="546" ht="15.75" customHeight="1" s="90">
      <c r="A546" s="3" t="n"/>
      <c r="C546" s="6" t="n"/>
    </row>
    <row r="547" ht="15.75" customHeight="1" s="90">
      <c r="A547" s="3" t="n"/>
      <c r="C547" s="6" t="n"/>
    </row>
    <row r="548" ht="15.75" customHeight="1" s="90">
      <c r="A548" s="3" t="n"/>
      <c r="C548" s="6" t="n"/>
    </row>
    <row r="549" ht="15.75" customHeight="1" s="90">
      <c r="A549" s="3" t="n"/>
      <c r="C549" s="6" t="n"/>
    </row>
    <row r="550" ht="15.75" customHeight="1" s="90">
      <c r="A550" s="3" t="n"/>
      <c r="C550" s="6" t="n"/>
    </row>
    <row r="551" ht="15.75" customHeight="1" s="90">
      <c r="A551" s="3" t="n"/>
      <c r="C551" s="6" t="n"/>
    </row>
    <row r="552" ht="15.75" customHeight="1" s="90">
      <c r="A552" s="3" t="n"/>
      <c r="C552" s="6" t="n"/>
    </row>
    <row r="553" ht="15.75" customHeight="1" s="90">
      <c r="A553" s="3" t="n"/>
      <c r="C553" s="6" t="n"/>
    </row>
    <row r="554" ht="15.75" customHeight="1" s="90">
      <c r="A554" s="3" t="n"/>
      <c r="C554" s="6" t="n"/>
    </row>
    <row r="555" ht="15.75" customHeight="1" s="90">
      <c r="A555" s="3" t="n"/>
      <c r="C555" s="6" t="n"/>
    </row>
    <row r="556" ht="15.75" customHeight="1" s="90">
      <c r="A556" s="3" t="n"/>
      <c r="C556" s="6" t="n"/>
    </row>
    <row r="557" ht="15.75" customHeight="1" s="90">
      <c r="A557" s="3" t="n"/>
      <c r="C557" s="6" t="n"/>
    </row>
    <row r="558" ht="15.75" customHeight="1" s="90">
      <c r="A558" s="3" t="n"/>
      <c r="C558" s="6" t="n"/>
    </row>
    <row r="559" ht="15.75" customHeight="1" s="90">
      <c r="A559" s="3" t="n"/>
      <c r="C559" s="6" t="n"/>
    </row>
    <row r="560" ht="15.75" customHeight="1" s="90">
      <c r="A560" s="3" t="n"/>
      <c r="C560" s="6" t="n"/>
    </row>
    <row r="561" ht="15.75" customHeight="1" s="90">
      <c r="A561" s="3" t="n"/>
      <c r="C561" s="6" t="n"/>
    </row>
    <row r="562" ht="15.75" customHeight="1" s="90">
      <c r="A562" s="3" t="n"/>
      <c r="C562" s="6" t="n"/>
    </row>
    <row r="563" ht="15.75" customHeight="1" s="90">
      <c r="A563" s="3" t="n"/>
      <c r="C563" s="6" t="n"/>
    </row>
    <row r="564" ht="15.75" customHeight="1" s="90">
      <c r="A564" s="3" t="n"/>
      <c r="C564" s="6" t="n"/>
    </row>
    <row r="565" ht="15.75" customHeight="1" s="90">
      <c r="A565" s="3" t="n"/>
      <c r="C565" s="6" t="n"/>
    </row>
    <row r="566" ht="15.75" customHeight="1" s="90">
      <c r="A566" s="3" t="n"/>
      <c r="C566" s="6" t="n"/>
    </row>
    <row r="567" ht="15.75" customHeight="1" s="90">
      <c r="A567" s="3" t="n"/>
      <c r="C567" s="6" t="n"/>
    </row>
    <row r="568" ht="15.75" customHeight="1" s="90">
      <c r="A568" s="3" t="n"/>
      <c r="C568" s="6" t="n"/>
    </row>
    <row r="569" ht="15.75" customHeight="1" s="90">
      <c r="A569" s="3" t="n"/>
      <c r="C569" s="6" t="n"/>
    </row>
    <row r="570" ht="15.75" customHeight="1" s="90">
      <c r="A570" s="3" t="n"/>
      <c r="C570" s="6" t="n"/>
    </row>
    <row r="571" ht="15.75" customHeight="1" s="90">
      <c r="A571" s="3" t="n"/>
      <c r="C571" s="6" t="n"/>
    </row>
    <row r="572" ht="15.75" customHeight="1" s="90">
      <c r="A572" s="3" t="n"/>
      <c r="C572" s="6" t="n"/>
    </row>
    <row r="573" ht="15.75" customHeight="1" s="90">
      <c r="A573" s="3" t="n"/>
      <c r="C573" s="6" t="n"/>
    </row>
    <row r="574" ht="15.75" customHeight="1" s="90">
      <c r="A574" s="3" t="n"/>
      <c r="C574" s="6" t="n"/>
    </row>
    <row r="575" ht="15.75" customHeight="1" s="90">
      <c r="A575" s="3" t="n"/>
      <c r="C575" s="6" t="n"/>
    </row>
    <row r="576" ht="15.75" customHeight="1" s="90">
      <c r="A576" s="3" t="n"/>
      <c r="C576" s="6" t="n"/>
    </row>
    <row r="577" ht="15.75" customHeight="1" s="90">
      <c r="A577" s="3" t="n"/>
      <c r="C577" s="6" t="n"/>
    </row>
    <row r="578" ht="15.75" customHeight="1" s="90">
      <c r="A578" s="3" t="n"/>
      <c r="C578" s="6" t="n"/>
    </row>
    <row r="579" ht="15.75" customHeight="1" s="90">
      <c r="A579" s="3" t="n"/>
      <c r="C579" s="6" t="n"/>
    </row>
    <row r="580" ht="15.75" customHeight="1" s="90">
      <c r="A580" s="3" t="n"/>
      <c r="C580" s="6" t="n"/>
    </row>
    <row r="581" ht="15.75" customHeight="1" s="90">
      <c r="A581" s="3" t="n"/>
      <c r="C581" s="6" t="n"/>
    </row>
    <row r="582" ht="15.75" customHeight="1" s="90">
      <c r="A582" s="3" t="n"/>
      <c r="C582" s="6" t="n"/>
    </row>
    <row r="583" ht="15.75" customHeight="1" s="90">
      <c r="A583" s="3" t="n"/>
      <c r="C583" s="6" t="n"/>
    </row>
    <row r="584" ht="15.75" customHeight="1" s="90">
      <c r="A584" s="3" t="n"/>
      <c r="C584" s="6" t="n"/>
    </row>
    <row r="585" ht="15.75" customHeight="1" s="90">
      <c r="A585" s="3" t="n"/>
      <c r="C585" s="6" t="n"/>
    </row>
    <row r="586" ht="15.75" customHeight="1" s="90">
      <c r="A586" s="3" t="n"/>
      <c r="C586" s="6" t="n"/>
    </row>
    <row r="587" ht="15.75" customHeight="1" s="90">
      <c r="A587" s="3" t="n"/>
      <c r="C587" s="6" t="n"/>
    </row>
    <row r="588" ht="15.75" customHeight="1" s="90">
      <c r="A588" s="3" t="n"/>
      <c r="C588" s="6" t="n"/>
    </row>
    <row r="589" ht="15.75" customHeight="1" s="90">
      <c r="A589" s="3" t="n"/>
      <c r="C589" s="6" t="n"/>
    </row>
    <row r="590" ht="15.75" customHeight="1" s="90">
      <c r="A590" s="3" t="n"/>
      <c r="C590" s="6" t="n"/>
    </row>
    <row r="591" ht="15.75" customHeight="1" s="90">
      <c r="A591" s="3" t="n"/>
      <c r="C591" s="6" t="n"/>
    </row>
    <row r="592" ht="15.75" customHeight="1" s="90">
      <c r="A592" s="3" t="n"/>
      <c r="C592" s="6" t="n"/>
    </row>
    <row r="593" ht="15.75" customHeight="1" s="90">
      <c r="A593" s="3" t="n"/>
      <c r="C593" s="6" t="n"/>
    </row>
    <row r="594" ht="15.75" customHeight="1" s="90">
      <c r="A594" s="3" t="n"/>
      <c r="C594" s="6" t="n"/>
    </row>
    <row r="595" ht="15.75" customHeight="1" s="90">
      <c r="A595" s="3" t="n"/>
      <c r="C595" s="6" t="n"/>
    </row>
    <row r="596" ht="15.75" customHeight="1" s="90">
      <c r="A596" s="3" t="n"/>
      <c r="C596" s="6" t="n"/>
    </row>
    <row r="597" ht="15.75" customHeight="1" s="90">
      <c r="A597" s="3" t="n"/>
      <c r="C597" s="6" t="n"/>
    </row>
    <row r="598" ht="15.75" customHeight="1" s="90">
      <c r="A598" s="3" t="n"/>
      <c r="C598" s="6" t="n"/>
    </row>
    <row r="599" ht="15.75" customHeight="1" s="90">
      <c r="A599" s="3" t="n"/>
      <c r="C599" s="6" t="n"/>
    </row>
    <row r="600" ht="15.75" customHeight="1" s="90">
      <c r="A600" s="3" t="n"/>
      <c r="C600" s="6" t="n"/>
    </row>
    <row r="601" ht="15.75" customHeight="1" s="90">
      <c r="A601" s="3" t="n"/>
      <c r="C601" s="6" t="n"/>
    </row>
    <row r="602" ht="15.75" customHeight="1" s="90">
      <c r="A602" s="3" t="n"/>
      <c r="C602" s="6" t="n"/>
    </row>
    <row r="603" ht="15.75" customHeight="1" s="90">
      <c r="A603" s="3" t="n"/>
      <c r="C603" s="6" t="n"/>
    </row>
    <row r="604" ht="15.75" customHeight="1" s="90">
      <c r="A604" s="3" t="n"/>
      <c r="C604" s="6" t="n"/>
    </row>
    <row r="605" ht="15.75" customHeight="1" s="90">
      <c r="A605" s="3" t="n"/>
      <c r="C605" s="6" t="n"/>
    </row>
    <row r="606" ht="15.75" customHeight="1" s="90">
      <c r="A606" s="3" t="n"/>
      <c r="C606" s="6" t="n"/>
    </row>
    <row r="607" ht="15.75" customHeight="1" s="90">
      <c r="A607" s="3" t="n"/>
      <c r="C607" s="6" t="n"/>
    </row>
    <row r="608" ht="15.75" customHeight="1" s="90">
      <c r="A608" s="3" t="n"/>
      <c r="C608" s="6" t="n"/>
    </row>
    <row r="609" ht="15.75" customHeight="1" s="90">
      <c r="A609" s="3" t="n"/>
      <c r="C609" s="6" t="n"/>
    </row>
    <row r="610" ht="15.75" customHeight="1" s="90">
      <c r="A610" s="3" t="n"/>
      <c r="C610" s="6" t="n"/>
    </row>
    <row r="611" ht="15.75" customHeight="1" s="90">
      <c r="A611" s="3" t="n"/>
      <c r="C611" s="6" t="n"/>
    </row>
    <row r="612" ht="15.75" customHeight="1" s="90">
      <c r="A612" s="3" t="n"/>
      <c r="C612" s="6" t="n"/>
    </row>
    <row r="613" ht="15.75" customHeight="1" s="90">
      <c r="A613" s="3" t="n"/>
      <c r="C613" s="6" t="n"/>
    </row>
    <row r="614" ht="15.75" customHeight="1" s="90">
      <c r="A614" s="3" t="n"/>
      <c r="C614" s="6" t="n"/>
    </row>
    <row r="615" ht="15.75" customHeight="1" s="90">
      <c r="A615" s="3" t="n"/>
      <c r="C615" s="6" t="n"/>
    </row>
    <row r="616" ht="15.75" customHeight="1" s="90">
      <c r="A616" s="3" t="n"/>
      <c r="C616" s="6" t="n"/>
    </row>
    <row r="617" ht="15.75" customHeight="1" s="90">
      <c r="A617" s="3" t="n"/>
      <c r="C617" s="6" t="n"/>
    </row>
    <row r="618" ht="15.75" customHeight="1" s="90">
      <c r="A618" s="3" t="n"/>
      <c r="C618" s="6" t="n"/>
    </row>
    <row r="619" ht="15.75" customHeight="1" s="90">
      <c r="A619" s="3" t="n"/>
      <c r="C619" s="6" t="n"/>
    </row>
    <row r="620" ht="15.75" customHeight="1" s="90">
      <c r="A620" s="3" t="n"/>
      <c r="C620" s="6" t="n"/>
    </row>
    <row r="621" ht="15.75" customHeight="1" s="90">
      <c r="A621" s="3" t="n"/>
      <c r="C621" s="6" t="n"/>
    </row>
    <row r="622" ht="15.75" customHeight="1" s="90">
      <c r="A622" s="3" t="n"/>
      <c r="C622" s="6" t="n"/>
    </row>
    <row r="623" ht="15.75" customHeight="1" s="90">
      <c r="A623" s="3" t="n"/>
      <c r="C623" s="6" t="n"/>
    </row>
    <row r="624" ht="15.75" customHeight="1" s="90">
      <c r="A624" s="3" t="n"/>
      <c r="C624" s="6" t="n"/>
    </row>
    <row r="625" ht="15.75" customHeight="1" s="90">
      <c r="A625" s="3" t="n"/>
      <c r="C625" s="6" t="n"/>
    </row>
    <row r="626" ht="15.75" customHeight="1" s="90">
      <c r="A626" s="3" t="n"/>
      <c r="C626" s="6" t="n"/>
    </row>
    <row r="627" ht="15.75" customHeight="1" s="90">
      <c r="A627" s="3" t="n"/>
      <c r="C627" s="6" t="n"/>
    </row>
    <row r="628" ht="15.75" customHeight="1" s="90">
      <c r="A628" s="3" t="n"/>
      <c r="C628" s="6" t="n"/>
    </row>
    <row r="629" ht="15.75" customHeight="1" s="90">
      <c r="A629" s="3" t="n"/>
      <c r="C629" s="6" t="n"/>
    </row>
    <row r="630" ht="15.75" customHeight="1" s="90">
      <c r="A630" s="3" t="n"/>
      <c r="C630" s="6" t="n"/>
    </row>
    <row r="631" ht="15.75" customHeight="1" s="90">
      <c r="A631" s="3" t="n"/>
      <c r="C631" s="6" t="n"/>
    </row>
    <row r="632" ht="15.75" customHeight="1" s="90">
      <c r="A632" s="3" t="n"/>
      <c r="C632" s="6" t="n"/>
    </row>
    <row r="633" ht="15.75" customHeight="1" s="90">
      <c r="A633" s="3" t="n"/>
      <c r="C633" s="6" t="n"/>
    </row>
    <row r="634" ht="15.75" customHeight="1" s="90">
      <c r="A634" s="3" t="n"/>
      <c r="C634" s="6" t="n"/>
    </row>
    <row r="635" ht="15.75" customHeight="1" s="90">
      <c r="A635" s="3" t="n"/>
      <c r="C635" s="6" t="n"/>
    </row>
    <row r="636" ht="15.75" customHeight="1" s="90">
      <c r="A636" s="3" t="n"/>
      <c r="C636" s="6" t="n"/>
    </row>
    <row r="637" ht="15.75" customHeight="1" s="90">
      <c r="A637" s="3" t="n"/>
      <c r="C637" s="6" t="n"/>
    </row>
    <row r="638" ht="15.75" customHeight="1" s="90">
      <c r="A638" s="3" t="n"/>
      <c r="C638" s="6" t="n"/>
    </row>
    <row r="639" ht="15.75" customHeight="1" s="90">
      <c r="A639" s="3" t="n"/>
      <c r="C639" s="6" t="n"/>
    </row>
    <row r="640" ht="15.75" customHeight="1" s="90">
      <c r="A640" s="3" t="n"/>
      <c r="C640" s="6" t="n"/>
    </row>
    <row r="641" ht="15.75" customHeight="1" s="90">
      <c r="A641" s="3" t="n"/>
      <c r="C641" s="6" t="n"/>
    </row>
    <row r="642" ht="15.75" customHeight="1" s="90">
      <c r="A642" s="3" t="n"/>
      <c r="C642" s="6" t="n"/>
    </row>
    <row r="643" ht="15.75" customHeight="1" s="90">
      <c r="A643" s="3" t="n"/>
      <c r="C643" s="6" t="n"/>
    </row>
    <row r="644" ht="15.75" customHeight="1" s="90">
      <c r="A644" s="3" t="n"/>
      <c r="C644" s="6" t="n"/>
    </row>
    <row r="645" ht="15.75" customHeight="1" s="90">
      <c r="A645" s="3" t="n"/>
      <c r="C645" s="6" t="n"/>
    </row>
    <row r="646" ht="15.75" customHeight="1" s="90">
      <c r="A646" s="3" t="n"/>
      <c r="C646" s="6" t="n"/>
    </row>
    <row r="647" ht="15.75" customHeight="1" s="90">
      <c r="A647" s="3" t="n"/>
      <c r="C647" s="6" t="n"/>
    </row>
    <row r="648" ht="15.75" customHeight="1" s="90">
      <c r="A648" s="3" t="n"/>
      <c r="C648" s="6" t="n"/>
    </row>
    <row r="649" ht="15.75" customHeight="1" s="90">
      <c r="A649" s="3" t="n"/>
      <c r="C649" s="6" t="n"/>
    </row>
    <row r="650" ht="15.75" customHeight="1" s="90">
      <c r="A650" s="3" t="n"/>
      <c r="C650" s="6" t="n"/>
    </row>
    <row r="651" ht="15.75" customHeight="1" s="90">
      <c r="A651" s="3" t="n"/>
      <c r="C651" s="6" t="n"/>
    </row>
    <row r="652" ht="15.75" customHeight="1" s="90">
      <c r="A652" s="3" t="n"/>
      <c r="C652" s="6" t="n"/>
    </row>
    <row r="653" ht="15.75" customHeight="1" s="90">
      <c r="A653" s="3" t="n"/>
      <c r="C653" s="6" t="n"/>
    </row>
    <row r="654" ht="15.75" customHeight="1" s="90">
      <c r="A654" s="3" t="n"/>
      <c r="C654" s="6" t="n"/>
    </row>
    <row r="655" ht="15.75" customHeight="1" s="90">
      <c r="A655" s="3" t="n"/>
      <c r="C655" s="6" t="n"/>
    </row>
    <row r="656" ht="15.75" customHeight="1" s="90">
      <c r="A656" s="3" t="n"/>
      <c r="C656" s="6" t="n"/>
    </row>
    <row r="657" ht="15.75" customHeight="1" s="90">
      <c r="A657" s="3" t="n"/>
      <c r="C657" s="6" t="n"/>
    </row>
    <row r="658" ht="15.75" customHeight="1" s="90">
      <c r="A658" s="3" t="n"/>
      <c r="C658" s="6" t="n"/>
    </row>
    <row r="659" ht="15.75" customHeight="1" s="90">
      <c r="A659" s="3" t="n"/>
      <c r="C659" s="6" t="n"/>
    </row>
    <row r="660" ht="15.75" customHeight="1" s="90">
      <c r="A660" s="3" t="n"/>
      <c r="C660" s="6" t="n"/>
    </row>
    <row r="661" ht="15.75" customHeight="1" s="90">
      <c r="A661" s="3" t="n"/>
      <c r="C661" s="6" t="n"/>
    </row>
    <row r="662" ht="15.75" customHeight="1" s="90">
      <c r="A662" s="3" t="n"/>
      <c r="C662" s="6" t="n"/>
    </row>
    <row r="663" ht="15.75" customHeight="1" s="90">
      <c r="A663" s="3" t="n"/>
      <c r="C663" s="6" t="n"/>
    </row>
    <row r="664" ht="15.75" customHeight="1" s="90">
      <c r="A664" s="3" t="n"/>
      <c r="C664" s="6" t="n"/>
    </row>
    <row r="665" ht="15.75" customHeight="1" s="90">
      <c r="A665" s="3" t="n"/>
      <c r="C665" s="6" t="n"/>
    </row>
    <row r="666" ht="15.75" customHeight="1" s="90">
      <c r="A666" s="3" t="n"/>
      <c r="C666" s="6" t="n"/>
    </row>
    <row r="667" ht="15.75" customHeight="1" s="90">
      <c r="A667" s="3" t="n"/>
      <c r="C667" s="6" t="n"/>
    </row>
    <row r="668" ht="15.75" customHeight="1" s="90">
      <c r="A668" s="3" t="n"/>
      <c r="C668" s="6" t="n"/>
    </row>
    <row r="669" ht="15.75" customHeight="1" s="90">
      <c r="A669" s="3" t="n"/>
      <c r="C669" s="6" t="n"/>
    </row>
    <row r="670" ht="15.75" customHeight="1" s="90">
      <c r="A670" s="3" t="n"/>
      <c r="C670" s="6" t="n"/>
    </row>
    <row r="671" ht="15.75" customHeight="1" s="90">
      <c r="A671" s="3" t="n"/>
      <c r="C671" s="6" t="n"/>
    </row>
    <row r="672" ht="15.75" customHeight="1" s="90">
      <c r="A672" s="3" t="n"/>
      <c r="C672" s="6" t="n"/>
    </row>
    <row r="673" ht="15.75" customHeight="1" s="90">
      <c r="A673" s="3" t="n"/>
      <c r="C673" s="6" t="n"/>
    </row>
    <row r="674" ht="15.75" customHeight="1" s="90">
      <c r="A674" s="3" t="n"/>
      <c r="C674" s="6" t="n"/>
    </row>
    <row r="675" ht="15.75" customHeight="1" s="90">
      <c r="A675" s="3" t="n"/>
      <c r="C675" s="6" t="n"/>
    </row>
    <row r="676" ht="15.75" customHeight="1" s="90">
      <c r="A676" s="3" t="n"/>
      <c r="C676" s="6" t="n"/>
    </row>
    <row r="677" ht="15.75" customHeight="1" s="90">
      <c r="A677" s="3" t="n"/>
      <c r="C677" s="6" t="n"/>
    </row>
    <row r="678" ht="15.75" customHeight="1" s="90">
      <c r="A678" s="3" t="n"/>
      <c r="C678" s="6" t="n"/>
    </row>
    <row r="679" ht="15.75" customHeight="1" s="90">
      <c r="A679" s="3" t="n"/>
      <c r="C679" s="6" t="n"/>
    </row>
    <row r="680" ht="15.75" customHeight="1" s="90">
      <c r="A680" s="3" t="n"/>
      <c r="C680" s="6" t="n"/>
    </row>
    <row r="681" ht="15.75" customHeight="1" s="90">
      <c r="A681" s="3" t="n"/>
      <c r="C681" s="6" t="n"/>
    </row>
    <row r="682" ht="15.75" customHeight="1" s="90">
      <c r="A682" s="3" t="n"/>
      <c r="C682" s="6" t="n"/>
    </row>
    <row r="683" ht="15.75" customHeight="1" s="90">
      <c r="A683" s="3" t="n"/>
      <c r="C683" s="6" t="n"/>
    </row>
    <row r="684" ht="15.75" customHeight="1" s="90">
      <c r="A684" s="3" t="n"/>
      <c r="C684" s="6" t="n"/>
    </row>
    <row r="685" ht="15.75" customHeight="1" s="90">
      <c r="A685" s="3" t="n"/>
      <c r="C685" s="6" t="n"/>
    </row>
    <row r="686" ht="15.75" customHeight="1" s="90">
      <c r="A686" s="3" t="n"/>
      <c r="C686" s="6" t="n"/>
    </row>
    <row r="687" ht="15.75" customHeight="1" s="90">
      <c r="A687" s="3" t="n"/>
      <c r="C687" s="6" t="n"/>
    </row>
    <row r="688" ht="15.75" customHeight="1" s="90">
      <c r="A688" s="3" t="n"/>
      <c r="C688" s="6" t="n"/>
    </row>
    <row r="689" ht="15.75" customHeight="1" s="90">
      <c r="A689" s="3" t="n"/>
      <c r="C689" s="6" t="n"/>
    </row>
    <row r="690" ht="15.75" customHeight="1" s="90">
      <c r="A690" s="3" t="n"/>
      <c r="C690" s="6" t="n"/>
    </row>
    <row r="691" ht="15.75" customHeight="1" s="90">
      <c r="A691" s="3" t="n"/>
      <c r="C691" s="6" t="n"/>
    </row>
    <row r="692" ht="15.75" customHeight="1" s="90">
      <c r="A692" s="3" t="n"/>
      <c r="C692" s="6" t="n"/>
    </row>
    <row r="693" ht="15.75" customHeight="1" s="90">
      <c r="A693" s="3" t="n"/>
      <c r="C693" s="6" t="n"/>
    </row>
    <row r="694" ht="15.75" customHeight="1" s="90">
      <c r="A694" s="3" t="n"/>
      <c r="C694" s="6" t="n"/>
    </row>
    <row r="695" ht="15.75" customHeight="1" s="90">
      <c r="A695" s="3" t="n"/>
      <c r="C695" s="6" t="n"/>
    </row>
    <row r="696" ht="15.75" customHeight="1" s="90">
      <c r="A696" s="3" t="n"/>
      <c r="C696" s="6" t="n"/>
    </row>
    <row r="697" ht="15.75" customHeight="1" s="90">
      <c r="A697" s="3" t="n"/>
      <c r="C697" s="6" t="n"/>
    </row>
    <row r="698" ht="15.75" customHeight="1" s="90">
      <c r="A698" s="3" t="n"/>
      <c r="C698" s="6" t="n"/>
    </row>
    <row r="699" ht="15.75" customHeight="1" s="90">
      <c r="A699" s="3" t="n"/>
      <c r="C699" s="6" t="n"/>
    </row>
    <row r="700" ht="15.75" customHeight="1" s="90">
      <c r="A700" s="3" t="n"/>
      <c r="C700" s="6" t="n"/>
    </row>
    <row r="701" ht="15.75" customHeight="1" s="90">
      <c r="A701" s="3" t="n"/>
      <c r="C701" s="6" t="n"/>
    </row>
    <row r="702" ht="15.75" customHeight="1" s="90">
      <c r="A702" s="3" t="n"/>
      <c r="C702" s="6" t="n"/>
    </row>
    <row r="703" ht="15.75" customHeight="1" s="90">
      <c r="A703" s="3" t="n"/>
      <c r="C703" s="6" t="n"/>
    </row>
    <row r="704" ht="15.75" customHeight="1" s="90">
      <c r="A704" s="3" t="n"/>
      <c r="C704" s="6" t="n"/>
    </row>
    <row r="705" ht="15.75" customHeight="1" s="90">
      <c r="A705" s="3" t="n"/>
      <c r="C705" s="6" t="n"/>
    </row>
    <row r="706" ht="15.75" customHeight="1" s="90">
      <c r="A706" s="3" t="n"/>
      <c r="C706" s="6" t="n"/>
    </row>
    <row r="707" ht="15.75" customHeight="1" s="90">
      <c r="A707" s="3" t="n"/>
      <c r="C707" s="6" t="n"/>
    </row>
    <row r="708" ht="15.75" customHeight="1" s="90">
      <c r="A708" s="3" t="n"/>
      <c r="C708" s="6" t="n"/>
    </row>
    <row r="709" ht="15.75" customHeight="1" s="90">
      <c r="A709" s="3" t="n"/>
      <c r="C709" s="6" t="n"/>
    </row>
    <row r="710" ht="15.75" customHeight="1" s="90">
      <c r="A710" s="3" t="n"/>
      <c r="C710" s="6" t="n"/>
    </row>
    <row r="711" ht="15.75" customHeight="1" s="90">
      <c r="A711" s="3" t="n"/>
      <c r="C711" s="6" t="n"/>
    </row>
    <row r="712" ht="15.75" customHeight="1" s="90">
      <c r="A712" s="3" t="n"/>
      <c r="C712" s="6" t="n"/>
    </row>
    <row r="713" ht="15.75" customHeight="1" s="90">
      <c r="A713" s="3" t="n"/>
      <c r="C713" s="6" t="n"/>
    </row>
    <row r="714" ht="15.75" customHeight="1" s="90">
      <c r="A714" s="3" t="n"/>
      <c r="C714" s="6" t="n"/>
    </row>
    <row r="715" ht="15.75" customHeight="1" s="90">
      <c r="A715" s="3" t="n"/>
      <c r="C715" s="6" t="n"/>
    </row>
    <row r="716" ht="15.75" customHeight="1" s="90">
      <c r="A716" s="3" t="n"/>
      <c r="C716" s="6" t="n"/>
    </row>
    <row r="717" ht="15.75" customHeight="1" s="90">
      <c r="A717" s="3" t="n"/>
      <c r="C717" s="6" t="n"/>
    </row>
    <row r="718" ht="15.75" customHeight="1" s="90">
      <c r="A718" s="3" t="n"/>
      <c r="C718" s="6" t="n"/>
    </row>
    <row r="719" ht="15.75" customHeight="1" s="90">
      <c r="A719" s="3" t="n"/>
      <c r="C719" s="6" t="n"/>
    </row>
    <row r="720" ht="15.75" customHeight="1" s="90">
      <c r="A720" s="3" t="n"/>
      <c r="C720" s="6" t="n"/>
    </row>
    <row r="721" ht="15.75" customHeight="1" s="90">
      <c r="A721" s="3" t="n"/>
      <c r="C721" s="6" t="n"/>
    </row>
    <row r="722" ht="15.75" customHeight="1" s="90">
      <c r="A722" s="3" t="n"/>
      <c r="C722" s="6" t="n"/>
    </row>
    <row r="723" ht="15.75" customHeight="1" s="90">
      <c r="A723" s="3" t="n"/>
      <c r="C723" s="6" t="n"/>
    </row>
    <row r="724" ht="15.75" customHeight="1" s="90">
      <c r="A724" s="3" t="n"/>
      <c r="C724" s="6" t="n"/>
    </row>
    <row r="725" ht="15.75" customHeight="1" s="90">
      <c r="A725" s="3" t="n"/>
      <c r="C725" s="6" t="n"/>
    </row>
    <row r="726" ht="15.75" customHeight="1" s="90">
      <c r="A726" s="3" t="n"/>
      <c r="C726" s="6" t="n"/>
    </row>
    <row r="727" ht="15.75" customHeight="1" s="90">
      <c r="A727" s="3" t="n"/>
      <c r="C727" s="6" t="n"/>
    </row>
    <row r="728" ht="15.75" customHeight="1" s="90">
      <c r="A728" s="3" t="n"/>
      <c r="C728" s="6" t="n"/>
    </row>
    <row r="729" ht="15.75" customHeight="1" s="90">
      <c r="A729" s="3" t="n"/>
      <c r="C729" s="6" t="n"/>
    </row>
    <row r="730" ht="15.75" customHeight="1" s="90">
      <c r="A730" s="3" t="n"/>
      <c r="C730" s="6" t="n"/>
    </row>
    <row r="731" ht="15.75" customHeight="1" s="90">
      <c r="A731" s="3" t="n"/>
      <c r="C731" s="6" t="n"/>
    </row>
    <row r="732" ht="15.75" customHeight="1" s="90">
      <c r="A732" s="3" t="n"/>
      <c r="C732" s="6" t="n"/>
    </row>
    <row r="733" ht="15.75" customHeight="1" s="90">
      <c r="A733" s="3" t="n"/>
      <c r="C733" s="6" t="n"/>
    </row>
    <row r="734" ht="15.75" customHeight="1" s="90">
      <c r="A734" s="3" t="n"/>
      <c r="C734" s="6" t="n"/>
    </row>
    <row r="735" ht="15.75" customHeight="1" s="90">
      <c r="A735" s="3" t="n"/>
      <c r="C735" s="6" t="n"/>
    </row>
    <row r="736" ht="15.75" customHeight="1" s="90">
      <c r="A736" s="3" t="n"/>
      <c r="C736" s="6" t="n"/>
    </row>
    <row r="737" ht="15.75" customHeight="1" s="90">
      <c r="A737" s="3" t="n"/>
      <c r="C737" s="6" t="n"/>
    </row>
    <row r="738" ht="15.75" customHeight="1" s="90">
      <c r="A738" s="3" t="n"/>
      <c r="C738" s="6" t="n"/>
    </row>
    <row r="739" ht="15.75" customHeight="1" s="90">
      <c r="A739" s="3" t="n"/>
      <c r="C739" s="6" t="n"/>
    </row>
    <row r="740" ht="15.75" customHeight="1" s="90">
      <c r="A740" s="3" t="n"/>
      <c r="C740" s="6" t="n"/>
    </row>
    <row r="741" ht="15.75" customHeight="1" s="90">
      <c r="A741" s="3" t="n"/>
      <c r="C741" s="6" t="n"/>
    </row>
    <row r="742" ht="15.75" customHeight="1" s="90">
      <c r="A742" s="3" t="n"/>
      <c r="C742" s="6" t="n"/>
    </row>
    <row r="743" ht="15.75" customHeight="1" s="90">
      <c r="A743" s="3" t="n"/>
      <c r="C743" s="6" t="n"/>
    </row>
    <row r="744" ht="15.75" customHeight="1" s="90">
      <c r="A744" s="3" t="n"/>
      <c r="C744" s="6" t="n"/>
    </row>
    <row r="745" ht="15.75" customHeight="1" s="90">
      <c r="A745" s="3" t="n"/>
      <c r="C745" s="6" t="n"/>
    </row>
    <row r="746" ht="15.75" customHeight="1" s="90">
      <c r="A746" s="3" t="n"/>
      <c r="C746" s="6" t="n"/>
    </row>
    <row r="747" ht="15.75" customHeight="1" s="90">
      <c r="A747" s="3" t="n"/>
      <c r="C747" s="6" t="n"/>
    </row>
    <row r="748" ht="15.75" customHeight="1" s="90">
      <c r="A748" s="3" t="n"/>
      <c r="C748" s="6" t="n"/>
    </row>
    <row r="749" ht="15.75" customHeight="1" s="90">
      <c r="A749" s="3" t="n"/>
      <c r="C749" s="6" t="n"/>
    </row>
    <row r="750" ht="15.75" customHeight="1" s="90">
      <c r="A750" s="3" t="n"/>
      <c r="C750" s="6" t="n"/>
    </row>
    <row r="751" ht="15.75" customHeight="1" s="90">
      <c r="A751" s="3" t="n"/>
      <c r="C751" s="6" t="n"/>
    </row>
    <row r="752" ht="15.75" customHeight="1" s="90">
      <c r="A752" s="3" t="n"/>
      <c r="C752" s="6" t="n"/>
    </row>
    <row r="753" ht="15.75" customHeight="1" s="90">
      <c r="A753" s="3" t="n"/>
      <c r="C753" s="6" t="n"/>
    </row>
    <row r="754" ht="15.75" customHeight="1" s="90">
      <c r="A754" s="3" t="n"/>
      <c r="C754" s="6" t="n"/>
    </row>
    <row r="755" ht="15.75" customHeight="1" s="90">
      <c r="A755" s="3" t="n"/>
      <c r="C755" s="6" t="n"/>
    </row>
    <row r="756" ht="15.75" customHeight="1" s="90">
      <c r="A756" s="3" t="n"/>
      <c r="C756" s="6" t="n"/>
    </row>
    <row r="757" ht="15.75" customHeight="1" s="90">
      <c r="A757" s="3" t="n"/>
      <c r="C757" s="6" t="n"/>
    </row>
    <row r="758" ht="15.75" customHeight="1" s="90">
      <c r="A758" s="3" t="n"/>
      <c r="C758" s="6" t="n"/>
    </row>
    <row r="759" ht="15.75" customHeight="1" s="90">
      <c r="A759" s="3" t="n"/>
      <c r="C759" s="6" t="n"/>
    </row>
    <row r="760" ht="15.75" customHeight="1" s="90">
      <c r="A760" s="3" t="n"/>
      <c r="C760" s="6" t="n"/>
    </row>
    <row r="761" ht="15.75" customHeight="1" s="90">
      <c r="A761" s="3" t="n"/>
      <c r="C761" s="6" t="n"/>
    </row>
    <row r="762" ht="15.75" customHeight="1" s="90">
      <c r="A762" s="3" t="n"/>
      <c r="C762" s="6" t="n"/>
    </row>
    <row r="763" ht="15.75" customHeight="1" s="90">
      <c r="A763" s="3" t="n"/>
      <c r="C763" s="6" t="n"/>
    </row>
    <row r="764" ht="15.75" customHeight="1" s="90">
      <c r="A764" s="3" t="n"/>
      <c r="C764" s="6" t="n"/>
    </row>
    <row r="765" ht="15.75" customHeight="1" s="90">
      <c r="A765" s="3" t="n"/>
      <c r="C765" s="6" t="n"/>
    </row>
    <row r="766" ht="15.75" customHeight="1" s="90">
      <c r="A766" s="3" t="n"/>
      <c r="C766" s="6" t="n"/>
    </row>
    <row r="767" ht="15.75" customHeight="1" s="90">
      <c r="A767" s="3" t="n"/>
      <c r="C767" s="6" t="n"/>
    </row>
    <row r="768" ht="15.75" customHeight="1" s="90">
      <c r="A768" s="3" t="n"/>
      <c r="C768" s="6" t="n"/>
    </row>
    <row r="769" ht="15.75" customHeight="1" s="90">
      <c r="A769" s="3" t="n"/>
      <c r="C769" s="6" t="n"/>
    </row>
    <row r="770" ht="15.75" customHeight="1" s="90">
      <c r="A770" s="3" t="n"/>
      <c r="C770" s="6" t="n"/>
    </row>
    <row r="771" ht="15.75" customHeight="1" s="90">
      <c r="A771" s="3" t="n"/>
      <c r="C771" s="6" t="n"/>
    </row>
    <row r="772" ht="15.75" customHeight="1" s="90">
      <c r="A772" s="3" t="n"/>
      <c r="C772" s="6" t="n"/>
    </row>
    <row r="773" ht="15.75" customHeight="1" s="90">
      <c r="A773" s="3" t="n"/>
      <c r="C773" s="6" t="n"/>
    </row>
    <row r="774" ht="15.75" customHeight="1" s="90">
      <c r="A774" s="3" t="n"/>
      <c r="C774" s="6" t="n"/>
    </row>
    <row r="775" ht="15.75" customHeight="1" s="90">
      <c r="A775" s="3" t="n"/>
      <c r="C775" s="6" t="n"/>
    </row>
    <row r="776" ht="15.75" customHeight="1" s="90">
      <c r="A776" s="3" t="n"/>
      <c r="C776" s="6" t="n"/>
    </row>
    <row r="777" ht="15.75" customHeight="1" s="90">
      <c r="A777" s="3" t="n"/>
      <c r="C777" s="6" t="n"/>
    </row>
    <row r="778" ht="15.75" customHeight="1" s="90">
      <c r="A778" s="3" t="n"/>
      <c r="C778" s="6" t="n"/>
    </row>
    <row r="779" ht="15.75" customHeight="1" s="90">
      <c r="A779" s="3" t="n"/>
      <c r="C779" s="6" t="n"/>
    </row>
    <row r="780" ht="15.75" customHeight="1" s="90">
      <c r="A780" s="3" t="n"/>
      <c r="C780" s="6" t="n"/>
    </row>
    <row r="781" ht="15.75" customHeight="1" s="90">
      <c r="A781" s="3" t="n"/>
      <c r="C781" s="6" t="n"/>
    </row>
    <row r="782" ht="15.75" customHeight="1" s="90">
      <c r="A782" s="3" t="n"/>
      <c r="C782" s="6" t="n"/>
    </row>
    <row r="783" ht="15.75" customHeight="1" s="90">
      <c r="A783" s="3" t="n"/>
      <c r="C783" s="6" t="n"/>
    </row>
    <row r="784" ht="15.75" customHeight="1" s="90">
      <c r="A784" s="3" t="n"/>
      <c r="C784" s="6" t="n"/>
    </row>
    <row r="785" ht="15.75" customHeight="1" s="90">
      <c r="A785" s="3" t="n"/>
      <c r="C785" s="6" t="n"/>
    </row>
    <row r="786" ht="15.75" customHeight="1" s="90">
      <c r="A786" s="3" t="n"/>
      <c r="C786" s="6" t="n"/>
    </row>
    <row r="787" ht="15.75" customHeight="1" s="90">
      <c r="A787" s="3" t="n"/>
      <c r="C787" s="6" t="n"/>
    </row>
    <row r="788" ht="15.75" customHeight="1" s="90">
      <c r="A788" s="3" t="n"/>
      <c r="C788" s="6" t="n"/>
    </row>
    <row r="789" ht="15.75" customHeight="1" s="90">
      <c r="A789" s="3" t="n"/>
      <c r="C789" s="6" t="n"/>
    </row>
    <row r="790" ht="15.75" customHeight="1" s="90">
      <c r="A790" s="3" t="n"/>
      <c r="C790" s="6" t="n"/>
    </row>
    <row r="791" ht="15.75" customHeight="1" s="90">
      <c r="A791" s="3" t="n"/>
      <c r="C791" s="6" t="n"/>
    </row>
    <row r="792" ht="15.75" customHeight="1" s="90">
      <c r="A792" s="3" t="n"/>
      <c r="C792" s="6" t="n"/>
    </row>
    <row r="793" ht="15.75" customHeight="1" s="90">
      <c r="A793" s="3" t="n"/>
      <c r="C793" s="6" t="n"/>
    </row>
    <row r="794" ht="15.75" customHeight="1" s="90">
      <c r="A794" s="3" t="n"/>
      <c r="C794" s="6" t="n"/>
    </row>
    <row r="795" ht="15.75" customHeight="1" s="90">
      <c r="A795" s="3" t="n"/>
      <c r="C795" s="6" t="n"/>
    </row>
    <row r="796" ht="15.75" customHeight="1" s="90">
      <c r="A796" s="3" t="n"/>
      <c r="C796" s="6" t="n"/>
    </row>
    <row r="797" ht="15.75" customHeight="1" s="90">
      <c r="A797" s="3" t="n"/>
      <c r="C797" s="6" t="n"/>
    </row>
    <row r="798" ht="15.75" customHeight="1" s="90">
      <c r="A798" s="3" t="n"/>
      <c r="C798" s="6" t="n"/>
    </row>
    <row r="799" ht="15.75" customHeight="1" s="90">
      <c r="A799" s="3" t="n"/>
      <c r="C799" s="6" t="n"/>
    </row>
    <row r="800" ht="15.75" customHeight="1" s="90">
      <c r="A800" s="3" t="n"/>
      <c r="C800" s="6" t="n"/>
    </row>
    <row r="801" ht="15.75" customHeight="1" s="90">
      <c r="A801" s="3" t="n"/>
      <c r="C801" s="6" t="n"/>
    </row>
    <row r="802" ht="15.75" customHeight="1" s="90">
      <c r="A802" s="3" t="n"/>
      <c r="C802" s="6" t="n"/>
    </row>
    <row r="803" ht="15.75" customHeight="1" s="90">
      <c r="A803" s="3" t="n"/>
      <c r="C803" s="6" t="n"/>
    </row>
    <row r="804" ht="15.75" customHeight="1" s="90">
      <c r="A804" s="3" t="n"/>
      <c r="C804" s="6" t="n"/>
    </row>
    <row r="805" ht="15.75" customHeight="1" s="90">
      <c r="A805" s="3" t="n"/>
      <c r="C805" s="6" t="n"/>
    </row>
    <row r="806" ht="15.75" customHeight="1" s="90">
      <c r="A806" s="3" t="n"/>
      <c r="C806" s="6" t="n"/>
    </row>
    <row r="807" ht="15.75" customHeight="1" s="90">
      <c r="A807" s="3" t="n"/>
      <c r="C807" s="6" t="n"/>
    </row>
    <row r="808" ht="15.75" customHeight="1" s="90">
      <c r="A808" s="3" t="n"/>
      <c r="C808" s="6" t="n"/>
    </row>
    <row r="809" ht="15.75" customHeight="1" s="90">
      <c r="A809" s="3" t="n"/>
      <c r="C809" s="6" t="n"/>
    </row>
    <row r="810" ht="15.75" customHeight="1" s="90">
      <c r="A810" s="3" t="n"/>
      <c r="C810" s="6" t="n"/>
    </row>
    <row r="811" ht="15.75" customHeight="1" s="90">
      <c r="A811" s="3" t="n"/>
      <c r="C811" s="6" t="n"/>
    </row>
    <row r="812" ht="15.75" customHeight="1" s="90">
      <c r="A812" s="3" t="n"/>
      <c r="C812" s="6" t="n"/>
    </row>
    <row r="813" ht="15.75" customHeight="1" s="90">
      <c r="A813" s="3" t="n"/>
      <c r="C813" s="6" t="n"/>
    </row>
    <row r="814" ht="15.75" customHeight="1" s="90">
      <c r="A814" s="3" t="n"/>
      <c r="C814" s="6" t="n"/>
    </row>
    <row r="815" ht="15.75" customHeight="1" s="90">
      <c r="A815" s="3" t="n"/>
      <c r="C815" s="6" t="n"/>
    </row>
    <row r="816" ht="15.75" customHeight="1" s="90">
      <c r="A816" s="3" t="n"/>
      <c r="C816" s="6" t="n"/>
    </row>
    <row r="817" ht="15.75" customHeight="1" s="90">
      <c r="A817" s="3" t="n"/>
      <c r="C817" s="6" t="n"/>
    </row>
    <row r="818" ht="15.75" customHeight="1" s="90">
      <c r="A818" s="3" t="n"/>
      <c r="C818" s="6" t="n"/>
    </row>
    <row r="819" ht="15.75" customHeight="1" s="90">
      <c r="A819" s="3" t="n"/>
      <c r="C819" s="6" t="n"/>
    </row>
    <row r="820" ht="15.75" customHeight="1" s="90">
      <c r="A820" s="3" t="n"/>
      <c r="C820" s="6" t="n"/>
    </row>
    <row r="821" ht="15.75" customHeight="1" s="90">
      <c r="A821" s="3" t="n"/>
      <c r="C821" s="6" t="n"/>
    </row>
    <row r="822" ht="15.75" customHeight="1" s="90">
      <c r="A822" s="3" t="n"/>
      <c r="C822" s="6" t="n"/>
    </row>
    <row r="823" ht="15.75" customHeight="1" s="90">
      <c r="A823" s="3" t="n"/>
      <c r="C823" s="6" t="n"/>
    </row>
    <row r="824" ht="15.75" customHeight="1" s="90">
      <c r="A824" s="3" t="n"/>
      <c r="C824" s="6" t="n"/>
    </row>
    <row r="825" ht="15.75" customHeight="1" s="90">
      <c r="A825" s="3" t="n"/>
      <c r="C825" s="6" t="n"/>
    </row>
    <row r="826" ht="15.75" customHeight="1" s="90">
      <c r="A826" s="3" t="n"/>
      <c r="C826" s="6" t="n"/>
    </row>
    <row r="827" ht="15.75" customHeight="1" s="90">
      <c r="A827" s="3" t="n"/>
      <c r="C827" s="6" t="n"/>
    </row>
    <row r="828" ht="15.75" customHeight="1" s="90">
      <c r="A828" s="3" t="n"/>
      <c r="C828" s="6" t="n"/>
    </row>
    <row r="829" ht="15.75" customHeight="1" s="90">
      <c r="A829" s="3" t="n"/>
      <c r="C829" s="6" t="n"/>
    </row>
    <row r="830" ht="15.75" customHeight="1" s="90">
      <c r="A830" s="3" t="n"/>
      <c r="C830" s="6" t="n"/>
    </row>
    <row r="831" ht="15.75" customHeight="1" s="90">
      <c r="A831" s="3" t="n"/>
      <c r="C831" s="6" t="n"/>
    </row>
    <row r="832" ht="15.75" customHeight="1" s="90">
      <c r="A832" s="3" t="n"/>
      <c r="C832" s="6" t="n"/>
    </row>
    <row r="833" ht="15.75" customHeight="1" s="90">
      <c r="A833" s="3" t="n"/>
      <c r="C833" s="6" t="n"/>
    </row>
    <row r="834" ht="15.75" customHeight="1" s="90">
      <c r="A834" s="3" t="n"/>
      <c r="C834" s="6" t="n"/>
    </row>
    <row r="835" ht="15.75" customHeight="1" s="90">
      <c r="A835" s="3" t="n"/>
      <c r="C835" s="6" t="n"/>
    </row>
    <row r="836" ht="15.75" customHeight="1" s="90">
      <c r="A836" s="3" t="n"/>
      <c r="C836" s="6" t="n"/>
    </row>
    <row r="837" ht="15.75" customHeight="1" s="90">
      <c r="A837" s="3" t="n"/>
      <c r="C837" s="6" t="n"/>
    </row>
    <row r="838" ht="15.75" customHeight="1" s="90">
      <c r="A838" s="3" t="n"/>
      <c r="C838" s="6" t="n"/>
    </row>
    <row r="839" ht="15.75" customHeight="1" s="90">
      <c r="A839" s="3" t="n"/>
      <c r="C839" s="6" t="n"/>
    </row>
    <row r="840" ht="15.75" customHeight="1" s="90">
      <c r="A840" s="3" t="n"/>
      <c r="C840" s="6" t="n"/>
    </row>
    <row r="841" ht="15.75" customHeight="1" s="90">
      <c r="A841" s="3" t="n"/>
      <c r="C841" s="6" t="n"/>
    </row>
    <row r="842" ht="15.75" customHeight="1" s="90">
      <c r="A842" s="3" t="n"/>
      <c r="C842" s="6" t="n"/>
    </row>
    <row r="843" ht="15.75" customHeight="1" s="90">
      <c r="A843" s="3" t="n"/>
      <c r="C843" s="6" t="n"/>
    </row>
    <row r="844" ht="15.75" customHeight="1" s="90">
      <c r="A844" s="3" t="n"/>
      <c r="C844" s="6" t="n"/>
    </row>
    <row r="845" ht="15.75" customHeight="1" s="90">
      <c r="A845" s="3" t="n"/>
      <c r="C845" s="6" t="n"/>
    </row>
    <row r="846" ht="15.75" customHeight="1" s="90">
      <c r="A846" s="3" t="n"/>
      <c r="C846" s="6" t="n"/>
    </row>
    <row r="847" ht="15.75" customHeight="1" s="90">
      <c r="A847" s="3" t="n"/>
      <c r="C847" s="6" t="n"/>
    </row>
    <row r="848" ht="15.75" customHeight="1" s="90">
      <c r="A848" s="3" t="n"/>
      <c r="C848" s="6" t="n"/>
    </row>
    <row r="849" ht="15.75" customHeight="1" s="90">
      <c r="A849" s="3" t="n"/>
      <c r="C849" s="6" t="n"/>
    </row>
    <row r="850" ht="15.75" customHeight="1" s="90">
      <c r="A850" s="3" t="n"/>
      <c r="C850" s="6" t="n"/>
    </row>
    <row r="851" ht="15.75" customHeight="1" s="90">
      <c r="A851" s="3" t="n"/>
      <c r="C851" s="6" t="n"/>
    </row>
    <row r="852" ht="15.75" customHeight="1" s="90">
      <c r="A852" s="3" t="n"/>
      <c r="C852" s="6" t="n"/>
    </row>
    <row r="853" ht="15.75" customHeight="1" s="90">
      <c r="A853" s="3" t="n"/>
      <c r="C853" s="6" t="n"/>
    </row>
    <row r="854" ht="15.75" customHeight="1" s="90">
      <c r="A854" s="3" t="n"/>
      <c r="C854" s="6" t="n"/>
    </row>
    <row r="855" ht="15.75" customHeight="1" s="90">
      <c r="A855" s="3" t="n"/>
      <c r="C855" s="6" t="n"/>
    </row>
    <row r="856" ht="15.75" customHeight="1" s="90">
      <c r="A856" s="3" t="n"/>
      <c r="C856" s="6" t="n"/>
    </row>
    <row r="857" ht="15.75" customHeight="1" s="90">
      <c r="A857" s="3" t="n"/>
      <c r="C857" s="6" t="n"/>
    </row>
    <row r="858" ht="15.75" customHeight="1" s="90">
      <c r="A858" s="3" t="n"/>
      <c r="C858" s="6" t="n"/>
    </row>
    <row r="859" ht="15.75" customHeight="1" s="90">
      <c r="A859" s="3" t="n"/>
      <c r="C859" s="6" t="n"/>
    </row>
    <row r="860" ht="15.75" customHeight="1" s="90">
      <c r="A860" s="3" t="n"/>
      <c r="C860" s="6" t="n"/>
    </row>
    <row r="861" ht="15.75" customHeight="1" s="90">
      <c r="A861" s="3" t="n"/>
      <c r="C861" s="6" t="n"/>
    </row>
    <row r="862" ht="15.75" customHeight="1" s="90">
      <c r="A862" s="3" t="n"/>
      <c r="C862" s="6" t="n"/>
    </row>
    <row r="863" ht="15.75" customHeight="1" s="90">
      <c r="A863" s="3" t="n"/>
      <c r="C863" s="6" t="n"/>
    </row>
    <row r="864" ht="15.75" customHeight="1" s="90">
      <c r="A864" s="3" t="n"/>
      <c r="C864" s="6" t="n"/>
    </row>
    <row r="865" ht="15.75" customHeight="1" s="90">
      <c r="A865" s="3" t="n"/>
      <c r="C865" s="6" t="n"/>
    </row>
    <row r="866" ht="15.75" customHeight="1" s="90">
      <c r="A866" s="3" t="n"/>
      <c r="C866" s="6" t="n"/>
    </row>
    <row r="867" ht="15.75" customHeight="1" s="90">
      <c r="A867" s="3" t="n"/>
      <c r="C867" s="6" t="n"/>
    </row>
    <row r="868" ht="15.75" customHeight="1" s="90">
      <c r="A868" s="3" t="n"/>
      <c r="C868" s="6" t="n"/>
    </row>
    <row r="869" ht="15.75" customHeight="1" s="90">
      <c r="A869" s="3" t="n"/>
      <c r="C869" s="6" t="n"/>
    </row>
    <row r="870" ht="15.75" customHeight="1" s="90">
      <c r="A870" s="3" t="n"/>
      <c r="C870" s="6" t="n"/>
    </row>
    <row r="871" ht="15.75" customHeight="1" s="90">
      <c r="A871" s="3" t="n"/>
      <c r="C871" s="6" t="n"/>
    </row>
    <row r="872" ht="15.75" customHeight="1" s="90">
      <c r="A872" s="3" t="n"/>
      <c r="C872" s="6" t="n"/>
    </row>
    <row r="873" ht="15.75" customHeight="1" s="90">
      <c r="A873" s="3" t="n"/>
      <c r="C873" s="6" t="n"/>
    </row>
    <row r="874" ht="15.75" customHeight="1" s="90">
      <c r="A874" s="3" t="n"/>
      <c r="C874" s="6" t="n"/>
    </row>
    <row r="875" ht="15.75" customHeight="1" s="90">
      <c r="A875" s="3" t="n"/>
      <c r="C875" s="6" t="n"/>
    </row>
    <row r="876" ht="15.75" customHeight="1" s="90">
      <c r="A876" s="3" t="n"/>
      <c r="C876" s="6" t="n"/>
    </row>
    <row r="877" ht="15.75" customHeight="1" s="90">
      <c r="A877" s="3" t="n"/>
      <c r="C877" s="6" t="n"/>
    </row>
    <row r="878" ht="15.75" customHeight="1" s="90">
      <c r="A878" s="3" t="n"/>
      <c r="C878" s="6" t="n"/>
    </row>
    <row r="879" ht="15.75" customHeight="1" s="90">
      <c r="A879" s="3" t="n"/>
      <c r="C879" s="6" t="n"/>
    </row>
    <row r="880" ht="15.75" customHeight="1" s="90">
      <c r="A880" s="3" t="n"/>
      <c r="C880" s="6" t="n"/>
    </row>
    <row r="881" ht="15.75" customHeight="1" s="90">
      <c r="A881" s="3" t="n"/>
      <c r="C881" s="6" t="n"/>
    </row>
    <row r="882" ht="15.75" customHeight="1" s="90">
      <c r="A882" s="3" t="n"/>
      <c r="C882" s="6" t="n"/>
    </row>
    <row r="883" ht="15.75" customHeight="1" s="90">
      <c r="A883" s="3" t="n"/>
      <c r="C883" s="6" t="n"/>
    </row>
    <row r="884" ht="15.75" customHeight="1" s="90">
      <c r="A884" s="3" t="n"/>
      <c r="C884" s="6" t="n"/>
    </row>
    <row r="885" ht="15.75" customHeight="1" s="90">
      <c r="A885" s="3" t="n"/>
      <c r="C885" s="6" t="n"/>
    </row>
    <row r="886" ht="15.75" customHeight="1" s="90">
      <c r="A886" s="3" t="n"/>
      <c r="C886" s="6" t="n"/>
    </row>
    <row r="887" ht="15.75" customHeight="1" s="90">
      <c r="A887" s="3" t="n"/>
      <c r="C887" s="6" t="n"/>
    </row>
    <row r="888" ht="15.75" customHeight="1" s="90">
      <c r="A888" s="3" t="n"/>
      <c r="C888" s="6" t="n"/>
    </row>
    <row r="889" ht="15.75" customHeight="1" s="90">
      <c r="A889" s="3" t="n"/>
      <c r="C889" s="6" t="n"/>
    </row>
    <row r="890" ht="15.75" customHeight="1" s="90">
      <c r="A890" s="3" t="n"/>
      <c r="C890" s="6" t="n"/>
    </row>
    <row r="891" ht="15.75" customHeight="1" s="90">
      <c r="A891" s="3" t="n"/>
      <c r="C891" s="6" t="n"/>
    </row>
    <row r="892" ht="15.75" customHeight="1" s="90">
      <c r="A892" s="3" t="n"/>
      <c r="C892" s="6" t="n"/>
    </row>
    <row r="893" ht="15.75" customHeight="1" s="90">
      <c r="A893" s="3" t="n"/>
      <c r="C893" s="6" t="n"/>
    </row>
    <row r="894" ht="15.75" customHeight="1" s="90">
      <c r="A894" s="3" t="n"/>
      <c r="C894" s="6" t="n"/>
    </row>
    <row r="895" ht="15.75" customHeight="1" s="90">
      <c r="A895" s="3" t="n"/>
      <c r="C895" s="6" t="n"/>
    </row>
    <row r="896" ht="15.75" customHeight="1" s="90">
      <c r="A896" s="3" t="n"/>
      <c r="C896" s="6" t="n"/>
    </row>
    <row r="897" ht="15.75" customHeight="1" s="90">
      <c r="A897" s="3" t="n"/>
      <c r="C897" s="6" t="n"/>
    </row>
    <row r="898" ht="15.75" customHeight="1" s="90">
      <c r="A898" s="3" t="n"/>
      <c r="C898" s="6" t="n"/>
    </row>
    <row r="899" ht="15.75" customHeight="1" s="90">
      <c r="A899" s="3" t="n"/>
      <c r="C899" s="6" t="n"/>
    </row>
    <row r="900" ht="15.75" customHeight="1" s="90">
      <c r="A900" s="3" t="n"/>
      <c r="C900" s="6" t="n"/>
    </row>
    <row r="901" ht="15.75" customHeight="1" s="90">
      <c r="A901" s="3" t="n"/>
      <c r="C901" s="6" t="n"/>
    </row>
    <row r="902" ht="15.75" customHeight="1" s="90">
      <c r="A902" s="3" t="n"/>
      <c r="C902" s="6" t="n"/>
    </row>
    <row r="903" ht="15.75" customHeight="1" s="90">
      <c r="A903" s="3" t="n"/>
      <c r="C903" s="6" t="n"/>
    </row>
    <row r="904" ht="15.75" customHeight="1" s="90">
      <c r="A904" s="3" t="n"/>
      <c r="C904" s="6" t="n"/>
    </row>
    <row r="905" ht="15.75" customHeight="1" s="90">
      <c r="A905" s="3" t="n"/>
      <c r="C905" s="6" t="n"/>
    </row>
    <row r="906" ht="15.75" customHeight="1" s="90">
      <c r="A906" s="3" t="n"/>
      <c r="C906" s="6" t="n"/>
    </row>
    <row r="907" ht="15.75" customHeight="1" s="90">
      <c r="A907" s="3" t="n"/>
      <c r="C907" s="6" t="n"/>
    </row>
    <row r="908" ht="15.75" customHeight="1" s="90">
      <c r="A908" s="3" t="n"/>
      <c r="C908" s="6" t="n"/>
    </row>
    <row r="909" ht="15.75" customHeight="1" s="90">
      <c r="A909" s="3" t="n"/>
      <c r="C909" s="6" t="n"/>
    </row>
    <row r="910" ht="15.75" customHeight="1" s="90">
      <c r="A910" s="3" t="n"/>
      <c r="C910" s="6" t="n"/>
    </row>
    <row r="911" ht="15.75" customHeight="1" s="90">
      <c r="A911" s="3" t="n"/>
      <c r="C911" s="6" t="n"/>
    </row>
    <row r="912" ht="15.75" customHeight="1" s="90">
      <c r="A912" s="3" t="n"/>
      <c r="C912" s="6" t="n"/>
    </row>
    <row r="913" ht="15.75" customHeight="1" s="90">
      <c r="A913" s="3" t="n"/>
      <c r="C913" s="6" t="n"/>
    </row>
    <row r="914" ht="15.75" customHeight="1" s="90">
      <c r="A914" s="3" t="n"/>
      <c r="C914" s="6" t="n"/>
    </row>
    <row r="915" ht="15.75" customHeight="1" s="90">
      <c r="A915" s="3" t="n"/>
      <c r="C915" s="6" t="n"/>
    </row>
    <row r="916" ht="15.75" customHeight="1" s="90">
      <c r="A916" s="3" t="n"/>
      <c r="C916" s="6" t="n"/>
    </row>
    <row r="917" ht="15.75" customHeight="1" s="90">
      <c r="A917" s="3" t="n"/>
      <c r="C917" s="6" t="n"/>
    </row>
    <row r="918" ht="15.75" customHeight="1" s="90">
      <c r="A918" s="3" t="n"/>
      <c r="C918" s="6" t="n"/>
    </row>
    <row r="919" ht="15.75" customHeight="1" s="90">
      <c r="A919" s="3" t="n"/>
      <c r="C919" s="6" t="n"/>
    </row>
    <row r="920" ht="15.75" customHeight="1" s="90">
      <c r="A920" s="3" t="n"/>
      <c r="C920" s="6" t="n"/>
    </row>
    <row r="921" ht="15.75" customHeight="1" s="90">
      <c r="A921" s="3" t="n"/>
      <c r="C921" s="6" t="n"/>
    </row>
    <row r="922" ht="15.75" customHeight="1" s="90">
      <c r="A922" s="3" t="n"/>
      <c r="C922" s="6" t="n"/>
    </row>
    <row r="923" ht="15.75" customHeight="1" s="90">
      <c r="A923" s="3" t="n"/>
      <c r="C923" s="6" t="n"/>
    </row>
    <row r="924" ht="15.75" customHeight="1" s="90">
      <c r="A924" s="3" t="n"/>
      <c r="C924" s="6" t="n"/>
    </row>
    <row r="925" ht="15.75" customHeight="1" s="90">
      <c r="A925" s="3" t="n"/>
      <c r="C925" s="6" t="n"/>
    </row>
    <row r="926" ht="15.75" customHeight="1" s="90">
      <c r="A926" s="3" t="n"/>
      <c r="C926" s="6" t="n"/>
    </row>
    <row r="927" ht="15.75" customHeight="1" s="90">
      <c r="A927" s="3" t="n"/>
      <c r="C927" s="6" t="n"/>
    </row>
    <row r="928" ht="15.75" customHeight="1" s="90">
      <c r="A928" s="3" t="n"/>
      <c r="C928" s="6" t="n"/>
    </row>
    <row r="929" ht="15.75" customHeight="1" s="90">
      <c r="A929" s="3" t="n"/>
      <c r="C929" s="6" t="n"/>
    </row>
    <row r="930" ht="15.75" customHeight="1" s="90">
      <c r="A930" s="3" t="n"/>
      <c r="C930" s="6" t="n"/>
    </row>
    <row r="931" ht="15.75" customHeight="1" s="90">
      <c r="A931" s="3" t="n"/>
      <c r="C931" s="6" t="n"/>
    </row>
    <row r="932" ht="15.75" customHeight="1" s="90">
      <c r="A932" s="3" t="n"/>
      <c r="C932" s="6" t="n"/>
    </row>
    <row r="933" ht="15.75" customHeight="1" s="90">
      <c r="A933" s="3" t="n"/>
      <c r="C933" s="6" t="n"/>
    </row>
    <row r="934" ht="15.75" customHeight="1" s="90">
      <c r="A934" s="3" t="n"/>
      <c r="C934" s="6" t="n"/>
    </row>
    <row r="935" ht="15.75" customHeight="1" s="90">
      <c r="A935" s="3" t="n"/>
      <c r="C935" s="6" t="n"/>
    </row>
    <row r="936" ht="15.75" customHeight="1" s="90">
      <c r="A936" s="3" t="n"/>
      <c r="C936" s="6" t="n"/>
    </row>
    <row r="937" ht="15.75" customHeight="1" s="90">
      <c r="A937" s="3" t="n"/>
      <c r="C937" s="6" t="n"/>
    </row>
    <row r="938" ht="15.75" customHeight="1" s="90">
      <c r="A938" s="3" t="n"/>
      <c r="C938" s="6" t="n"/>
    </row>
    <row r="939" ht="15.75" customHeight="1" s="90">
      <c r="A939" s="3" t="n"/>
      <c r="C939" s="6" t="n"/>
    </row>
    <row r="940" ht="15.75" customHeight="1" s="90">
      <c r="A940" s="3" t="n"/>
      <c r="C940" s="6" t="n"/>
    </row>
    <row r="941" ht="15.75" customHeight="1" s="90">
      <c r="A941" s="3" t="n"/>
      <c r="C941" s="6" t="n"/>
    </row>
    <row r="942" ht="15.75" customHeight="1" s="90">
      <c r="A942" s="3" t="n"/>
      <c r="C942" s="6" t="n"/>
    </row>
    <row r="943" ht="15.75" customHeight="1" s="90">
      <c r="A943" s="3" t="n"/>
      <c r="C943" s="6" t="n"/>
    </row>
    <row r="944" ht="15.75" customHeight="1" s="90">
      <c r="A944" s="3" t="n"/>
      <c r="C944" s="6" t="n"/>
    </row>
    <row r="945" ht="15.75" customHeight="1" s="90">
      <c r="A945" s="3" t="n"/>
      <c r="C945" s="6" t="n"/>
    </row>
    <row r="946" ht="15.75" customHeight="1" s="90">
      <c r="A946" s="3" t="n"/>
      <c r="C946" s="6" t="n"/>
    </row>
    <row r="947" ht="15.75" customHeight="1" s="90">
      <c r="A947" s="3" t="n"/>
      <c r="C947" s="6" t="n"/>
    </row>
    <row r="948" ht="15.75" customHeight="1" s="90">
      <c r="A948" s="3" t="n"/>
      <c r="C948" s="6" t="n"/>
    </row>
    <row r="949" ht="15.75" customHeight="1" s="90">
      <c r="A949" s="3" t="n"/>
      <c r="C949" s="6" t="n"/>
    </row>
    <row r="950" ht="15.75" customHeight="1" s="90">
      <c r="A950" s="3" t="n"/>
      <c r="C950" s="6" t="n"/>
    </row>
    <row r="951" ht="15.75" customHeight="1" s="90">
      <c r="A951" s="3" t="n"/>
      <c r="C951" s="6" t="n"/>
    </row>
    <row r="952" ht="15.75" customHeight="1" s="90">
      <c r="A952" s="3" t="n"/>
      <c r="C952" s="6" t="n"/>
    </row>
    <row r="953" ht="15.75" customHeight="1" s="90">
      <c r="A953" s="3" t="n"/>
      <c r="C953" s="6" t="n"/>
    </row>
    <row r="954" ht="15.75" customHeight="1" s="90">
      <c r="A954" s="3" t="n"/>
      <c r="C954" s="6" t="n"/>
    </row>
    <row r="955" ht="15.75" customHeight="1" s="90">
      <c r="A955" s="3" t="n"/>
      <c r="C955" s="6" t="n"/>
    </row>
    <row r="956" ht="15.75" customHeight="1" s="90">
      <c r="A956" s="3" t="n"/>
      <c r="C956" s="6" t="n"/>
    </row>
    <row r="957" ht="15.75" customHeight="1" s="90">
      <c r="A957" s="3" t="n"/>
      <c r="C957" s="6" t="n"/>
    </row>
    <row r="958" ht="15.75" customHeight="1" s="90">
      <c r="A958" s="3" t="n"/>
      <c r="C958" s="6" t="n"/>
    </row>
    <row r="959" ht="15.75" customHeight="1" s="90">
      <c r="A959" s="3" t="n"/>
      <c r="C959" s="6" t="n"/>
    </row>
    <row r="960" ht="15.75" customHeight="1" s="90">
      <c r="A960" s="3" t="n"/>
      <c r="C960" s="6" t="n"/>
    </row>
    <row r="961" ht="15.75" customHeight="1" s="90">
      <c r="A961" s="3" t="n"/>
      <c r="C961" s="6" t="n"/>
    </row>
    <row r="962" ht="15.75" customHeight="1" s="90">
      <c r="A962" s="3" t="n"/>
      <c r="C962" s="6" t="n"/>
    </row>
    <row r="963" ht="15.75" customHeight="1" s="90">
      <c r="A963" s="3" t="n"/>
      <c r="C963" s="6" t="n"/>
    </row>
    <row r="964" ht="15.75" customHeight="1" s="90">
      <c r="A964" s="3" t="n"/>
      <c r="C964" s="6" t="n"/>
    </row>
    <row r="965" ht="15.75" customHeight="1" s="90">
      <c r="A965" s="3" t="n"/>
      <c r="C965" s="6" t="n"/>
    </row>
    <row r="966" ht="15.75" customHeight="1" s="90">
      <c r="A966" s="3" t="n"/>
      <c r="C966" s="6" t="n"/>
    </row>
    <row r="967" ht="15.75" customHeight="1" s="90">
      <c r="A967" s="3" t="n"/>
      <c r="C967" s="6" t="n"/>
    </row>
    <row r="968" ht="15.75" customHeight="1" s="90">
      <c r="A968" s="3" t="n"/>
      <c r="C968" s="6" t="n"/>
    </row>
    <row r="969" ht="15.75" customHeight="1" s="90">
      <c r="A969" s="3" t="n"/>
      <c r="C969" s="6" t="n"/>
    </row>
    <row r="970" ht="15.75" customHeight="1" s="90">
      <c r="A970" s="3" t="n"/>
      <c r="C970" s="6" t="n"/>
    </row>
    <row r="971" ht="15.75" customHeight="1" s="90">
      <c r="A971" s="3" t="n"/>
      <c r="C971" s="6" t="n"/>
    </row>
    <row r="972" ht="15.75" customHeight="1" s="90">
      <c r="A972" s="3" t="n"/>
      <c r="C972" s="6" t="n"/>
    </row>
    <row r="973" ht="15.75" customHeight="1" s="90">
      <c r="A973" s="3" t="n"/>
      <c r="C973" s="6" t="n"/>
    </row>
    <row r="974" ht="15.75" customHeight="1" s="90">
      <c r="A974" s="3" t="n"/>
      <c r="C974" s="6" t="n"/>
    </row>
    <row r="975" ht="15.75" customHeight="1" s="90">
      <c r="A975" s="3" t="n"/>
      <c r="C975" s="6" t="n"/>
    </row>
    <row r="976" ht="15.75" customHeight="1" s="90">
      <c r="A976" s="3" t="n"/>
      <c r="C976" s="6" t="n"/>
    </row>
    <row r="977" ht="15.75" customHeight="1" s="90">
      <c r="A977" s="3" t="n"/>
      <c r="C977" s="6" t="n"/>
    </row>
    <row r="978" ht="15.75" customHeight="1" s="90">
      <c r="A978" s="3" t="n"/>
      <c r="C978" s="6" t="n"/>
    </row>
    <row r="979" ht="15.75" customHeight="1" s="90">
      <c r="A979" s="3" t="n"/>
      <c r="C979" s="6" t="n"/>
    </row>
    <row r="980" ht="15.75" customHeight="1" s="90">
      <c r="A980" s="3" t="n"/>
      <c r="C980" s="6" t="n"/>
    </row>
    <row r="981" ht="15.75" customHeight="1" s="90">
      <c r="A981" s="3" t="n"/>
      <c r="C981" s="6" t="n"/>
    </row>
    <row r="982" ht="15.75" customHeight="1" s="90">
      <c r="A982" s="3" t="n"/>
      <c r="C982" s="6" t="n"/>
    </row>
    <row r="983" ht="15.75" customHeight="1" s="90">
      <c r="A983" s="3" t="n"/>
      <c r="C983" s="6" t="n"/>
    </row>
    <row r="984" ht="15.75" customHeight="1" s="90">
      <c r="A984" s="3" t="n"/>
      <c r="C984" s="6" t="n"/>
    </row>
    <row r="985" ht="15.75" customHeight="1" s="90">
      <c r="A985" s="3" t="n"/>
      <c r="C985" s="6" t="n"/>
    </row>
    <row r="986" ht="15.75" customHeight="1" s="90">
      <c r="A986" s="3" t="n"/>
      <c r="C986" s="6" t="n"/>
    </row>
    <row r="987" ht="15.75" customHeight="1" s="90">
      <c r="A987" s="3" t="n"/>
      <c r="C987" s="6" t="n"/>
    </row>
    <row r="988" ht="15.75" customHeight="1" s="90">
      <c r="A988" s="3" t="n"/>
      <c r="C988" s="6" t="n"/>
    </row>
    <row r="989" ht="15.75" customHeight="1" s="90">
      <c r="A989" s="3" t="n"/>
      <c r="C989" s="6" t="n"/>
    </row>
    <row r="990" ht="15.75" customHeight="1" s="90">
      <c r="A990" s="3" t="n"/>
      <c r="C990" s="6" t="n"/>
    </row>
    <row r="991" ht="15.75" customHeight="1" s="90">
      <c r="A991" s="3" t="n"/>
      <c r="C991" s="6" t="n"/>
    </row>
    <row r="992" ht="15.75" customHeight="1" s="90">
      <c r="A992" s="3" t="n"/>
      <c r="C992" s="6" t="n"/>
    </row>
    <row r="993" ht="15.75" customHeight="1" s="90">
      <c r="A993" s="3" t="n"/>
      <c r="C993" s="6" t="n"/>
    </row>
    <row r="994" ht="15.75" customHeight="1" s="90">
      <c r="A994" s="3" t="n"/>
      <c r="C994" s="6" t="n"/>
    </row>
    <row r="995" ht="15.75" customHeight="1" s="90">
      <c r="A995" s="3" t="n"/>
      <c r="C995" s="6" t="n"/>
    </row>
    <row r="996" ht="15.75" customHeight="1" s="90">
      <c r="A996" s="3" t="n"/>
      <c r="C996" s="6" t="n"/>
    </row>
    <row r="997" ht="15.75" customHeight="1" s="90">
      <c r="A997" s="3" t="n"/>
      <c r="C997" s="6" t="n"/>
    </row>
    <row r="998" ht="15.75" customHeight="1" s="90">
      <c r="A998" s="3" t="n"/>
      <c r="C998" s="6" t="n"/>
    </row>
    <row r="999" ht="15.75" customHeight="1" s="90">
      <c r="A999" s="3" t="n"/>
      <c r="C999" s="6" t="n"/>
    </row>
    <row r="1000" ht="15.75" customHeight="1" s="90">
      <c r="A1000" s="3" t="n"/>
      <c r="C1000" s="6" t="n"/>
    </row>
  </sheetData>
  <conditionalFormatting sqref="B1:B1000">
    <cfRule type="cellIs" priority="1" operator="equal" dxfId="3">
      <formula>"TRUE"</formula>
    </cfRule>
  </conditionalFormatting>
  <conditionalFormatting sqref="B2:B1000">
    <cfRule type="cellIs" priority="2" operator="equal" dxfId="1">
      <formula>"FALSE"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C14" sqref="C14"/>
    </sheetView>
  </sheetViews>
  <sheetFormatPr baseColWidth="8" defaultColWidth="14.42578125" defaultRowHeight="15" customHeight="1"/>
  <cols>
    <col width="12" customWidth="1" style="90" min="1" max="1"/>
    <col width="22" customWidth="1" style="90" min="2" max="2"/>
    <col width="85" customWidth="1" style="90" min="3" max="3"/>
    <col width="12" customWidth="1" style="90" min="4" max="4"/>
    <col width="14" customWidth="1" style="90" min="5" max="5"/>
    <col width="10" customWidth="1" style="90" min="6" max="9"/>
    <col width="8.7109375" customWidth="1" style="90" min="10" max="24"/>
  </cols>
  <sheetData>
    <row r="1" ht="13.5" customHeight="1" s="90">
      <c r="A1" s="13" t="inlineStr">
        <is>
          <t>Processes_Id</t>
        </is>
      </c>
      <c r="B1" s="13" t="inlineStr">
        <is>
          <t>Processes_Desc</t>
        </is>
      </c>
      <c r="C1" s="13" t="inlineStr">
        <is>
          <t>Processes_Long_Desc</t>
        </is>
      </c>
      <c r="D1" s="13" t="inlineStr">
        <is>
          <t>Processes_Color</t>
        </is>
      </c>
      <c r="E1" s="28" t="inlineStr">
        <is>
          <t>Processes_Weight</t>
        </is>
      </c>
      <c r="F1" s="13" t="inlineStr">
        <is>
          <t>Default_Weight_X</t>
        </is>
      </c>
      <c r="G1" s="13" t="inlineStr">
        <is>
          <t>Default_Weight_Y</t>
        </is>
      </c>
      <c r="H1" s="13" t="inlineStr">
        <is>
          <t>Default_Booster_X</t>
        </is>
      </c>
      <c r="I1" s="13" t="inlineStr">
        <is>
          <t>Default_Booster_Y</t>
        </is>
      </c>
    </row>
    <row r="2" ht="69.95" customHeight="1" s="90">
      <c r="A2" s="29" t="n">
        <v>1</v>
      </c>
      <c r="B2" s="30" t="inlineStr">
        <is>
          <t>ZYSK</t>
        </is>
      </c>
      <c r="C2" s="31" t="inlineStr">
        <is>
          <t>Oś Y: Marża / Rentowność (Strata → Próg rentowności → Zysk → Wysoka rentowność) | Oś X: Skalowalność modelu przychodów (Jednorazowy → Powtarzalny → Subskrypcyjny → Pasywny/automatyczny). Zakotwiczenie: Osterwalder – BMC: Strumienie Przychodów vs Struktura Kosztów + Testing Business Ideas: opłacalność.</t>
        </is>
      </c>
      <c r="D2" s="32" t="inlineStr">
        <is>
          <t>1F3864</t>
        </is>
      </c>
      <c r="E2" s="33" t="n">
        <v>0.25</v>
      </c>
      <c r="F2" s="32" t="n"/>
      <c r="G2" s="32" t="n"/>
      <c r="H2" s="32" t="n">
        <v>1</v>
      </c>
      <c r="I2" s="32" t="n">
        <v>1</v>
      </c>
    </row>
    <row r="3" ht="69.95" customHeight="1" s="90">
      <c r="A3" s="34" t="n">
        <v>2</v>
      </c>
      <c r="B3" s="35" t="inlineStr">
        <is>
          <t>VISIBILITY</t>
        </is>
      </c>
      <c r="C3" s="36" t="inlineStr">
        <is>
          <t>Oś Y: Zasięg / Reach (Nieznany → Lokalny → Regionalny → Ogólnopolski/Masowy) | Oś X: Trafność komunikatu / Relevance (Generyczny → Segmentowany → Personalizowany → Precyzyjnie targetowany). Zakotwiczenie: Osterwalder – BMC: Kanały i Relacje z Klientami + lejek Awareness→Consideration→Purchase.</t>
        </is>
      </c>
      <c r="D3" s="37" t="inlineStr">
        <is>
          <t>2E75B6</t>
        </is>
      </c>
      <c r="E3" s="38" t="n">
        <v>0.25</v>
      </c>
      <c r="F3" s="37" t="n"/>
      <c r="G3" s="37" t="n"/>
      <c r="H3" s="37" t="n">
        <v>1</v>
      </c>
      <c r="I3" s="37" t="n">
        <v>1</v>
      </c>
    </row>
    <row r="4" ht="69.95" customHeight="1" s="90">
      <c r="A4" s="39" t="n">
        <v>3</v>
      </c>
      <c r="B4" s="40" t="inlineStr">
        <is>
          <t>UDZIAŁ W RYNKU</t>
        </is>
      </c>
      <c r="C4" s="41" t="inlineStr">
        <is>
          <t>Oś Y: Lojalność / Retencja (Jednorazowi klienci → Powracający → Stali → Ambasadorzy marki) | Oś X: Penetracja segmentu (Niszowy → Wschodzący → Istotny gracz → Lider segmentu). Zakotwiczenie: Osterwalder – The Invincible Company: przewaga konkurencyjna, Exploit vs Explore.</t>
        </is>
      </c>
      <c r="D4" s="42" t="inlineStr">
        <is>
          <t>375623</t>
        </is>
      </c>
      <c r="E4" s="43" t="n">
        <v>0.25</v>
      </c>
      <c r="F4" s="42" t="n"/>
      <c r="G4" s="42" t="n"/>
      <c r="H4" s="42" t="n">
        <v>1</v>
      </c>
      <c r="I4" s="42" t="n">
        <v>1</v>
      </c>
    </row>
    <row r="5" ht="69.95" customHeight="1" s="90">
      <c r="A5" s="44" t="n">
        <v>4</v>
      </c>
      <c r="B5" s="45" t="inlineStr">
        <is>
          <t>KONWERSJA</t>
        </is>
      </c>
      <c r="C5" s="46" t="inlineStr">
        <is>
          <t>Oś Y: Skuteczność lejka sprzedażowego (&lt;1% → 1–3% → 3–7% → &gt;7%) | Oś X: Jakość doświadczenia klienta UX/CX (Frustrujące → Akceptowalne → Przyjemne → Wirusowe/Rekomendowane). Zakotwiczenie: Osterwalder – BMC: Kanały fazy ocena–zakup–po sprzedaży + metryki e-commerce.</t>
        </is>
      </c>
      <c r="D5" s="47" t="inlineStr">
        <is>
          <t>7030A0</t>
        </is>
      </c>
      <c r="E5" s="48" t="n">
        <v>0.25</v>
      </c>
      <c r="F5" s="47" t="n"/>
      <c r="G5" s="47" t="n"/>
      <c r="H5" s="47" t="n">
        <v>1</v>
      </c>
      <c r="I5" s="47" t="n">
        <v>1</v>
      </c>
    </row>
    <row r="6" ht="13.5" customHeight="1" s="90">
      <c r="A6" s="62" t="n"/>
      <c r="B6" s="61" t="n"/>
      <c r="C6" s="61" t="n"/>
      <c r="D6" s="61" t="n"/>
      <c r="E6" s="67" t="n"/>
      <c r="F6" s="61" t="n"/>
      <c r="G6" s="61" t="n"/>
      <c r="H6" s="61" t="n"/>
      <c r="I6" s="61" t="n"/>
    </row>
    <row r="7" ht="13.5" customHeight="1" s="90">
      <c r="A7" s="89" t="inlineStr">
        <is>
          <t>⚙ ZASADA MNOŻNIKA PRZYGOTOWANIA (Mapa 2)</t>
        </is>
      </c>
    </row>
    <row r="8" ht="54.95" customHeight="1" s="90">
      <c r="A8" s="91" t="inlineStr">
        <is>
          <t>Waga kart rynkowych (Mapa 2) = Waga_bazowa × Mnożnik_Przygotowania
Mnożnik = MIN(2,0 ; 1 + liczba_kart_PRE_zagranych / 22)
5 kart PRE → ×1,23  |  11 kart PRE → ×1,50  |  22 karty PRE → ×2,00</t>
        </is>
      </c>
    </row>
    <row r="9" ht="13.5" customHeight="1" s="90">
      <c r="A9" s="62" t="n"/>
      <c r="B9" s="61" t="n"/>
      <c r="C9" s="61" t="n"/>
      <c r="D9" s="61" t="n"/>
      <c r="E9" s="67" t="n"/>
      <c r="F9" s="61" t="n"/>
      <c r="G9" s="61" t="n"/>
      <c r="H9" s="61" t="n"/>
      <c r="I9" s="61" t="n"/>
    </row>
    <row r="10" ht="13.5" customHeight="1" s="90">
      <c r="A10" s="62" t="n"/>
      <c r="B10" s="61" t="n"/>
      <c r="C10" s="61" t="n"/>
      <c r="D10" s="61" t="n"/>
      <c r="E10" s="67" t="n"/>
      <c r="F10" s="61" t="n"/>
      <c r="G10" s="61" t="n"/>
      <c r="H10" s="61" t="n"/>
      <c r="I10" s="61" t="n"/>
    </row>
    <row r="11" ht="13.5" customHeight="1" s="90">
      <c r="A11" s="62" t="n"/>
      <c r="B11" s="61" t="n"/>
      <c r="C11" s="61" t="n"/>
      <c r="D11" s="61" t="n"/>
      <c r="E11" s="67" t="n"/>
      <c r="F11" s="61" t="n"/>
      <c r="G11" s="61" t="n"/>
      <c r="H11" s="61" t="n"/>
      <c r="I11" s="61" t="n"/>
    </row>
    <row r="12" ht="13.5" customHeight="1" s="90">
      <c r="A12" s="62" t="n"/>
      <c r="B12" s="61" t="n"/>
      <c r="C12" s="61" t="n"/>
      <c r="D12" s="61" t="n"/>
      <c r="E12" s="67" t="n"/>
      <c r="F12" s="61" t="n"/>
      <c r="G12" s="61" t="n"/>
      <c r="H12" s="61" t="n"/>
      <c r="I12" s="61" t="n"/>
    </row>
    <row r="13" ht="13.5" customHeight="1" s="90">
      <c r="A13" s="62" t="n"/>
      <c r="B13" s="61" t="n"/>
      <c r="C13" s="61" t="n"/>
      <c r="D13" s="61" t="n"/>
      <c r="E13" s="67" t="n"/>
      <c r="F13" s="61" t="n"/>
      <c r="G13" s="61" t="n"/>
      <c r="H13" s="61" t="n"/>
      <c r="I13" s="61" t="n"/>
    </row>
    <row r="14" ht="13.5" customHeight="1" s="90">
      <c r="A14" s="62" t="n"/>
      <c r="B14" s="61" t="n"/>
      <c r="C14" s="61" t="n"/>
      <c r="D14" s="61" t="n"/>
      <c r="E14" s="67" t="n"/>
      <c r="F14" s="61" t="n"/>
      <c r="G14" s="61" t="n"/>
      <c r="H14" s="61" t="n"/>
      <c r="I14" s="61" t="n"/>
    </row>
    <row r="15" ht="13.5" customHeight="1" s="90">
      <c r="A15" s="62" t="n"/>
      <c r="B15" s="61" t="n"/>
      <c r="C15" s="61" t="n"/>
      <c r="D15" s="61" t="n"/>
      <c r="E15" s="67" t="n"/>
      <c r="F15" s="61" t="n"/>
      <c r="G15" s="61" t="n"/>
      <c r="H15" s="61" t="n"/>
      <c r="I15" s="61" t="n"/>
    </row>
    <row r="16" ht="13.5" customHeight="1" s="90">
      <c r="A16" s="62" t="n"/>
      <c r="B16" s="61" t="n"/>
      <c r="C16" s="61" t="n"/>
      <c r="D16" s="61" t="n"/>
      <c r="E16" s="67" t="n"/>
      <c r="F16" s="61" t="n"/>
      <c r="G16" s="61" t="n"/>
      <c r="H16" s="61" t="n"/>
      <c r="I16" s="61" t="n"/>
    </row>
    <row r="17" ht="13.5" customHeight="1" s="90">
      <c r="A17" s="62" t="n"/>
      <c r="B17" s="61" t="n"/>
      <c r="C17" s="61" t="n"/>
      <c r="D17" s="61" t="n"/>
      <c r="E17" s="67" t="n"/>
      <c r="F17" s="61" t="n"/>
      <c r="G17" s="61" t="n"/>
      <c r="H17" s="61" t="n"/>
      <c r="I17" s="61" t="n"/>
    </row>
    <row r="18" ht="13.5" customHeight="1" s="90">
      <c r="A18" s="62" t="n"/>
      <c r="B18" s="61" t="n"/>
      <c r="C18" s="61" t="n"/>
      <c r="D18" s="61" t="n"/>
      <c r="E18" s="67" t="n"/>
      <c r="F18" s="61" t="n"/>
      <c r="G18" s="61" t="n"/>
      <c r="H18" s="61" t="n"/>
      <c r="I18" s="61" t="n"/>
    </row>
    <row r="19" ht="13.5" customHeight="1" s="90">
      <c r="A19" s="62" t="n"/>
      <c r="B19" s="61" t="n"/>
      <c r="C19" s="61" t="n"/>
      <c r="D19" s="61" t="n"/>
      <c r="E19" s="67" t="n"/>
      <c r="F19" s="61" t="n"/>
      <c r="G19" s="61" t="n"/>
      <c r="H19" s="61" t="n"/>
      <c r="I19" s="61" t="n"/>
    </row>
    <row r="20" ht="13.5" customHeight="1" s="90">
      <c r="A20" s="62" t="n"/>
      <c r="B20" s="61" t="n"/>
      <c r="C20" s="61" t="n"/>
      <c r="D20" s="61" t="n"/>
      <c r="E20" s="67" t="n"/>
      <c r="F20" s="61" t="n"/>
      <c r="G20" s="61" t="n"/>
      <c r="H20" s="61" t="n"/>
      <c r="I20" s="61" t="n"/>
    </row>
    <row r="21" ht="13.5" customHeight="1" s="90">
      <c r="A21" s="3" t="n"/>
      <c r="E21" s="7" t="n"/>
    </row>
    <row r="22" ht="13.5" customHeight="1" s="90">
      <c r="A22" s="3" t="n"/>
      <c r="E22" s="7" t="n"/>
    </row>
    <row r="23" ht="13.5" customHeight="1" s="90">
      <c r="A23" s="3" t="n"/>
      <c r="E23" s="7" t="n"/>
    </row>
    <row r="24" ht="13.5" customHeight="1" s="90">
      <c r="A24" s="3" t="n"/>
      <c r="E24" s="7" t="n"/>
    </row>
    <row r="25" ht="13.5" customHeight="1" s="90">
      <c r="A25" s="3" t="n"/>
      <c r="E25" s="7" t="n"/>
    </row>
    <row r="26" ht="13.5" customHeight="1" s="90">
      <c r="A26" s="3" t="n"/>
      <c r="E26" s="7" t="n"/>
    </row>
    <row r="27" ht="13.5" customHeight="1" s="90">
      <c r="A27" s="3" t="n"/>
      <c r="E27" s="7" t="n"/>
    </row>
    <row r="28" ht="13.5" customHeight="1" s="90">
      <c r="A28" s="3" t="n"/>
      <c r="E28" s="7" t="n"/>
    </row>
    <row r="29" ht="13.5" customHeight="1" s="90">
      <c r="A29" s="3" t="n"/>
      <c r="E29" s="7" t="n"/>
    </row>
    <row r="30" ht="13.5" customHeight="1" s="90">
      <c r="A30" s="3" t="n"/>
      <c r="E30" s="7" t="n"/>
    </row>
    <row r="31" ht="13.5" customHeight="1" s="90">
      <c r="A31" s="3" t="n"/>
      <c r="E31" s="7" t="n"/>
    </row>
    <row r="32" ht="13.5" customHeight="1" s="90">
      <c r="A32" s="3" t="n"/>
      <c r="E32" s="7" t="n"/>
    </row>
    <row r="33" ht="13.5" customHeight="1" s="90">
      <c r="A33" s="3" t="n"/>
      <c r="E33" s="7" t="n"/>
    </row>
    <row r="34" ht="13.5" customHeight="1" s="90">
      <c r="A34" s="3" t="n"/>
      <c r="E34" s="7" t="n"/>
    </row>
    <row r="35" ht="13.5" customHeight="1" s="90">
      <c r="A35" s="3" t="n"/>
      <c r="E35" s="7" t="n"/>
    </row>
    <row r="36" ht="13.5" customHeight="1" s="90">
      <c r="A36" s="3" t="n"/>
      <c r="E36" s="7" t="n"/>
    </row>
    <row r="37" ht="13.5" customHeight="1" s="90">
      <c r="A37" s="3" t="n"/>
      <c r="E37" s="7" t="n"/>
    </row>
    <row r="38" ht="13.5" customHeight="1" s="90">
      <c r="A38" s="3" t="n"/>
      <c r="E38" s="7" t="n"/>
    </row>
    <row r="39" ht="13.5" customHeight="1" s="90">
      <c r="A39" s="3" t="n"/>
      <c r="E39" s="7" t="n"/>
    </row>
    <row r="40" ht="13.5" customHeight="1" s="90">
      <c r="A40" s="3" t="n"/>
      <c r="E40" s="7" t="n"/>
    </row>
    <row r="41" ht="13.5" customHeight="1" s="90">
      <c r="A41" s="3" t="n"/>
      <c r="E41" s="7" t="n"/>
    </row>
    <row r="42" ht="13.5" customHeight="1" s="90">
      <c r="A42" s="3" t="n"/>
      <c r="E42" s="7" t="n"/>
    </row>
    <row r="43" ht="13.5" customHeight="1" s="90">
      <c r="A43" s="3" t="n"/>
      <c r="E43" s="7" t="n"/>
    </row>
    <row r="44" ht="13.5" customHeight="1" s="90">
      <c r="A44" s="3" t="n"/>
      <c r="E44" s="7" t="n"/>
    </row>
    <row r="45" ht="13.5" customHeight="1" s="90">
      <c r="A45" s="3" t="n"/>
      <c r="E45" s="7" t="n"/>
    </row>
    <row r="46" ht="13.5" customHeight="1" s="90">
      <c r="A46" s="3" t="n"/>
      <c r="E46" s="7" t="n"/>
    </row>
    <row r="47" ht="13.5" customHeight="1" s="90">
      <c r="A47" s="3" t="n"/>
      <c r="E47" s="7" t="n"/>
    </row>
    <row r="48" ht="13.5" customHeight="1" s="90">
      <c r="A48" s="3" t="n"/>
      <c r="E48" s="7" t="n"/>
    </row>
    <row r="49" ht="13.5" customHeight="1" s="90">
      <c r="A49" s="3" t="n"/>
      <c r="E49" s="7" t="n"/>
    </row>
    <row r="50" ht="13.5" customHeight="1" s="90">
      <c r="A50" s="3" t="n"/>
      <c r="E50" s="7" t="n"/>
    </row>
    <row r="51" ht="13.5" customHeight="1" s="90">
      <c r="A51" s="3" t="n"/>
      <c r="E51" s="7" t="n"/>
    </row>
    <row r="52" ht="13.5" customHeight="1" s="90">
      <c r="A52" s="3" t="n"/>
      <c r="E52" s="7" t="n"/>
    </row>
    <row r="53" ht="13.5" customHeight="1" s="90">
      <c r="A53" s="3" t="n"/>
      <c r="E53" s="7" t="n"/>
    </row>
    <row r="54" ht="13.5" customHeight="1" s="90">
      <c r="A54" s="3" t="n"/>
      <c r="E54" s="7" t="n"/>
    </row>
    <row r="55" ht="13.5" customHeight="1" s="90">
      <c r="A55" s="3" t="n"/>
      <c r="E55" s="7" t="n"/>
    </row>
    <row r="56" ht="13.5" customHeight="1" s="90">
      <c r="A56" s="3" t="n"/>
      <c r="E56" s="7" t="n"/>
    </row>
    <row r="57" ht="13.5" customHeight="1" s="90">
      <c r="A57" s="3" t="n"/>
      <c r="E57" s="7" t="n"/>
    </row>
    <row r="58" ht="13.5" customHeight="1" s="90">
      <c r="A58" s="3" t="n"/>
      <c r="E58" s="7" t="n"/>
    </row>
    <row r="59" ht="13.5" customHeight="1" s="90">
      <c r="A59" s="3" t="n"/>
      <c r="E59" s="7" t="n"/>
    </row>
    <row r="60" ht="13.5" customHeight="1" s="90">
      <c r="A60" s="3" t="n"/>
      <c r="E60" s="7" t="n"/>
    </row>
    <row r="61" ht="13.5" customHeight="1" s="90">
      <c r="A61" s="3" t="n"/>
      <c r="E61" s="7" t="n"/>
    </row>
    <row r="62" ht="13.5" customHeight="1" s="90">
      <c r="A62" s="3" t="n"/>
      <c r="E62" s="7" t="n"/>
    </row>
    <row r="63" ht="13.5" customHeight="1" s="90">
      <c r="A63" s="3" t="n"/>
      <c r="E63" s="7" t="n"/>
    </row>
    <row r="64" ht="13.5" customHeight="1" s="90">
      <c r="A64" s="3" t="n"/>
      <c r="E64" s="7" t="n"/>
    </row>
    <row r="65" ht="13.5" customHeight="1" s="90">
      <c r="A65" s="3" t="n"/>
      <c r="E65" s="7" t="n"/>
    </row>
    <row r="66" ht="13.5" customHeight="1" s="90">
      <c r="A66" s="3" t="n"/>
      <c r="E66" s="7" t="n"/>
    </row>
    <row r="67" ht="13.5" customHeight="1" s="90">
      <c r="A67" s="3" t="n"/>
      <c r="E67" s="7" t="n"/>
    </row>
    <row r="68" ht="13.5" customHeight="1" s="90">
      <c r="A68" s="3" t="n"/>
      <c r="E68" s="7" t="n"/>
    </row>
    <row r="69" ht="13.5" customHeight="1" s="90">
      <c r="A69" s="3" t="n"/>
      <c r="E69" s="7" t="n"/>
    </row>
    <row r="70" ht="13.5" customHeight="1" s="90">
      <c r="A70" s="3" t="n"/>
      <c r="E70" s="7" t="n"/>
    </row>
    <row r="71" ht="13.5" customHeight="1" s="90">
      <c r="A71" s="3" t="n"/>
      <c r="E71" s="7" t="n"/>
    </row>
    <row r="72" ht="13.5" customHeight="1" s="90">
      <c r="A72" s="3" t="n"/>
      <c r="E72" s="7" t="n"/>
    </row>
    <row r="73" ht="13.5" customHeight="1" s="90">
      <c r="A73" s="3" t="n"/>
      <c r="E73" s="7" t="n"/>
    </row>
    <row r="74" ht="13.5" customHeight="1" s="90">
      <c r="A74" s="3" t="n"/>
      <c r="E74" s="7" t="n"/>
    </row>
    <row r="75" ht="13.5" customHeight="1" s="90">
      <c r="A75" s="3" t="n"/>
      <c r="E75" s="7" t="n"/>
    </row>
    <row r="76" ht="13.5" customHeight="1" s="90">
      <c r="A76" s="3" t="n"/>
      <c r="E76" s="7" t="n"/>
    </row>
    <row r="77" ht="13.5" customHeight="1" s="90">
      <c r="A77" s="3" t="n"/>
      <c r="E77" s="7" t="n"/>
    </row>
    <row r="78" ht="13.5" customHeight="1" s="90">
      <c r="A78" s="3" t="n"/>
      <c r="E78" s="7" t="n"/>
    </row>
    <row r="79" ht="13.5" customHeight="1" s="90">
      <c r="A79" s="3" t="n"/>
      <c r="E79" s="7" t="n"/>
    </row>
    <row r="80" ht="13.5" customHeight="1" s="90">
      <c r="A80" s="3" t="n"/>
      <c r="E80" s="7" t="n"/>
    </row>
    <row r="81" ht="13.5" customHeight="1" s="90">
      <c r="A81" s="3" t="n"/>
      <c r="E81" s="7" t="n"/>
    </row>
    <row r="82" ht="13.5" customHeight="1" s="90">
      <c r="A82" s="3" t="n"/>
      <c r="E82" s="7" t="n"/>
    </row>
    <row r="83" ht="13.5" customHeight="1" s="90">
      <c r="A83" s="3" t="n"/>
      <c r="E83" s="7" t="n"/>
    </row>
    <row r="84" ht="13.5" customHeight="1" s="90">
      <c r="A84" s="3" t="n"/>
      <c r="E84" s="7" t="n"/>
    </row>
    <row r="85" ht="13.5" customHeight="1" s="90">
      <c r="A85" s="3" t="n"/>
      <c r="E85" s="7" t="n"/>
    </row>
    <row r="86" ht="13.5" customHeight="1" s="90">
      <c r="A86" s="3" t="n"/>
      <c r="E86" s="7" t="n"/>
    </row>
    <row r="87" ht="13.5" customHeight="1" s="90">
      <c r="A87" s="3" t="n"/>
      <c r="E87" s="7" t="n"/>
    </row>
    <row r="88" ht="13.5" customHeight="1" s="90">
      <c r="A88" s="3" t="n"/>
      <c r="E88" s="7" t="n"/>
    </row>
    <row r="89" ht="13.5" customHeight="1" s="90">
      <c r="A89" s="3" t="n"/>
      <c r="E89" s="7" t="n"/>
    </row>
    <row r="90" ht="13.5" customHeight="1" s="90">
      <c r="A90" s="3" t="n"/>
      <c r="E90" s="7" t="n"/>
    </row>
    <row r="91" ht="13.5" customHeight="1" s="90">
      <c r="A91" s="3" t="n"/>
      <c r="E91" s="7" t="n"/>
    </row>
    <row r="92" ht="13.5" customHeight="1" s="90">
      <c r="A92" s="3" t="n"/>
      <c r="E92" s="7" t="n"/>
    </row>
    <row r="93" ht="13.5" customHeight="1" s="90">
      <c r="A93" s="3" t="n"/>
      <c r="E93" s="7" t="n"/>
    </row>
    <row r="94" ht="13.5" customHeight="1" s="90">
      <c r="A94" s="3" t="n"/>
      <c r="E94" s="7" t="n"/>
    </row>
    <row r="95" ht="13.5" customHeight="1" s="90">
      <c r="A95" s="3" t="n"/>
      <c r="E95" s="7" t="n"/>
    </row>
    <row r="96" ht="13.5" customHeight="1" s="90">
      <c r="A96" s="3" t="n"/>
      <c r="E96" s="7" t="n"/>
    </row>
    <row r="97" ht="13.5" customHeight="1" s="90">
      <c r="A97" s="3" t="n"/>
      <c r="E97" s="7" t="n"/>
    </row>
    <row r="98" ht="13.5" customHeight="1" s="90">
      <c r="A98" s="3" t="n"/>
      <c r="E98" s="7" t="n"/>
    </row>
    <row r="99" ht="13.5" customHeight="1" s="90">
      <c r="A99" s="3" t="n"/>
      <c r="E99" s="7" t="n"/>
    </row>
    <row r="100" ht="13.5" customHeight="1" s="90">
      <c r="A100" s="3" t="n"/>
      <c r="E100" s="7" t="n"/>
    </row>
    <row r="101" ht="13.5" customHeight="1" s="90">
      <c r="A101" s="3" t="n"/>
      <c r="E101" s="7" t="n"/>
    </row>
    <row r="102" ht="13.5" customHeight="1" s="90">
      <c r="A102" s="3" t="n"/>
      <c r="E102" s="7" t="n"/>
    </row>
    <row r="103" ht="13.5" customHeight="1" s="90">
      <c r="A103" s="3" t="n"/>
      <c r="E103" s="7" t="n"/>
    </row>
    <row r="104" ht="13.5" customHeight="1" s="90">
      <c r="A104" s="3" t="n"/>
      <c r="E104" s="7" t="n"/>
    </row>
    <row r="105" ht="13.5" customHeight="1" s="90">
      <c r="A105" s="3" t="n"/>
      <c r="E105" s="7" t="n"/>
    </row>
    <row r="106" ht="13.5" customHeight="1" s="90">
      <c r="A106" s="3" t="n"/>
      <c r="E106" s="7" t="n"/>
    </row>
    <row r="107" ht="13.5" customHeight="1" s="90">
      <c r="A107" s="3" t="n"/>
      <c r="E107" s="7" t="n"/>
    </row>
    <row r="108" ht="13.5" customHeight="1" s="90">
      <c r="A108" s="3" t="n"/>
      <c r="E108" s="7" t="n"/>
    </row>
    <row r="109" ht="13.5" customHeight="1" s="90">
      <c r="A109" s="3" t="n"/>
      <c r="E109" s="7" t="n"/>
    </row>
    <row r="110" ht="13.5" customHeight="1" s="90">
      <c r="A110" s="3" t="n"/>
      <c r="E110" s="7" t="n"/>
    </row>
    <row r="111" ht="13.5" customHeight="1" s="90">
      <c r="A111" s="3" t="n"/>
      <c r="E111" s="7" t="n"/>
    </row>
    <row r="112" ht="13.5" customHeight="1" s="90">
      <c r="A112" s="3" t="n"/>
      <c r="E112" s="7" t="n"/>
    </row>
    <row r="113" ht="13.5" customHeight="1" s="90">
      <c r="A113" s="3" t="n"/>
      <c r="E113" s="7" t="n"/>
    </row>
    <row r="114" ht="13.5" customHeight="1" s="90">
      <c r="A114" s="3" t="n"/>
      <c r="E114" s="7" t="n"/>
    </row>
    <row r="115" ht="13.5" customHeight="1" s="90">
      <c r="A115" s="3" t="n"/>
      <c r="E115" s="7" t="n"/>
    </row>
    <row r="116" ht="13.5" customHeight="1" s="90">
      <c r="A116" s="3" t="n"/>
      <c r="E116" s="7" t="n"/>
    </row>
    <row r="117" ht="13.5" customHeight="1" s="90">
      <c r="A117" s="3" t="n"/>
      <c r="E117" s="7" t="n"/>
    </row>
    <row r="118" ht="13.5" customHeight="1" s="90">
      <c r="A118" s="3" t="n"/>
      <c r="E118" s="7" t="n"/>
    </row>
    <row r="119" ht="13.5" customHeight="1" s="90">
      <c r="A119" s="3" t="n"/>
      <c r="E119" s="7" t="n"/>
    </row>
    <row r="120" ht="13.5" customHeight="1" s="90">
      <c r="A120" s="3" t="n"/>
      <c r="E120" s="7" t="n"/>
    </row>
    <row r="121" ht="13.5" customHeight="1" s="90">
      <c r="A121" s="3" t="n"/>
      <c r="E121" s="7" t="n"/>
    </row>
    <row r="122" ht="13.5" customHeight="1" s="90">
      <c r="A122" s="3" t="n"/>
      <c r="E122" s="7" t="n"/>
    </row>
    <row r="123" ht="13.5" customHeight="1" s="90">
      <c r="A123" s="3" t="n"/>
      <c r="E123" s="7" t="n"/>
    </row>
    <row r="124" ht="13.5" customHeight="1" s="90">
      <c r="A124" s="3" t="n"/>
      <c r="E124" s="7" t="n"/>
    </row>
    <row r="125" ht="13.5" customHeight="1" s="90">
      <c r="A125" s="3" t="n"/>
      <c r="E125" s="7" t="n"/>
    </row>
    <row r="126" ht="13.5" customHeight="1" s="90">
      <c r="A126" s="3" t="n"/>
      <c r="E126" s="7" t="n"/>
    </row>
    <row r="127" ht="13.5" customHeight="1" s="90">
      <c r="A127" s="3" t="n"/>
      <c r="E127" s="7" t="n"/>
    </row>
    <row r="128" ht="13.5" customHeight="1" s="90">
      <c r="A128" s="3" t="n"/>
      <c r="E128" s="7" t="n"/>
    </row>
    <row r="129" ht="13.5" customHeight="1" s="90">
      <c r="A129" s="3" t="n"/>
      <c r="E129" s="7" t="n"/>
    </row>
    <row r="130" ht="13.5" customHeight="1" s="90">
      <c r="A130" s="3" t="n"/>
      <c r="E130" s="7" t="n"/>
    </row>
    <row r="131" ht="13.5" customHeight="1" s="90">
      <c r="A131" s="3" t="n"/>
      <c r="E131" s="7" t="n"/>
    </row>
    <row r="132" ht="13.5" customHeight="1" s="90">
      <c r="A132" s="3" t="n"/>
      <c r="E132" s="7" t="n"/>
    </row>
    <row r="133" ht="13.5" customHeight="1" s="90">
      <c r="A133" s="3" t="n"/>
      <c r="E133" s="7" t="n"/>
    </row>
    <row r="134" ht="13.5" customHeight="1" s="90">
      <c r="A134" s="3" t="n"/>
      <c r="E134" s="7" t="n"/>
    </row>
    <row r="135" ht="13.5" customHeight="1" s="90">
      <c r="A135" s="3" t="n"/>
      <c r="E135" s="7" t="n"/>
    </row>
    <row r="136" ht="13.5" customHeight="1" s="90">
      <c r="A136" s="3" t="n"/>
      <c r="E136" s="7" t="n"/>
    </row>
    <row r="137" ht="13.5" customHeight="1" s="90">
      <c r="A137" s="3" t="n"/>
      <c r="E137" s="7" t="n"/>
    </row>
    <row r="138" ht="13.5" customHeight="1" s="90">
      <c r="A138" s="3" t="n"/>
      <c r="E138" s="7" t="n"/>
    </row>
    <row r="139" ht="13.5" customHeight="1" s="90">
      <c r="A139" s="3" t="n"/>
      <c r="E139" s="7" t="n"/>
    </row>
    <row r="140" ht="13.5" customHeight="1" s="90">
      <c r="A140" s="3" t="n"/>
      <c r="E140" s="7" t="n"/>
    </row>
    <row r="141" ht="13.5" customHeight="1" s="90">
      <c r="A141" s="3" t="n"/>
      <c r="E141" s="7" t="n"/>
    </row>
    <row r="142" ht="13.5" customHeight="1" s="90">
      <c r="A142" s="3" t="n"/>
      <c r="E142" s="7" t="n"/>
    </row>
    <row r="143" ht="13.5" customHeight="1" s="90">
      <c r="A143" s="3" t="n"/>
      <c r="E143" s="7" t="n"/>
    </row>
    <row r="144" ht="13.5" customHeight="1" s="90">
      <c r="A144" s="3" t="n"/>
      <c r="E144" s="7" t="n"/>
    </row>
    <row r="145" ht="13.5" customHeight="1" s="90">
      <c r="A145" s="3" t="n"/>
      <c r="E145" s="7" t="n"/>
    </row>
    <row r="146" ht="13.5" customHeight="1" s="90">
      <c r="A146" s="3" t="n"/>
      <c r="E146" s="7" t="n"/>
    </row>
    <row r="147" ht="13.5" customHeight="1" s="90">
      <c r="A147" s="3" t="n"/>
      <c r="E147" s="7" t="n"/>
    </row>
    <row r="148" ht="13.5" customHeight="1" s="90">
      <c r="A148" s="3" t="n"/>
      <c r="E148" s="7" t="n"/>
    </row>
    <row r="149" ht="13.5" customHeight="1" s="90">
      <c r="A149" s="3" t="n"/>
      <c r="E149" s="7" t="n"/>
    </row>
    <row r="150" ht="13.5" customHeight="1" s="90">
      <c r="A150" s="3" t="n"/>
      <c r="E150" s="7" t="n"/>
    </row>
    <row r="151" ht="13.5" customHeight="1" s="90">
      <c r="A151" s="3" t="n"/>
      <c r="E151" s="7" t="n"/>
    </row>
    <row r="152" ht="13.5" customHeight="1" s="90">
      <c r="A152" s="3" t="n"/>
      <c r="E152" s="7" t="n"/>
    </row>
    <row r="153" ht="13.5" customHeight="1" s="90">
      <c r="A153" s="3" t="n"/>
      <c r="E153" s="7" t="n"/>
    </row>
    <row r="154" ht="13.5" customHeight="1" s="90">
      <c r="A154" s="3" t="n"/>
      <c r="E154" s="7" t="n"/>
    </row>
    <row r="155" ht="13.5" customHeight="1" s="90">
      <c r="A155" s="3" t="n"/>
      <c r="E155" s="7" t="n"/>
    </row>
    <row r="156" ht="13.5" customHeight="1" s="90">
      <c r="A156" s="3" t="n"/>
      <c r="E156" s="7" t="n"/>
    </row>
    <row r="157" ht="13.5" customHeight="1" s="90">
      <c r="A157" s="3" t="n"/>
      <c r="E157" s="7" t="n"/>
    </row>
    <row r="158" ht="13.5" customHeight="1" s="90">
      <c r="A158" s="3" t="n"/>
      <c r="E158" s="7" t="n"/>
    </row>
    <row r="159" ht="13.5" customHeight="1" s="90">
      <c r="A159" s="3" t="n"/>
      <c r="E159" s="7" t="n"/>
    </row>
    <row r="160" ht="13.5" customHeight="1" s="90">
      <c r="A160" s="3" t="n"/>
      <c r="E160" s="7" t="n"/>
    </row>
    <row r="161" ht="13.5" customHeight="1" s="90">
      <c r="A161" s="3" t="n"/>
      <c r="E161" s="7" t="n"/>
    </row>
    <row r="162" ht="13.5" customHeight="1" s="90">
      <c r="A162" s="3" t="n"/>
      <c r="E162" s="7" t="n"/>
    </row>
    <row r="163" ht="13.5" customHeight="1" s="90">
      <c r="A163" s="3" t="n"/>
      <c r="E163" s="7" t="n"/>
    </row>
    <row r="164" ht="13.5" customHeight="1" s="90">
      <c r="A164" s="3" t="n"/>
      <c r="E164" s="7" t="n"/>
    </row>
    <row r="165" ht="13.5" customHeight="1" s="90">
      <c r="A165" s="3" t="n"/>
      <c r="E165" s="7" t="n"/>
    </row>
    <row r="166" ht="13.5" customHeight="1" s="90">
      <c r="A166" s="3" t="n"/>
      <c r="E166" s="7" t="n"/>
    </row>
    <row r="167" ht="13.5" customHeight="1" s="90">
      <c r="A167" s="3" t="n"/>
      <c r="E167" s="7" t="n"/>
    </row>
    <row r="168" ht="13.5" customHeight="1" s="90">
      <c r="A168" s="3" t="n"/>
      <c r="E168" s="7" t="n"/>
    </row>
    <row r="169" ht="13.5" customHeight="1" s="90">
      <c r="A169" s="3" t="n"/>
      <c r="E169" s="7" t="n"/>
    </row>
    <row r="170" ht="13.5" customHeight="1" s="90">
      <c r="A170" s="3" t="n"/>
      <c r="E170" s="7" t="n"/>
    </row>
    <row r="171" ht="13.5" customHeight="1" s="90">
      <c r="A171" s="3" t="n"/>
      <c r="E171" s="7" t="n"/>
    </row>
    <row r="172" ht="13.5" customHeight="1" s="90">
      <c r="A172" s="3" t="n"/>
      <c r="E172" s="7" t="n"/>
    </row>
    <row r="173" ht="13.5" customHeight="1" s="90">
      <c r="A173" s="3" t="n"/>
      <c r="E173" s="7" t="n"/>
    </row>
    <row r="174" ht="13.5" customHeight="1" s="90">
      <c r="A174" s="3" t="n"/>
      <c r="E174" s="7" t="n"/>
    </row>
    <row r="175" ht="13.5" customHeight="1" s="90">
      <c r="A175" s="3" t="n"/>
      <c r="E175" s="7" t="n"/>
    </row>
    <row r="176" ht="13.5" customHeight="1" s="90">
      <c r="A176" s="3" t="n"/>
      <c r="E176" s="7" t="n"/>
    </row>
    <row r="177" ht="13.5" customHeight="1" s="90">
      <c r="A177" s="3" t="n"/>
      <c r="E177" s="7" t="n"/>
    </row>
    <row r="178" ht="13.5" customHeight="1" s="90">
      <c r="A178" s="3" t="n"/>
      <c r="E178" s="7" t="n"/>
    </row>
    <row r="179" ht="13.5" customHeight="1" s="90">
      <c r="A179" s="3" t="n"/>
      <c r="E179" s="7" t="n"/>
    </row>
    <row r="180" ht="13.5" customHeight="1" s="90">
      <c r="A180" s="3" t="n"/>
      <c r="E180" s="7" t="n"/>
    </row>
    <row r="181" ht="13.5" customHeight="1" s="90">
      <c r="A181" s="3" t="n"/>
      <c r="E181" s="7" t="n"/>
    </row>
    <row r="182" ht="13.5" customHeight="1" s="90">
      <c r="A182" s="3" t="n"/>
      <c r="E182" s="7" t="n"/>
    </row>
    <row r="183" ht="13.5" customHeight="1" s="90">
      <c r="A183" s="3" t="n"/>
      <c r="E183" s="7" t="n"/>
    </row>
    <row r="184" ht="13.5" customHeight="1" s="90">
      <c r="A184" s="3" t="n"/>
      <c r="E184" s="7" t="n"/>
    </row>
    <row r="185" ht="13.5" customHeight="1" s="90">
      <c r="A185" s="3" t="n"/>
      <c r="E185" s="7" t="n"/>
    </row>
    <row r="186" ht="13.5" customHeight="1" s="90">
      <c r="A186" s="3" t="n"/>
      <c r="E186" s="7" t="n"/>
    </row>
    <row r="187" ht="13.5" customHeight="1" s="90">
      <c r="A187" s="3" t="n"/>
      <c r="E187" s="7" t="n"/>
    </row>
    <row r="188" ht="13.5" customHeight="1" s="90">
      <c r="A188" s="3" t="n"/>
      <c r="E188" s="7" t="n"/>
    </row>
    <row r="189" ht="13.5" customHeight="1" s="90">
      <c r="A189" s="3" t="n"/>
      <c r="E189" s="7" t="n"/>
    </row>
    <row r="190" ht="13.5" customHeight="1" s="90">
      <c r="A190" s="3" t="n"/>
      <c r="E190" s="7" t="n"/>
    </row>
    <row r="191" ht="13.5" customHeight="1" s="90">
      <c r="A191" s="3" t="n"/>
      <c r="E191" s="7" t="n"/>
    </row>
    <row r="192" ht="13.5" customHeight="1" s="90">
      <c r="A192" s="3" t="n"/>
      <c r="E192" s="7" t="n"/>
    </row>
    <row r="193" ht="13.5" customHeight="1" s="90">
      <c r="A193" s="3" t="n"/>
      <c r="E193" s="7" t="n"/>
    </row>
    <row r="194" ht="13.5" customHeight="1" s="90">
      <c r="A194" s="3" t="n"/>
      <c r="E194" s="7" t="n"/>
    </row>
    <row r="195" ht="13.5" customHeight="1" s="90">
      <c r="A195" s="3" t="n"/>
      <c r="E195" s="7" t="n"/>
    </row>
    <row r="196" ht="13.5" customHeight="1" s="90">
      <c r="A196" s="3" t="n"/>
      <c r="E196" s="7" t="n"/>
    </row>
    <row r="197" ht="13.5" customHeight="1" s="90">
      <c r="A197" s="3" t="n"/>
      <c r="E197" s="7" t="n"/>
    </row>
    <row r="198" ht="13.5" customHeight="1" s="90">
      <c r="A198" s="3" t="n"/>
      <c r="E198" s="7" t="n"/>
    </row>
    <row r="199" ht="13.5" customHeight="1" s="90">
      <c r="A199" s="3" t="n"/>
      <c r="E199" s="7" t="n"/>
    </row>
    <row r="200" ht="13.5" customHeight="1" s="90">
      <c r="A200" s="3" t="n"/>
      <c r="E200" s="7" t="n"/>
    </row>
    <row r="201" ht="13.5" customHeight="1" s="90">
      <c r="A201" s="3" t="n"/>
      <c r="E201" s="7" t="n"/>
    </row>
    <row r="202" ht="13.5" customHeight="1" s="90">
      <c r="A202" s="3" t="n"/>
      <c r="E202" s="7" t="n"/>
    </row>
    <row r="203" ht="13.5" customHeight="1" s="90">
      <c r="A203" s="3" t="n"/>
      <c r="E203" s="7" t="n"/>
    </row>
    <row r="204" ht="13.5" customHeight="1" s="90">
      <c r="A204" s="3" t="n"/>
      <c r="E204" s="7" t="n"/>
    </row>
    <row r="205" ht="13.5" customHeight="1" s="90">
      <c r="A205" s="3" t="n"/>
      <c r="E205" s="7" t="n"/>
    </row>
    <row r="206" ht="13.5" customHeight="1" s="90">
      <c r="A206" s="3" t="n"/>
      <c r="E206" s="7" t="n"/>
    </row>
    <row r="207" ht="13.5" customHeight="1" s="90">
      <c r="A207" s="3" t="n"/>
      <c r="E207" s="7" t="n"/>
    </row>
    <row r="208" ht="13.5" customHeight="1" s="90">
      <c r="A208" s="3" t="n"/>
      <c r="E208" s="7" t="n"/>
    </row>
    <row r="209" ht="13.5" customHeight="1" s="90">
      <c r="A209" s="3" t="n"/>
      <c r="E209" s="7" t="n"/>
    </row>
    <row r="210" ht="13.5" customHeight="1" s="90">
      <c r="A210" s="3" t="n"/>
      <c r="E210" s="7" t="n"/>
    </row>
    <row r="211" ht="13.5" customHeight="1" s="90">
      <c r="A211" s="3" t="n"/>
      <c r="E211" s="7" t="n"/>
    </row>
    <row r="212" ht="13.5" customHeight="1" s="90">
      <c r="A212" s="3" t="n"/>
      <c r="E212" s="7" t="n"/>
    </row>
    <row r="213" ht="13.5" customHeight="1" s="90">
      <c r="A213" s="3" t="n"/>
      <c r="E213" s="7" t="n"/>
    </row>
    <row r="214" ht="13.5" customHeight="1" s="90">
      <c r="A214" s="3" t="n"/>
      <c r="E214" s="7" t="n"/>
    </row>
    <row r="215" ht="13.5" customHeight="1" s="90">
      <c r="A215" s="3" t="n"/>
      <c r="E215" s="7" t="n"/>
    </row>
    <row r="216" ht="13.5" customHeight="1" s="90">
      <c r="A216" s="3" t="n"/>
      <c r="E216" s="7" t="n"/>
    </row>
    <row r="217" ht="13.5" customHeight="1" s="90">
      <c r="A217" s="3" t="n"/>
      <c r="E217" s="7" t="n"/>
    </row>
    <row r="218" ht="13.5" customHeight="1" s="90">
      <c r="A218" s="3" t="n"/>
      <c r="E218" s="7" t="n"/>
    </row>
    <row r="219" ht="13.5" customHeight="1" s="90">
      <c r="A219" s="3" t="n"/>
      <c r="E219" s="7" t="n"/>
    </row>
    <row r="220" ht="13.5" customHeight="1" s="90">
      <c r="A220" s="3" t="n"/>
      <c r="E220" s="7" t="n"/>
    </row>
    <row r="221" ht="13.5" customHeight="1" s="90">
      <c r="A221" s="3" t="n"/>
      <c r="E221" s="7" t="n"/>
    </row>
    <row r="222" ht="13.5" customHeight="1" s="90">
      <c r="A222" s="3" t="n"/>
      <c r="E222" s="7" t="n"/>
    </row>
    <row r="223" ht="13.5" customHeight="1" s="90">
      <c r="A223" s="3" t="n"/>
      <c r="E223" s="7" t="n"/>
    </row>
    <row r="224" ht="13.5" customHeight="1" s="90">
      <c r="A224" s="3" t="n"/>
      <c r="E224" s="7" t="n"/>
    </row>
    <row r="225" ht="13.5" customHeight="1" s="90">
      <c r="A225" s="3" t="n"/>
      <c r="E225" s="7" t="n"/>
    </row>
    <row r="226" ht="13.5" customHeight="1" s="90">
      <c r="A226" s="3" t="n"/>
      <c r="E226" s="7" t="n"/>
    </row>
    <row r="227" ht="13.5" customHeight="1" s="90">
      <c r="A227" s="3" t="n"/>
      <c r="E227" s="7" t="n"/>
    </row>
    <row r="228" ht="13.5" customHeight="1" s="90">
      <c r="A228" s="3" t="n"/>
      <c r="E228" s="7" t="n"/>
    </row>
    <row r="229" ht="13.5" customHeight="1" s="90">
      <c r="A229" s="3" t="n"/>
      <c r="E229" s="7" t="n"/>
    </row>
    <row r="230" ht="13.5" customHeight="1" s="90">
      <c r="A230" s="3" t="n"/>
      <c r="E230" s="7" t="n"/>
    </row>
    <row r="231" ht="13.5" customHeight="1" s="90">
      <c r="A231" s="3" t="n"/>
      <c r="E231" s="7" t="n"/>
    </row>
    <row r="232" ht="13.5" customHeight="1" s="90">
      <c r="A232" s="3" t="n"/>
      <c r="E232" s="7" t="n"/>
    </row>
    <row r="233" ht="13.5" customHeight="1" s="90">
      <c r="A233" s="3" t="n"/>
      <c r="E233" s="7" t="n"/>
    </row>
    <row r="234" ht="13.5" customHeight="1" s="90">
      <c r="A234" s="3" t="n"/>
      <c r="E234" s="7" t="n"/>
    </row>
    <row r="235" ht="13.5" customHeight="1" s="90">
      <c r="A235" s="3" t="n"/>
      <c r="E235" s="7" t="n"/>
    </row>
    <row r="236" ht="13.5" customHeight="1" s="90">
      <c r="A236" s="3" t="n"/>
      <c r="E236" s="7" t="n"/>
    </row>
    <row r="237" ht="13.5" customHeight="1" s="90">
      <c r="A237" s="3" t="n"/>
      <c r="E237" s="7" t="n"/>
    </row>
    <row r="238" ht="13.5" customHeight="1" s="90">
      <c r="A238" s="3" t="n"/>
      <c r="E238" s="7" t="n"/>
    </row>
    <row r="239" ht="13.5" customHeight="1" s="90">
      <c r="A239" s="3" t="n"/>
      <c r="E239" s="7" t="n"/>
    </row>
    <row r="240" ht="13.5" customHeight="1" s="90">
      <c r="A240" s="3" t="n"/>
      <c r="E240" s="7" t="n"/>
    </row>
    <row r="241" ht="13.5" customHeight="1" s="90">
      <c r="A241" s="3" t="n"/>
      <c r="E241" s="7" t="n"/>
    </row>
    <row r="242" ht="13.5" customHeight="1" s="90">
      <c r="A242" s="3" t="n"/>
      <c r="E242" s="7" t="n"/>
    </row>
    <row r="243" ht="13.5" customHeight="1" s="90">
      <c r="A243" s="3" t="n"/>
      <c r="E243" s="7" t="n"/>
    </row>
    <row r="244" ht="13.5" customHeight="1" s="90">
      <c r="A244" s="3" t="n"/>
      <c r="E244" s="7" t="n"/>
    </row>
    <row r="245" ht="13.5" customHeight="1" s="90">
      <c r="A245" s="3" t="n"/>
      <c r="E245" s="7" t="n"/>
    </row>
    <row r="246" ht="13.5" customHeight="1" s="90">
      <c r="A246" s="3" t="n"/>
      <c r="E246" s="7" t="n"/>
    </row>
    <row r="247" ht="13.5" customHeight="1" s="90">
      <c r="A247" s="3" t="n"/>
      <c r="E247" s="7" t="n"/>
    </row>
    <row r="248" ht="13.5" customHeight="1" s="90">
      <c r="A248" s="3" t="n"/>
      <c r="E248" s="7" t="n"/>
    </row>
    <row r="249" ht="13.5" customHeight="1" s="90">
      <c r="A249" s="3" t="n"/>
      <c r="E249" s="7" t="n"/>
    </row>
    <row r="250" ht="13.5" customHeight="1" s="90">
      <c r="A250" s="3" t="n"/>
      <c r="E250" s="7" t="n"/>
    </row>
    <row r="251" ht="13.5" customHeight="1" s="90">
      <c r="A251" s="3" t="n"/>
      <c r="E251" s="7" t="n"/>
    </row>
    <row r="252" ht="13.5" customHeight="1" s="90">
      <c r="A252" s="3" t="n"/>
      <c r="E252" s="7" t="n"/>
    </row>
    <row r="253" ht="13.5" customHeight="1" s="90">
      <c r="A253" s="3" t="n"/>
      <c r="E253" s="7" t="n"/>
    </row>
    <row r="254" ht="13.5" customHeight="1" s="90">
      <c r="A254" s="3" t="n"/>
      <c r="E254" s="7" t="n"/>
    </row>
    <row r="255" ht="13.5" customHeight="1" s="90">
      <c r="A255" s="3" t="n"/>
      <c r="E255" s="7" t="n"/>
    </row>
    <row r="256" ht="13.5" customHeight="1" s="90">
      <c r="A256" s="3" t="n"/>
      <c r="E256" s="7" t="n"/>
    </row>
    <row r="257" ht="13.5" customHeight="1" s="90">
      <c r="A257" s="3" t="n"/>
      <c r="E257" s="7" t="n"/>
    </row>
    <row r="258" ht="13.5" customHeight="1" s="90">
      <c r="A258" s="3" t="n"/>
      <c r="E258" s="7" t="n"/>
    </row>
    <row r="259" ht="13.5" customHeight="1" s="90">
      <c r="A259" s="3" t="n"/>
      <c r="E259" s="7" t="n"/>
    </row>
    <row r="260" ht="13.5" customHeight="1" s="90">
      <c r="A260" s="3" t="n"/>
      <c r="E260" s="7" t="n"/>
    </row>
    <row r="261" ht="13.5" customHeight="1" s="90">
      <c r="A261" s="3" t="n"/>
      <c r="E261" s="7" t="n"/>
    </row>
    <row r="262" ht="13.5" customHeight="1" s="90">
      <c r="A262" s="3" t="n"/>
      <c r="E262" s="7" t="n"/>
    </row>
    <row r="263" ht="13.5" customHeight="1" s="90">
      <c r="A263" s="3" t="n"/>
      <c r="E263" s="7" t="n"/>
    </row>
    <row r="264" ht="13.5" customHeight="1" s="90">
      <c r="A264" s="3" t="n"/>
      <c r="E264" s="7" t="n"/>
    </row>
    <row r="265" ht="13.5" customHeight="1" s="90">
      <c r="A265" s="3" t="n"/>
      <c r="E265" s="7" t="n"/>
    </row>
    <row r="266" ht="13.5" customHeight="1" s="90">
      <c r="A266" s="3" t="n"/>
      <c r="E266" s="7" t="n"/>
    </row>
    <row r="267" ht="13.5" customHeight="1" s="90">
      <c r="A267" s="3" t="n"/>
      <c r="E267" s="7" t="n"/>
    </row>
    <row r="268" ht="13.5" customHeight="1" s="90">
      <c r="A268" s="3" t="n"/>
      <c r="E268" s="7" t="n"/>
    </row>
    <row r="269" ht="13.5" customHeight="1" s="90">
      <c r="A269" s="3" t="n"/>
      <c r="E269" s="7" t="n"/>
    </row>
    <row r="270" ht="13.5" customHeight="1" s="90">
      <c r="A270" s="3" t="n"/>
      <c r="E270" s="7" t="n"/>
    </row>
    <row r="271" ht="13.5" customHeight="1" s="90">
      <c r="A271" s="3" t="n"/>
      <c r="E271" s="7" t="n"/>
    </row>
    <row r="272" ht="13.5" customHeight="1" s="90">
      <c r="A272" s="3" t="n"/>
      <c r="E272" s="7" t="n"/>
    </row>
    <row r="273" ht="13.5" customHeight="1" s="90">
      <c r="A273" s="3" t="n"/>
      <c r="E273" s="7" t="n"/>
    </row>
    <row r="274" ht="13.5" customHeight="1" s="90">
      <c r="A274" s="3" t="n"/>
      <c r="E274" s="7" t="n"/>
    </row>
    <row r="275" ht="13.5" customHeight="1" s="90">
      <c r="A275" s="3" t="n"/>
      <c r="E275" s="7" t="n"/>
    </row>
    <row r="276" ht="13.5" customHeight="1" s="90">
      <c r="A276" s="3" t="n"/>
      <c r="E276" s="7" t="n"/>
    </row>
    <row r="277" ht="13.5" customHeight="1" s="90">
      <c r="A277" s="3" t="n"/>
      <c r="E277" s="7" t="n"/>
    </row>
    <row r="278" ht="13.5" customHeight="1" s="90">
      <c r="A278" s="3" t="n"/>
      <c r="E278" s="7" t="n"/>
    </row>
    <row r="279" ht="13.5" customHeight="1" s="90">
      <c r="A279" s="3" t="n"/>
      <c r="E279" s="7" t="n"/>
    </row>
    <row r="280" ht="13.5" customHeight="1" s="90">
      <c r="A280" s="3" t="n"/>
      <c r="E280" s="7" t="n"/>
    </row>
    <row r="281" ht="13.5" customHeight="1" s="90">
      <c r="A281" s="3" t="n"/>
      <c r="E281" s="7" t="n"/>
    </row>
    <row r="282" ht="13.5" customHeight="1" s="90">
      <c r="A282" s="3" t="n"/>
      <c r="E282" s="7" t="n"/>
    </row>
    <row r="283" ht="13.5" customHeight="1" s="90">
      <c r="A283" s="3" t="n"/>
      <c r="E283" s="7" t="n"/>
    </row>
    <row r="284" ht="13.5" customHeight="1" s="90">
      <c r="A284" s="3" t="n"/>
      <c r="E284" s="7" t="n"/>
    </row>
    <row r="285" ht="13.5" customHeight="1" s="90">
      <c r="A285" s="3" t="n"/>
      <c r="E285" s="7" t="n"/>
    </row>
    <row r="286" ht="13.5" customHeight="1" s="90">
      <c r="A286" s="3" t="n"/>
      <c r="E286" s="7" t="n"/>
    </row>
    <row r="287" ht="13.5" customHeight="1" s="90">
      <c r="A287" s="3" t="n"/>
      <c r="E287" s="7" t="n"/>
    </row>
    <row r="288" ht="13.5" customHeight="1" s="90">
      <c r="A288" s="3" t="n"/>
      <c r="E288" s="7" t="n"/>
    </row>
    <row r="289" ht="13.5" customHeight="1" s="90">
      <c r="A289" s="3" t="n"/>
      <c r="E289" s="7" t="n"/>
    </row>
    <row r="290" ht="13.5" customHeight="1" s="90">
      <c r="A290" s="3" t="n"/>
      <c r="E290" s="7" t="n"/>
    </row>
    <row r="291" ht="13.5" customHeight="1" s="90">
      <c r="A291" s="3" t="n"/>
      <c r="E291" s="7" t="n"/>
    </row>
    <row r="292" ht="13.5" customHeight="1" s="90">
      <c r="A292" s="3" t="n"/>
      <c r="E292" s="7" t="n"/>
    </row>
    <row r="293" ht="13.5" customHeight="1" s="90">
      <c r="A293" s="3" t="n"/>
      <c r="E293" s="7" t="n"/>
    </row>
    <row r="294" ht="13.5" customHeight="1" s="90">
      <c r="A294" s="3" t="n"/>
      <c r="E294" s="7" t="n"/>
    </row>
    <row r="295" ht="13.5" customHeight="1" s="90">
      <c r="A295" s="3" t="n"/>
      <c r="E295" s="7" t="n"/>
    </row>
    <row r="296" ht="13.5" customHeight="1" s="90">
      <c r="A296" s="3" t="n"/>
      <c r="E296" s="7" t="n"/>
    </row>
    <row r="297" ht="13.5" customHeight="1" s="90">
      <c r="A297" s="3" t="n"/>
      <c r="E297" s="7" t="n"/>
    </row>
    <row r="298" ht="13.5" customHeight="1" s="90">
      <c r="A298" s="3" t="n"/>
      <c r="E298" s="7" t="n"/>
    </row>
    <row r="299" ht="13.5" customHeight="1" s="90">
      <c r="A299" s="3" t="n"/>
      <c r="E299" s="7" t="n"/>
    </row>
    <row r="300" ht="13.5" customHeight="1" s="90">
      <c r="A300" s="3" t="n"/>
      <c r="E300" s="7" t="n"/>
    </row>
    <row r="301" ht="13.5" customHeight="1" s="90">
      <c r="A301" s="3" t="n"/>
      <c r="E301" s="7" t="n"/>
    </row>
    <row r="302" ht="13.5" customHeight="1" s="90">
      <c r="A302" s="3" t="n"/>
      <c r="E302" s="7" t="n"/>
    </row>
    <row r="303" ht="13.5" customHeight="1" s="90">
      <c r="A303" s="3" t="n"/>
      <c r="E303" s="7" t="n"/>
    </row>
    <row r="304" ht="13.5" customHeight="1" s="90">
      <c r="A304" s="3" t="n"/>
      <c r="E304" s="7" t="n"/>
    </row>
    <row r="305" ht="13.5" customHeight="1" s="90">
      <c r="A305" s="3" t="n"/>
      <c r="E305" s="7" t="n"/>
    </row>
    <row r="306" ht="13.5" customHeight="1" s="90">
      <c r="A306" s="3" t="n"/>
      <c r="E306" s="7" t="n"/>
    </row>
    <row r="307" ht="13.5" customHeight="1" s="90">
      <c r="A307" s="3" t="n"/>
      <c r="E307" s="7" t="n"/>
    </row>
    <row r="308" ht="13.5" customHeight="1" s="90">
      <c r="A308" s="3" t="n"/>
      <c r="E308" s="7" t="n"/>
    </row>
    <row r="309" ht="13.5" customHeight="1" s="90">
      <c r="A309" s="3" t="n"/>
      <c r="E309" s="7" t="n"/>
    </row>
    <row r="310" ht="13.5" customHeight="1" s="90">
      <c r="A310" s="3" t="n"/>
      <c r="E310" s="7" t="n"/>
    </row>
    <row r="311" ht="13.5" customHeight="1" s="90">
      <c r="A311" s="3" t="n"/>
      <c r="E311" s="7" t="n"/>
    </row>
    <row r="312" ht="13.5" customHeight="1" s="90">
      <c r="A312" s="3" t="n"/>
      <c r="E312" s="7" t="n"/>
    </row>
    <row r="313" ht="13.5" customHeight="1" s="90">
      <c r="A313" s="3" t="n"/>
      <c r="E313" s="7" t="n"/>
    </row>
    <row r="314" ht="13.5" customHeight="1" s="90">
      <c r="A314" s="3" t="n"/>
      <c r="E314" s="7" t="n"/>
    </row>
    <row r="315" ht="13.5" customHeight="1" s="90">
      <c r="A315" s="3" t="n"/>
      <c r="E315" s="7" t="n"/>
    </row>
    <row r="316" ht="13.5" customHeight="1" s="90">
      <c r="A316" s="3" t="n"/>
      <c r="E316" s="7" t="n"/>
    </row>
    <row r="317" ht="13.5" customHeight="1" s="90">
      <c r="A317" s="3" t="n"/>
      <c r="E317" s="7" t="n"/>
    </row>
    <row r="318" ht="13.5" customHeight="1" s="90">
      <c r="A318" s="3" t="n"/>
      <c r="E318" s="7" t="n"/>
    </row>
    <row r="319" ht="13.5" customHeight="1" s="90">
      <c r="A319" s="3" t="n"/>
      <c r="E319" s="7" t="n"/>
    </row>
    <row r="320" ht="13.5" customHeight="1" s="90">
      <c r="A320" s="3" t="n"/>
      <c r="E320" s="7" t="n"/>
    </row>
    <row r="321" ht="13.5" customHeight="1" s="90">
      <c r="A321" s="3" t="n"/>
      <c r="E321" s="7" t="n"/>
    </row>
    <row r="322" ht="13.5" customHeight="1" s="90">
      <c r="A322" s="3" t="n"/>
      <c r="E322" s="7" t="n"/>
    </row>
    <row r="323" ht="13.5" customHeight="1" s="90">
      <c r="A323" s="3" t="n"/>
      <c r="E323" s="7" t="n"/>
    </row>
    <row r="324" ht="13.5" customHeight="1" s="90">
      <c r="A324" s="3" t="n"/>
      <c r="E324" s="7" t="n"/>
    </row>
    <row r="325" ht="13.5" customHeight="1" s="90">
      <c r="A325" s="3" t="n"/>
      <c r="E325" s="7" t="n"/>
    </row>
    <row r="326" ht="13.5" customHeight="1" s="90">
      <c r="A326" s="3" t="n"/>
      <c r="E326" s="7" t="n"/>
    </row>
    <row r="327" ht="13.5" customHeight="1" s="90">
      <c r="A327" s="3" t="n"/>
      <c r="E327" s="7" t="n"/>
    </row>
    <row r="328" ht="13.5" customHeight="1" s="90">
      <c r="A328" s="3" t="n"/>
      <c r="E328" s="7" t="n"/>
    </row>
    <row r="329" ht="13.5" customHeight="1" s="90">
      <c r="A329" s="3" t="n"/>
      <c r="E329" s="7" t="n"/>
    </row>
    <row r="330" ht="13.5" customHeight="1" s="90">
      <c r="A330" s="3" t="n"/>
      <c r="E330" s="7" t="n"/>
    </row>
    <row r="331" ht="13.5" customHeight="1" s="90">
      <c r="A331" s="3" t="n"/>
      <c r="E331" s="7" t="n"/>
    </row>
    <row r="332" ht="13.5" customHeight="1" s="90">
      <c r="A332" s="3" t="n"/>
      <c r="E332" s="7" t="n"/>
    </row>
    <row r="333" ht="13.5" customHeight="1" s="90">
      <c r="A333" s="3" t="n"/>
      <c r="E333" s="7" t="n"/>
    </row>
    <row r="334" ht="13.5" customHeight="1" s="90">
      <c r="A334" s="3" t="n"/>
      <c r="E334" s="7" t="n"/>
    </row>
    <row r="335" ht="13.5" customHeight="1" s="90">
      <c r="A335" s="3" t="n"/>
      <c r="E335" s="7" t="n"/>
    </row>
    <row r="336" ht="13.5" customHeight="1" s="90">
      <c r="A336" s="3" t="n"/>
      <c r="E336" s="7" t="n"/>
    </row>
    <row r="337" ht="13.5" customHeight="1" s="90">
      <c r="A337" s="3" t="n"/>
      <c r="E337" s="7" t="n"/>
    </row>
    <row r="338" ht="13.5" customHeight="1" s="90">
      <c r="A338" s="3" t="n"/>
      <c r="E338" s="7" t="n"/>
    </row>
    <row r="339" ht="13.5" customHeight="1" s="90">
      <c r="A339" s="3" t="n"/>
      <c r="E339" s="7" t="n"/>
    </row>
    <row r="340" ht="13.5" customHeight="1" s="90">
      <c r="A340" s="3" t="n"/>
      <c r="E340" s="7" t="n"/>
    </row>
    <row r="341" ht="13.5" customHeight="1" s="90">
      <c r="A341" s="3" t="n"/>
      <c r="E341" s="7" t="n"/>
    </row>
    <row r="342" ht="13.5" customHeight="1" s="90">
      <c r="A342" s="3" t="n"/>
      <c r="E342" s="7" t="n"/>
    </row>
    <row r="343" ht="13.5" customHeight="1" s="90">
      <c r="A343" s="3" t="n"/>
      <c r="E343" s="7" t="n"/>
    </row>
    <row r="344" ht="13.5" customHeight="1" s="90">
      <c r="A344" s="3" t="n"/>
      <c r="E344" s="7" t="n"/>
    </row>
    <row r="345" ht="13.5" customHeight="1" s="90">
      <c r="A345" s="3" t="n"/>
      <c r="E345" s="7" t="n"/>
    </row>
    <row r="346" ht="13.5" customHeight="1" s="90">
      <c r="A346" s="3" t="n"/>
      <c r="E346" s="7" t="n"/>
    </row>
    <row r="347" ht="13.5" customHeight="1" s="90">
      <c r="A347" s="3" t="n"/>
      <c r="E347" s="7" t="n"/>
    </row>
    <row r="348" ht="13.5" customHeight="1" s="90">
      <c r="A348" s="3" t="n"/>
      <c r="E348" s="7" t="n"/>
    </row>
    <row r="349" ht="13.5" customHeight="1" s="90">
      <c r="A349" s="3" t="n"/>
      <c r="E349" s="7" t="n"/>
    </row>
    <row r="350" ht="13.5" customHeight="1" s="90">
      <c r="A350" s="3" t="n"/>
      <c r="E350" s="7" t="n"/>
    </row>
    <row r="351" ht="13.5" customHeight="1" s="90">
      <c r="A351" s="3" t="n"/>
      <c r="E351" s="7" t="n"/>
    </row>
    <row r="352" ht="13.5" customHeight="1" s="90">
      <c r="A352" s="3" t="n"/>
      <c r="E352" s="7" t="n"/>
    </row>
    <row r="353" ht="13.5" customHeight="1" s="90">
      <c r="A353" s="3" t="n"/>
      <c r="E353" s="7" t="n"/>
    </row>
    <row r="354" ht="13.5" customHeight="1" s="90">
      <c r="A354" s="3" t="n"/>
      <c r="E354" s="7" t="n"/>
    </row>
    <row r="355" ht="13.5" customHeight="1" s="90">
      <c r="A355" s="3" t="n"/>
      <c r="E355" s="7" t="n"/>
    </row>
    <row r="356" ht="13.5" customHeight="1" s="90">
      <c r="A356" s="3" t="n"/>
      <c r="E356" s="7" t="n"/>
    </row>
    <row r="357" ht="13.5" customHeight="1" s="90">
      <c r="A357" s="3" t="n"/>
      <c r="E357" s="7" t="n"/>
    </row>
    <row r="358" ht="13.5" customHeight="1" s="90">
      <c r="A358" s="3" t="n"/>
      <c r="E358" s="7" t="n"/>
    </row>
    <row r="359" ht="13.5" customHeight="1" s="90">
      <c r="A359" s="3" t="n"/>
      <c r="E359" s="7" t="n"/>
    </row>
    <row r="360" ht="13.5" customHeight="1" s="90">
      <c r="A360" s="3" t="n"/>
      <c r="E360" s="7" t="n"/>
    </row>
    <row r="361" ht="13.5" customHeight="1" s="90">
      <c r="A361" s="3" t="n"/>
      <c r="E361" s="7" t="n"/>
    </row>
    <row r="362" ht="13.5" customHeight="1" s="90">
      <c r="A362" s="3" t="n"/>
      <c r="E362" s="7" t="n"/>
    </row>
    <row r="363" ht="13.5" customHeight="1" s="90">
      <c r="A363" s="3" t="n"/>
      <c r="E363" s="7" t="n"/>
    </row>
    <row r="364" ht="13.5" customHeight="1" s="90">
      <c r="A364" s="3" t="n"/>
      <c r="E364" s="7" t="n"/>
    </row>
    <row r="365" ht="13.5" customHeight="1" s="90">
      <c r="A365" s="3" t="n"/>
      <c r="E365" s="7" t="n"/>
    </row>
    <row r="366" ht="13.5" customHeight="1" s="90">
      <c r="A366" s="3" t="n"/>
      <c r="E366" s="7" t="n"/>
    </row>
    <row r="367" ht="13.5" customHeight="1" s="90">
      <c r="A367" s="3" t="n"/>
      <c r="E367" s="7" t="n"/>
    </row>
    <row r="368" ht="13.5" customHeight="1" s="90">
      <c r="A368" s="3" t="n"/>
      <c r="E368" s="7" t="n"/>
    </row>
    <row r="369" ht="13.5" customHeight="1" s="90">
      <c r="A369" s="3" t="n"/>
      <c r="E369" s="7" t="n"/>
    </row>
    <row r="370" ht="13.5" customHeight="1" s="90">
      <c r="A370" s="3" t="n"/>
      <c r="E370" s="7" t="n"/>
    </row>
    <row r="371" ht="13.5" customHeight="1" s="90">
      <c r="A371" s="3" t="n"/>
      <c r="E371" s="7" t="n"/>
    </row>
    <row r="372" ht="13.5" customHeight="1" s="90">
      <c r="A372" s="3" t="n"/>
      <c r="E372" s="7" t="n"/>
    </row>
    <row r="373" ht="13.5" customHeight="1" s="90">
      <c r="A373" s="3" t="n"/>
      <c r="E373" s="7" t="n"/>
    </row>
    <row r="374" ht="13.5" customHeight="1" s="90">
      <c r="A374" s="3" t="n"/>
      <c r="E374" s="7" t="n"/>
    </row>
    <row r="375" ht="13.5" customHeight="1" s="90">
      <c r="A375" s="3" t="n"/>
      <c r="E375" s="7" t="n"/>
    </row>
    <row r="376" ht="13.5" customHeight="1" s="90">
      <c r="A376" s="3" t="n"/>
      <c r="E376" s="7" t="n"/>
    </row>
    <row r="377" ht="13.5" customHeight="1" s="90">
      <c r="A377" s="3" t="n"/>
      <c r="E377" s="7" t="n"/>
    </row>
    <row r="378" ht="13.5" customHeight="1" s="90">
      <c r="A378" s="3" t="n"/>
      <c r="E378" s="7" t="n"/>
    </row>
    <row r="379" ht="13.5" customHeight="1" s="90">
      <c r="A379" s="3" t="n"/>
      <c r="E379" s="7" t="n"/>
    </row>
    <row r="380" ht="13.5" customHeight="1" s="90">
      <c r="A380" s="3" t="n"/>
      <c r="E380" s="7" t="n"/>
    </row>
    <row r="381" ht="13.5" customHeight="1" s="90">
      <c r="A381" s="3" t="n"/>
      <c r="E381" s="7" t="n"/>
    </row>
    <row r="382" ht="13.5" customHeight="1" s="90">
      <c r="A382" s="3" t="n"/>
      <c r="E382" s="7" t="n"/>
    </row>
    <row r="383" ht="13.5" customHeight="1" s="90">
      <c r="A383" s="3" t="n"/>
      <c r="E383" s="7" t="n"/>
    </row>
    <row r="384" ht="13.5" customHeight="1" s="90">
      <c r="A384" s="3" t="n"/>
      <c r="E384" s="7" t="n"/>
    </row>
    <row r="385" ht="13.5" customHeight="1" s="90">
      <c r="A385" s="3" t="n"/>
      <c r="E385" s="7" t="n"/>
    </row>
    <row r="386" ht="13.5" customHeight="1" s="90">
      <c r="A386" s="3" t="n"/>
      <c r="E386" s="7" t="n"/>
    </row>
    <row r="387" ht="13.5" customHeight="1" s="90">
      <c r="A387" s="3" t="n"/>
      <c r="E387" s="7" t="n"/>
    </row>
    <row r="388" ht="13.5" customHeight="1" s="90">
      <c r="A388" s="3" t="n"/>
      <c r="E388" s="7" t="n"/>
    </row>
    <row r="389" ht="13.5" customHeight="1" s="90">
      <c r="A389" s="3" t="n"/>
      <c r="E389" s="7" t="n"/>
    </row>
    <row r="390" ht="13.5" customHeight="1" s="90">
      <c r="A390" s="3" t="n"/>
      <c r="E390" s="7" t="n"/>
    </row>
    <row r="391" ht="13.5" customHeight="1" s="90">
      <c r="A391" s="3" t="n"/>
      <c r="E391" s="7" t="n"/>
    </row>
    <row r="392" ht="13.5" customHeight="1" s="90">
      <c r="A392" s="3" t="n"/>
      <c r="E392" s="7" t="n"/>
    </row>
    <row r="393" ht="13.5" customHeight="1" s="90">
      <c r="A393" s="3" t="n"/>
      <c r="E393" s="7" t="n"/>
    </row>
    <row r="394" ht="13.5" customHeight="1" s="90">
      <c r="A394" s="3" t="n"/>
      <c r="E394" s="7" t="n"/>
    </row>
    <row r="395" ht="13.5" customHeight="1" s="90">
      <c r="A395" s="3" t="n"/>
      <c r="E395" s="7" t="n"/>
    </row>
    <row r="396" ht="13.5" customHeight="1" s="90">
      <c r="A396" s="3" t="n"/>
      <c r="E396" s="7" t="n"/>
    </row>
    <row r="397" ht="13.5" customHeight="1" s="90">
      <c r="A397" s="3" t="n"/>
      <c r="E397" s="7" t="n"/>
    </row>
    <row r="398" ht="13.5" customHeight="1" s="90">
      <c r="A398" s="3" t="n"/>
      <c r="E398" s="7" t="n"/>
    </row>
    <row r="399" ht="13.5" customHeight="1" s="90">
      <c r="A399" s="3" t="n"/>
      <c r="E399" s="7" t="n"/>
    </row>
    <row r="400" ht="13.5" customHeight="1" s="90">
      <c r="A400" s="3" t="n"/>
      <c r="E400" s="7" t="n"/>
    </row>
    <row r="401" ht="13.5" customHeight="1" s="90">
      <c r="A401" s="3" t="n"/>
      <c r="E401" s="7" t="n"/>
    </row>
    <row r="402" ht="13.5" customHeight="1" s="90">
      <c r="A402" s="3" t="n"/>
      <c r="E402" s="7" t="n"/>
    </row>
    <row r="403" ht="13.5" customHeight="1" s="90">
      <c r="A403" s="3" t="n"/>
      <c r="E403" s="7" t="n"/>
    </row>
    <row r="404" ht="13.5" customHeight="1" s="90">
      <c r="A404" s="3" t="n"/>
      <c r="E404" s="7" t="n"/>
    </row>
    <row r="405" ht="13.5" customHeight="1" s="90">
      <c r="A405" s="3" t="n"/>
      <c r="E405" s="7" t="n"/>
    </row>
    <row r="406" ht="13.5" customHeight="1" s="90">
      <c r="A406" s="3" t="n"/>
      <c r="E406" s="7" t="n"/>
    </row>
    <row r="407" ht="13.5" customHeight="1" s="90">
      <c r="A407" s="3" t="n"/>
      <c r="E407" s="7" t="n"/>
    </row>
    <row r="408" ht="13.5" customHeight="1" s="90">
      <c r="A408" s="3" t="n"/>
      <c r="E408" s="7" t="n"/>
    </row>
    <row r="409" ht="13.5" customHeight="1" s="90">
      <c r="A409" s="3" t="n"/>
      <c r="E409" s="7" t="n"/>
    </row>
    <row r="410" ht="13.5" customHeight="1" s="90">
      <c r="A410" s="3" t="n"/>
      <c r="E410" s="7" t="n"/>
    </row>
    <row r="411" ht="13.5" customHeight="1" s="90">
      <c r="A411" s="3" t="n"/>
      <c r="E411" s="7" t="n"/>
    </row>
    <row r="412" ht="13.5" customHeight="1" s="90">
      <c r="A412" s="3" t="n"/>
      <c r="E412" s="7" t="n"/>
    </row>
    <row r="413" ht="13.5" customHeight="1" s="90">
      <c r="A413" s="3" t="n"/>
      <c r="E413" s="7" t="n"/>
    </row>
    <row r="414" ht="13.5" customHeight="1" s="90">
      <c r="A414" s="3" t="n"/>
      <c r="E414" s="7" t="n"/>
    </row>
    <row r="415" ht="13.5" customHeight="1" s="90">
      <c r="A415" s="3" t="n"/>
      <c r="E415" s="7" t="n"/>
    </row>
    <row r="416" ht="13.5" customHeight="1" s="90">
      <c r="A416" s="3" t="n"/>
      <c r="E416" s="7" t="n"/>
    </row>
    <row r="417" ht="13.5" customHeight="1" s="90">
      <c r="A417" s="3" t="n"/>
      <c r="E417" s="7" t="n"/>
    </row>
    <row r="418" ht="13.5" customHeight="1" s="90">
      <c r="A418" s="3" t="n"/>
      <c r="E418" s="7" t="n"/>
    </row>
    <row r="419" ht="13.5" customHeight="1" s="90">
      <c r="A419" s="3" t="n"/>
      <c r="E419" s="7" t="n"/>
    </row>
    <row r="420" ht="13.5" customHeight="1" s="90">
      <c r="A420" s="3" t="n"/>
      <c r="E420" s="7" t="n"/>
    </row>
    <row r="421" ht="13.5" customHeight="1" s="90">
      <c r="A421" s="3" t="n"/>
      <c r="E421" s="7" t="n"/>
    </row>
    <row r="422" ht="13.5" customHeight="1" s="90">
      <c r="A422" s="3" t="n"/>
      <c r="E422" s="7" t="n"/>
    </row>
    <row r="423" ht="13.5" customHeight="1" s="90">
      <c r="A423" s="3" t="n"/>
      <c r="E423" s="7" t="n"/>
    </row>
    <row r="424" ht="13.5" customHeight="1" s="90">
      <c r="A424" s="3" t="n"/>
      <c r="E424" s="7" t="n"/>
    </row>
    <row r="425" ht="13.5" customHeight="1" s="90">
      <c r="A425" s="3" t="n"/>
      <c r="E425" s="7" t="n"/>
    </row>
    <row r="426" ht="13.5" customHeight="1" s="90">
      <c r="A426" s="3" t="n"/>
      <c r="E426" s="7" t="n"/>
    </row>
    <row r="427" ht="13.5" customHeight="1" s="90">
      <c r="A427" s="3" t="n"/>
      <c r="E427" s="7" t="n"/>
    </row>
    <row r="428" ht="13.5" customHeight="1" s="90">
      <c r="A428" s="3" t="n"/>
      <c r="E428" s="7" t="n"/>
    </row>
    <row r="429" ht="13.5" customHeight="1" s="90">
      <c r="A429" s="3" t="n"/>
      <c r="E429" s="7" t="n"/>
    </row>
    <row r="430" ht="13.5" customHeight="1" s="90">
      <c r="A430" s="3" t="n"/>
      <c r="E430" s="7" t="n"/>
    </row>
    <row r="431" ht="13.5" customHeight="1" s="90">
      <c r="A431" s="3" t="n"/>
      <c r="E431" s="7" t="n"/>
    </row>
    <row r="432" ht="13.5" customHeight="1" s="90">
      <c r="A432" s="3" t="n"/>
      <c r="E432" s="7" t="n"/>
    </row>
    <row r="433" ht="13.5" customHeight="1" s="90">
      <c r="A433" s="3" t="n"/>
      <c r="E433" s="7" t="n"/>
    </row>
    <row r="434" ht="13.5" customHeight="1" s="90">
      <c r="A434" s="3" t="n"/>
      <c r="E434" s="7" t="n"/>
    </row>
    <row r="435" ht="13.5" customHeight="1" s="90">
      <c r="A435" s="3" t="n"/>
      <c r="E435" s="7" t="n"/>
    </row>
    <row r="436" ht="13.5" customHeight="1" s="90">
      <c r="A436" s="3" t="n"/>
      <c r="E436" s="7" t="n"/>
    </row>
    <row r="437" ht="13.5" customHeight="1" s="90">
      <c r="A437" s="3" t="n"/>
      <c r="E437" s="7" t="n"/>
    </row>
    <row r="438" ht="13.5" customHeight="1" s="90">
      <c r="A438" s="3" t="n"/>
      <c r="E438" s="7" t="n"/>
    </row>
    <row r="439" ht="13.5" customHeight="1" s="90">
      <c r="A439" s="3" t="n"/>
      <c r="E439" s="7" t="n"/>
    </row>
    <row r="440" ht="13.5" customHeight="1" s="90">
      <c r="A440" s="3" t="n"/>
      <c r="E440" s="7" t="n"/>
    </row>
    <row r="441" ht="13.5" customHeight="1" s="90">
      <c r="A441" s="3" t="n"/>
      <c r="E441" s="7" t="n"/>
    </row>
    <row r="442" ht="13.5" customHeight="1" s="90">
      <c r="A442" s="3" t="n"/>
      <c r="E442" s="7" t="n"/>
    </row>
    <row r="443" ht="13.5" customHeight="1" s="90">
      <c r="A443" s="3" t="n"/>
      <c r="E443" s="7" t="n"/>
    </row>
    <row r="444" ht="13.5" customHeight="1" s="90">
      <c r="A444" s="3" t="n"/>
      <c r="E444" s="7" t="n"/>
    </row>
    <row r="445" ht="13.5" customHeight="1" s="90">
      <c r="A445" s="3" t="n"/>
      <c r="E445" s="7" t="n"/>
    </row>
    <row r="446" ht="13.5" customHeight="1" s="90">
      <c r="A446" s="3" t="n"/>
      <c r="E446" s="7" t="n"/>
    </row>
    <row r="447" ht="13.5" customHeight="1" s="90">
      <c r="A447" s="3" t="n"/>
      <c r="E447" s="7" t="n"/>
    </row>
    <row r="448" ht="13.5" customHeight="1" s="90">
      <c r="A448" s="3" t="n"/>
      <c r="E448" s="7" t="n"/>
    </row>
    <row r="449" ht="13.5" customHeight="1" s="90">
      <c r="A449" s="3" t="n"/>
      <c r="E449" s="7" t="n"/>
    </row>
    <row r="450" ht="13.5" customHeight="1" s="90">
      <c r="A450" s="3" t="n"/>
      <c r="E450" s="7" t="n"/>
    </row>
    <row r="451" ht="13.5" customHeight="1" s="90">
      <c r="A451" s="3" t="n"/>
      <c r="E451" s="7" t="n"/>
    </row>
    <row r="452" ht="13.5" customHeight="1" s="90">
      <c r="A452" s="3" t="n"/>
      <c r="E452" s="7" t="n"/>
    </row>
    <row r="453" ht="13.5" customHeight="1" s="90">
      <c r="A453" s="3" t="n"/>
      <c r="E453" s="7" t="n"/>
    </row>
    <row r="454" ht="13.5" customHeight="1" s="90">
      <c r="A454" s="3" t="n"/>
      <c r="E454" s="7" t="n"/>
    </row>
    <row r="455" ht="13.5" customHeight="1" s="90">
      <c r="A455" s="3" t="n"/>
      <c r="E455" s="7" t="n"/>
    </row>
    <row r="456" ht="13.5" customHeight="1" s="90">
      <c r="A456" s="3" t="n"/>
      <c r="E456" s="7" t="n"/>
    </row>
    <row r="457" ht="13.5" customHeight="1" s="90">
      <c r="A457" s="3" t="n"/>
      <c r="E457" s="7" t="n"/>
    </row>
    <row r="458" ht="13.5" customHeight="1" s="90">
      <c r="A458" s="3" t="n"/>
      <c r="E458" s="7" t="n"/>
    </row>
    <row r="459" ht="13.5" customHeight="1" s="90">
      <c r="A459" s="3" t="n"/>
      <c r="E459" s="7" t="n"/>
    </row>
    <row r="460" ht="13.5" customHeight="1" s="90">
      <c r="A460" s="3" t="n"/>
      <c r="E460" s="7" t="n"/>
    </row>
    <row r="461" ht="13.5" customHeight="1" s="90">
      <c r="A461" s="3" t="n"/>
      <c r="E461" s="7" t="n"/>
    </row>
    <row r="462" ht="13.5" customHeight="1" s="90">
      <c r="A462" s="3" t="n"/>
      <c r="E462" s="7" t="n"/>
    </row>
    <row r="463" ht="13.5" customHeight="1" s="90">
      <c r="A463" s="3" t="n"/>
      <c r="E463" s="7" t="n"/>
    </row>
    <row r="464" ht="13.5" customHeight="1" s="90">
      <c r="A464" s="3" t="n"/>
      <c r="E464" s="7" t="n"/>
    </row>
    <row r="465" ht="13.5" customHeight="1" s="90">
      <c r="A465" s="3" t="n"/>
      <c r="E465" s="7" t="n"/>
    </row>
    <row r="466" ht="13.5" customHeight="1" s="90">
      <c r="A466" s="3" t="n"/>
      <c r="E466" s="7" t="n"/>
    </row>
    <row r="467" ht="13.5" customHeight="1" s="90">
      <c r="A467" s="3" t="n"/>
      <c r="E467" s="7" t="n"/>
    </row>
    <row r="468" ht="13.5" customHeight="1" s="90">
      <c r="A468" s="3" t="n"/>
      <c r="E468" s="7" t="n"/>
    </row>
    <row r="469" ht="13.5" customHeight="1" s="90">
      <c r="A469" s="3" t="n"/>
      <c r="E469" s="7" t="n"/>
    </row>
    <row r="470" ht="13.5" customHeight="1" s="90">
      <c r="A470" s="3" t="n"/>
      <c r="E470" s="7" t="n"/>
    </row>
    <row r="471" ht="13.5" customHeight="1" s="90">
      <c r="A471" s="3" t="n"/>
      <c r="E471" s="7" t="n"/>
    </row>
    <row r="472" ht="13.5" customHeight="1" s="90">
      <c r="A472" s="3" t="n"/>
      <c r="E472" s="7" t="n"/>
    </row>
    <row r="473" ht="13.5" customHeight="1" s="90">
      <c r="A473" s="3" t="n"/>
      <c r="E473" s="7" t="n"/>
    </row>
    <row r="474" ht="13.5" customHeight="1" s="90">
      <c r="A474" s="3" t="n"/>
      <c r="E474" s="7" t="n"/>
    </row>
    <row r="475" ht="13.5" customHeight="1" s="90">
      <c r="A475" s="3" t="n"/>
      <c r="E475" s="7" t="n"/>
    </row>
    <row r="476" ht="13.5" customHeight="1" s="90">
      <c r="A476" s="3" t="n"/>
      <c r="E476" s="7" t="n"/>
    </row>
    <row r="477" ht="13.5" customHeight="1" s="90">
      <c r="A477" s="3" t="n"/>
      <c r="E477" s="7" t="n"/>
    </row>
    <row r="478" ht="13.5" customHeight="1" s="90">
      <c r="A478" s="3" t="n"/>
      <c r="E478" s="7" t="n"/>
    </row>
    <row r="479" ht="13.5" customHeight="1" s="90">
      <c r="A479" s="3" t="n"/>
      <c r="E479" s="7" t="n"/>
    </row>
    <row r="480" ht="13.5" customHeight="1" s="90">
      <c r="A480" s="3" t="n"/>
      <c r="E480" s="7" t="n"/>
    </row>
    <row r="481" ht="13.5" customHeight="1" s="90">
      <c r="A481" s="3" t="n"/>
      <c r="E481" s="7" t="n"/>
    </row>
    <row r="482" ht="13.5" customHeight="1" s="90">
      <c r="A482" s="3" t="n"/>
      <c r="E482" s="7" t="n"/>
    </row>
    <row r="483" ht="13.5" customHeight="1" s="90">
      <c r="A483" s="3" t="n"/>
      <c r="E483" s="7" t="n"/>
    </row>
    <row r="484" ht="13.5" customHeight="1" s="90">
      <c r="A484" s="3" t="n"/>
      <c r="E484" s="7" t="n"/>
    </row>
    <row r="485" ht="13.5" customHeight="1" s="90">
      <c r="A485" s="3" t="n"/>
      <c r="E485" s="7" t="n"/>
    </row>
    <row r="486" ht="13.5" customHeight="1" s="90">
      <c r="A486" s="3" t="n"/>
      <c r="E486" s="7" t="n"/>
    </row>
    <row r="487" ht="13.5" customHeight="1" s="90">
      <c r="A487" s="3" t="n"/>
      <c r="E487" s="7" t="n"/>
    </row>
    <row r="488" ht="13.5" customHeight="1" s="90">
      <c r="A488" s="3" t="n"/>
      <c r="E488" s="7" t="n"/>
    </row>
    <row r="489" ht="13.5" customHeight="1" s="90">
      <c r="A489" s="3" t="n"/>
      <c r="E489" s="7" t="n"/>
    </row>
    <row r="490" ht="13.5" customHeight="1" s="90">
      <c r="A490" s="3" t="n"/>
      <c r="E490" s="7" t="n"/>
    </row>
    <row r="491" ht="13.5" customHeight="1" s="90">
      <c r="A491" s="3" t="n"/>
      <c r="E491" s="7" t="n"/>
    </row>
    <row r="492" ht="13.5" customHeight="1" s="90">
      <c r="A492" s="3" t="n"/>
      <c r="E492" s="7" t="n"/>
    </row>
    <row r="493" ht="13.5" customHeight="1" s="90">
      <c r="A493" s="3" t="n"/>
      <c r="E493" s="7" t="n"/>
    </row>
    <row r="494" ht="13.5" customHeight="1" s="90">
      <c r="A494" s="3" t="n"/>
      <c r="E494" s="7" t="n"/>
    </row>
    <row r="495" ht="13.5" customHeight="1" s="90">
      <c r="A495" s="3" t="n"/>
      <c r="E495" s="7" t="n"/>
    </row>
    <row r="496" ht="13.5" customHeight="1" s="90">
      <c r="A496" s="3" t="n"/>
      <c r="E496" s="7" t="n"/>
    </row>
    <row r="497" ht="13.5" customHeight="1" s="90">
      <c r="A497" s="3" t="n"/>
      <c r="E497" s="7" t="n"/>
    </row>
    <row r="498" ht="13.5" customHeight="1" s="90">
      <c r="A498" s="3" t="n"/>
      <c r="E498" s="7" t="n"/>
    </row>
    <row r="499" ht="13.5" customHeight="1" s="90">
      <c r="A499" s="3" t="n"/>
      <c r="E499" s="7" t="n"/>
    </row>
    <row r="500" ht="13.5" customHeight="1" s="90">
      <c r="A500" s="3" t="n"/>
      <c r="E500" s="7" t="n"/>
    </row>
    <row r="501" ht="13.5" customHeight="1" s="90">
      <c r="A501" s="3" t="n"/>
      <c r="E501" s="7" t="n"/>
    </row>
    <row r="502" ht="13.5" customHeight="1" s="90">
      <c r="A502" s="3" t="n"/>
      <c r="E502" s="7" t="n"/>
    </row>
    <row r="503" ht="13.5" customHeight="1" s="90">
      <c r="A503" s="3" t="n"/>
      <c r="E503" s="7" t="n"/>
    </row>
    <row r="504" ht="13.5" customHeight="1" s="90">
      <c r="A504" s="3" t="n"/>
      <c r="E504" s="7" t="n"/>
    </row>
    <row r="505" ht="13.5" customHeight="1" s="90">
      <c r="A505" s="3" t="n"/>
      <c r="E505" s="7" t="n"/>
    </row>
    <row r="506" ht="13.5" customHeight="1" s="90">
      <c r="A506" s="3" t="n"/>
      <c r="E506" s="7" t="n"/>
    </row>
    <row r="507" ht="13.5" customHeight="1" s="90">
      <c r="A507" s="3" t="n"/>
      <c r="E507" s="7" t="n"/>
    </row>
    <row r="508" ht="13.5" customHeight="1" s="90">
      <c r="A508" s="3" t="n"/>
      <c r="E508" s="7" t="n"/>
    </row>
    <row r="509" ht="13.5" customHeight="1" s="90">
      <c r="A509" s="3" t="n"/>
      <c r="E509" s="7" t="n"/>
    </row>
    <row r="510" ht="13.5" customHeight="1" s="90">
      <c r="A510" s="3" t="n"/>
      <c r="E510" s="7" t="n"/>
    </row>
    <row r="511" ht="13.5" customHeight="1" s="90">
      <c r="A511" s="3" t="n"/>
      <c r="E511" s="7" t="n"/>
    </row>
    <row r="512" ht="13.5" customHeight="1" s="90">
      <c r="A512" s="3" t="n"/>
      <c r="E512" s="7" t="n"/>
    </row>
    <row r="513" ht="13.5" customHeight="1" s="90">
      <c r="A513" s="3" t="n"/>
      <c r="E513" s="7" t="n"/>
    </row>
    <row r="514" ht="13.5" customHeight="1" s="90">
      <c r="A514" s="3" t="n"/>
      <c r="E514" s="7" t="n"/>
    </row>
    <row r="515" ht="13.5" customHeight="1" s="90">
      <c r="A515" s="3" t="n"/>
      <c r="E515" s="7" t="n"/>
    </row>
    <row r="516" ht="13.5" customHeight="1" s="90">
      <c r="A516" s="3" t="n"/>
      <c r="E516" s="7" t="n"/>
    </row>
    <row r="517" ht="13.5" customHeight="1" s="90">
      <c r="A517" s="3" t="n"/>
      <c r="E517" s="7" t="n"/>
    </row>
    <row r="518" ht="13.5" customHeight="1" s="90">
      <c r="A518" s="3" t="n"/>
      <c r="E518" s="7" t="n"/>
    </row>
    <row r="519" ht="13.5" customHeight="1" s="90">
      <c r="A519" s="3" t="n"/>
      <c r="E519" s="7" t="n"/>
    </row>
    <row r="520" ht="13.5" customHeight="1" s="90">
      <c r="A520" s="3" t="n"/>
      <c r="E520" s="7" t="n"/>
    </row>
    <row r="521" ht="13.5" customHeight="1" s="90">
      <c r="A521" s="3" t="n"/>
      <c r="E521" s="7" t="n"/>
    </row>
    <row r="522" ht="13.5" customHeight="1" s="90">
      <c r="A522" s="3" t="n"/>
      <c r="E522" s="7" t="n"/>
    </row>
    <row r="523" ht="13.5" customHeight="1" s="90">
      <c r="A523" s="3" t="n"/>
      <c r="E523" s="7" t="n"/>
    </row>
    <row r="524" ht="13.5" customHeight="1" s="90">
      <c r="A524" s="3" t="n"/>
      <c r="E524" s="7" t="n"/>
    </row>
    <row r="525" ht="13.5" customHeight="1" s="90">
      <c r="A525" s="3" t="n"/>
      <c r="E525" s="7" t="n"/>
    </row>
    <row r="526" ht="13.5" customHeight="1" s="90">
      <c r="A526" s="3" t="n"/>
      <c r="E526" s="7" t="n"/>
    </row>
    <row r="527" ht="13.5" customHeight="1" s="90">
      <c r="A527" s="3" t="n"/>
      <c r="E527" s="7" t="n"/>
    </row>
    <row r="528" ht="13.5" customHeight="1" s="90">
      <c r="A528" s="3" t="n"/>
      <c r="E528" s="7" t="n"/>
    </row>
    <row r="529" ht="13.5" customHeight="1" s="90">
      <c r="A529" s="3" t="n"/>
      <c r="E529" s="7" t="n"/>
    </row>
    <row r="530" ht="13.5" customHeight="1" s="90">
      <c r="A530" s="3" t="n"/>
      <c r="E530" s="7" t="n"/>
    </row>
    <row r="531" ht="13.5" customHeight="1" s="90">
      <c r="A531" s="3" t="n"/>
      <c r="E531" s="7" t="n"/>
    </row>
    <row r="532" ht="13.5" customHeight="1" s="90">
      <c r="A532" s="3" t="n"/>
      <c r="E532" s="7" t="n"/>
    </row>
    <row r="533" ht="13.5" customHeight="1" s="90">
      <c r="A533" s="3" t="n"/>
      <c r="E533" s="7" t="n"/>
    </row>
    <row r="534" ht="13.5" customHeight="1" s="90">
      <c r="A534" s="3" t="n"/>
      <c r="E534" s="7" t="n"/>
    </row>
    <row r="535" ht="13.5" customHeight="1" s="90">
      <c r="A535" s="3" t="n"/>
      <c r="E535" s="7" t="n"/>
    </row>
    <row r="536" ht="13.5" customHeight="1" s="90">
      <c r="A536" s="3" t="n"/>
      <c r="E536" s="7" t="n"/>
    </row>
    <row r="537" ht="13.5" customHeight="1" s="90">
      <c r="A537" s="3" t="n"/>
      <c r="E537" s="7" t="n"/>
    </row>
    <row r="538" ht="13.5" customHeight="1" s="90">
      <c r="A538" s="3" t="n"/>
      <c r="E538" s="7" t="n"/>
    </row>
    <row r="539" ht="13.5" customHeight="1" s="90">
      <c r="A539" s="3" t="n"/>
      <c r="E539" s="7" t="n"/>
    </row>
    <row r="540" ht="13.5" customHeight="1" s="90">
      <c r="A540" s="3" t="n"/>
      <c r="E540" s="7" t="n"/>
    </row>
    <row r="541" ht="13.5" customHeight="1" s="90">
      <c r="A541" s="3" t="n"/>
      <c r="E541" s="7" t="n"/>
    </row>
    <row r="542" ht="13.5" customHeight="1" s="90">
      <c r="A542" s="3" t="n"/>
      <c r="E542" s="7" t="n"/>
    </row>
    <row r="543" ht="13.5" customHeight="1" s="90">
      <c r="A543" s="3" t="n"/>
      <c r="E543" s="7" t="n"/>
    </row>
    <row r="544" ht="13.5" customHeight="1" s="90">
      <c r="A544" s="3" t="n"/>
      <c r="E544" s="7" t="n"/>
    </row>
    <row r="545" ht="13.5" customHeight="1" s="90">
      <c r="A545" s="3" t="n"/>
      <c r="E545" s="7" t="n"/>
    </row>
    <row r="546" ht="13.5" customHeight="1" s="90">
      <c r="A546" s="3" t="n"/>
      <c r="E546" s="7" t="n"/>
    </row>
    <row r="547" ht="13.5" customHeight="1" s="90">
      <c r="A547" s="3" t="n"/>
      <c r="E547" s="7" t="n"/>
    </row>
    <row r="548" ht="13.5" customHeight="1" s="90">
      <c r="A548" s="3" t="n"/>
      <c r="E548" s="7" t="n"/>
    </row>
    <row r="549" ht="13.5" customHeight="1" s="90">
      <c r="A549" s="3" t="n"/>
      <c r="E549" s="7" t="n"/>
    </row>
    <row r="550" ht="13.5" customHeight="1" s="90">
      <c r="A550" s="3" t="n"/>
      <c r="E550" s="7" t="n"/>
    </row>
    <row r="551" ht="13.5" customHeight="1" s="90">
      <c r="A551" s="3" t="n"/>
      <c r="E551" s="7" t="n"/>
    </row>
    <row r="552" ht="13.5" customHeight="1" s="90">
      <c r="A552" s="3" t="n"/>
      <c r="E552" s="7" t="n"/>
    </row>
    <row r="553" ht="13.5" customHeight="1" s="90">
      <c r="A553" s="3" t="n"/>
      <c r="E553" s="7" t="n"/>
    </row>
    <row r="554" ht="13.5" customHeight="1" s="90">
      <c r="A554" s="3" t="n"/>
      <c r="E554" s="7" t="n"/>
    </row>
    <row r="555" ht="13.5" customHeight="1" s="90">
      <c r="A555" s="3" t="n"/>
      <c r="E555" s="7" t="n"/>
    </row>
    <row r="556" ht="13.5" customHeight="1" s="90">
      <c r="A556" s="3" t="n"/>
      <c r="E556" s="7" t="n"/>
    </row>
    <row r="557" ht="13.5" customHeight="1" s="90">
      <c r="A557" s="3" t="n"/>
      <c r="E557" s="7" t="n"/>
    </row>
    <row r="558" ht="13.5" customHeight="1" s="90">
      <c r="A558" s="3" t="n"/>
      <c r="E558" s="7" t="n"/>
    </row>
    <row r="559" ht="13.5" customHeight="1" s="90">
      <c r="A559" s="3" t="n"/>
      <c r="E559" s="7" t="n"/>
    </row>
    <row r="560" ht="13.5" customHeight="1" s="90">
      <c r="A560" s="3" t="n"/>
      <c r="E560" s="7" t="n"/>
    </row>
    <row r="561" ht="13.5" customHeight="1" s="90">
      <c r="A561" s="3" t="n"/>
      <c r="E561" s="7" t="n"/>
    </row>
    <row r="562" ht="13.5" customHeight="1" s="90">
      <c r="A562" s="3" t="n"/>
      <c r="E562" s="7" t="n"/>
    </row>
    <row r="563" ht="13.5" customHeight="1" s="90">
      <c r="A563" s="3" t="n"/>
      <c r="E563" s="7" t="n"/>
    </row>
    <row r="564" ht="13.5" customHeight="1" s="90">
      <c r="A564" s="3" t="n"/>
      <c r="E564" s="7" t="n"/>
    </row>
    <row r="565" ht="13.5" customHeight="1" s="90">
      <c r="A565" s="3" t="n"/>
      <c r="E565" s="7" t="n"/>
    </row>
    <row r="566" ht="13.5" customHeight="1" s="90">
      <c r="A566" s="3" t="n"/>
      <c r="E566" s="7" t="n"/>
    </row>
    <row r="567" ht="13.5" customHeight="1" s="90">
      <c r="A567" s="3" t="n"/>
      <c r="E567" s="7" t="n"/>
    </row>
    <row r="568" ht="13.5" customHeight="1" s="90">
      <c r="A568" s="3" t="n"/>
      <c r="E568" s="7" t="n"/>
    </row>
    <row r="569" ht="13.5" customHeight="1" s="90">
      <c r="A569" s="3" t="n"/>
      <c r="E569" s="7" t="n"/>
    </row>
    <row r="570" ht="13.5" customHeight="1" s="90">
      <c r="A570" s="3" t="n"/>
      <c r="E570" s="7" t="n"/>
    </row>
    <row r="571" ht="13.5" customHeight="1" s="90">
      <c r="A571" s="3" t="n"/>
      <c r="E571" s="7" t="n"/>
    </row>
    <row r="572" ht="13.5" customHeight="1" s="90">
      <c r="A572" s="3" t="n"/>
      <c r="E572" s="7" t="n"/>
    </row>
    <row r="573" ht="13.5" customHeight="1" s="90">
      <c r="A573" s="3" t="n"/>
      <c r="E573" s="7" t="n"/>
    </row>
    <row r="574" ht="13.5" customHeight="1" s="90">
      <c r="A574" s="3" t="n"/>
      <c r="E574" s="7" t="n"/>
    </row>
    <row r="575" ht="13.5" customHeight="1" s="90">
      <c r="A575" s="3" t="n"/>
      <c r="E575" s="7" t="n"/>
    </row>
    <row r="576" ht="13.5" customHeight="1" s="90">
      <c r="A576" s="3" t="n"/>
      <c r="E576" s="7" t="n"/>
    </row>
    <row r="577" ht="13.5" customHeight="1" s="90">
      <c r="A577" s="3" t="n"/>
      <c r="E577" s="7" t="n"/>
    </row>
    <row r="578" ht="13.5" customHeight="1" s="90">
      <c r="A578" s="3" t="n"/>
      <c r="E578" s="7" t="n"/>
    </row>
    <row r="579" ht="13.5" customHeight="1" s="90">
      <c r="A579" s="3" t="n"/>
      <c r="E579" s="7" t="n"/>
    </row>
    <row r="580" ht="13.5" customHeight="1" s="90">
      <c r="A580" s="3" t="n"/>
      <c r="E580" s="7" t="n"/>
    </row>
    <row r="581" ht="13.5" customHeight="1" s="90">
      <c r="A581" s="3" t="n"/>
      <c r="E581" s="7" t="n"/>
    </row>
    <row r="582" ht="13.5" customHeight="1" s="90">
      <c r="A582" s="3" t="n"/>
      <c r="E582" s="7" t="n"/>
    </row>
    <row r="583" ht="13.5" customHeight="1" s="90">
      <c r="A583" s="3" t="n"/>
      <c r="E583" s="7" t="n"/>
    </row>
    <row r="584" ht="13.5" customHeight="1" s="90">
      <c r="A584" s="3" t="n"/>
      <c r="E584" s="7" t="n"/>
    </row>
    <row r="585" ht="13.5" customHeight="1" s="90">
      <c r="A585" s="3" t="n"/>
      <c r="E585" s="7" t="n"/>
    </row>
    <row r="586" ht="13.5" customHeight="1" s="90">
      <c r="A586" s="3" t="n"/>
      <c r="E586" s="7" t="n"/>
    </row>
    <row r="587" ht="13.5" customHeight="1" s="90">
      <c r="A587" s="3" t="n"/>
      <c r="E587" s="7" t="n"/>
    </row>
    <row r="588" ht="13.5" customHeight="1" s="90">
      <c r="A588" s="3" t="n"/>
      <c r="E588" s="7" t="n"/>
    </row>
    <row r="589" ht="13.5" customHeight="1" s="90">
      <c r="A589" s="3" t="n"/>
      <c r="E589" s="7" t="n"/>
    </row>
    <row r="590" ht="13.5" customHeight="1" s="90">
      <c r="A590" s="3" t="n"/>
      <c r="E590" s="7" t="n"/>
    </row>
    <row r="591" ht="13.5" customHeight="1" s="90">
      <c r="A591" s="3" t="n"/>
      <c r="E591" s="7" t="n"/>
    </row>
    <row r="592" ht="13.5" customHeight="1" s="90">
      <c r="A592" s="3" t="n"/>
      <c r="E592" s="7" t="n"/>
    </row>
    <row r="593" ht="13.5" customHeight="1" s="90">
      <c r="A593" s="3" t="n"/>
      <c r="E593" s="7" t="n"/>
    </row>
    <row r="594" ht="13.5" customHeight="1" s="90">
      <c r="A594" s="3" t="n"/>
      <c r="E594" s="7" t="n"/>
    </row>
    <row r="595" ht="13.5" customHeight="1" s="90">
      <c r="A595" s="3" t="n"/>
      <c r="E595" s="7" t="n"/>
    </row>
    <row r="596" ht="13.5" customHeight="1" s="90">
      <c r="A596" s="3" t="n"/>
      <c r="E596" s="7" t="n"/>
    </row>
    <row r="597" ht="13.5" customHeight="1" s="90">
      <c r="A597" s="3" t="n"/>
      <c r="E597" s="7" t="n"/>
    </row>
    <row r="598" ht="13.5" customHeight="1" s="90">
      <c r="A598" s="3" t="n"/>
      <c r="E598" s="7" t="n"/>
    </row>
    <row r="599" ht="13.5" customHeight="1" s="90">
      <c r="A599" s="3" t="n"/>
      <c r="E599" s="7" t="n"/>
    </row>
    <row r="600" ht="13.5" customHeight="1" s="90">
      <c r="A600" s="3" t="n"/>
      <c r="E600" s="7" t="n"/>
    </row>
    <row r="601" ht="13.5" customHeight="1" s="90">
      <c r="A601" s="3" t="n"/>
      <c r="E601" s="7" t="n"/>
    </row>
    <row r="602" ht="13.5" customHeight="1" s="90">
      <c r="A602" s="3" t="n"/>
      <c r="E602" s="7" t="n"/>
    </row>
    <row r="603" ht="13.5" customHeight="1" s="90">
      <c r="A603" s="3" t="n"/>
      <c r="E603" s="7" t="n"/>
    </row>
    <row r="604" ht="13.5" customHeight="1" s="90">
      <c r="A604" s="3" t="n"/>
      <c r="E604" s="7" t="n"/>
    </row>
    <row r="605" ht="13.5" customHeight="1" s="90">
      <c r="A605" s="3" t="n"/>
      <c r="E605" s="7" t="n"/>
    </row>
    <row r="606" ht="13.5" customHeight="1" s="90">
      <c r="A606" s="3" t="n"/>
      <c r="E606" s="7" t="n"/>
    </row>
    <row r="607" ht="13.5" customHeight="1" s="90">
      <c r="A607" s="3" t="n"/>
      <c r="E607" s="7" t="n"/>
    </row>
    <row r="608" ht="13.5" customHeight="1" s="90">
      <c r="A608" s="3" t="n"/>
      <c r="E608" s="7" t="n"/>
    </row>
    <row r="609" ht="13.5" customHeight="1" s="90">
      <c r="A609" s="3" t="n"/>
      <c r="E609" s="7" t="n"/>
    </row>
    <row r="610" ht="13.5" customHeight="1" s="90">
      <c r="A610" s="3" t="n"/>
      <c r="E610" s="7" t="n"/>
    </row>
    <row r="611" ht="13.5" customHeight="1" s="90">
      <c r="A611" s="3" t="n"/>
      <c r="E611" s="7" t="n"/>
    </row>
    <row r="612" ht="13.5" customHeight="1" s="90">
      <c r="A612" s="3" t="n"/>
      <c r="E612" s="7" t="n"/>
    </row>
    <row r="613" ht="13.5" customHeight="1" s="90">
      <c r="A613" s="3" t="n"/>
      <c r="E613" s="7" t="n"/>
    </row>
    <row r="614" ht="13.5" customHeight="1" s="90">
      <c r="A614" s="3" t="n"/>
      <c r="E614" s="7" t="n"/>
    </row>
    <row r="615" ht="13.5" customHeight="1" s="90">
      <c r="A615" s="3" t="n"/>
      <c r="E615" s="7" t="n"/>
    </row>
    <row r="616" ht="13.5" customHeight="1" s="90">
      <c r="A616" s="3" t="n"/>
      <c r="E616" s="7" t="n"/>
    </row>
    <row r="617" ht="13.5" customHeight="1" s="90">
      <c r="A617" s="3" t="n"/>
      <c r="E617" s="7" t="n"/>
    </row>
    <row r="618" ht="13.5" customHeight="1" s="90">
      <c r="A618" s="3" t="n"/>
      <c r="E618" s="7" t="n"/>
    </row>
    <row r="619" ht="13.5" customHeight="1" s="90">
      <c r="A619" s="3" t="n"/>
      <c r="E619" s="7" t="n"/>
    </row>
    <row r="620" ht="13.5" customHeight="1" s="90">
      <c r="A620" s="3" t="n"/>
      <c r="E620" s="7" t="n"/>
    </row>
    <row r="621" ht="13.5" customHeight="1" s="90">
      <c r="A621" s="3" t="n"/>
      <c r="E621" s="7" t="n"/>
    </row>
    <row r="622" ht="13.5" customHeight="1" s="90">
      <c r="A622" s="3" t="n"/>
      <c r="E622" s="7" t="n"/>
    </row>
    <row r="623" ht="13.5" customHeight="1" s="90">
      <c r="A623" s="3" t="n"/>
      <c r="E623" s="7" t="n"/>
    </row>
    <row r="624" ht="13.5" customHeight="1" s="90">
      <c r="A624" s="3" t="n"/>
      <c r="E624" s="7" t="n"/>
    </row>
    <row r="625" ht="13.5" customHeight="1" s="90">
      <c r="A625" s="3" t="n"/>
      <c r="E625" s="7" t="n"/>
    </row>
    <row r="626" ht="13.5" customHeight="1" s="90">
      <c r="A626" s="3" t="n"/>
      <c r="E626" s="7" t="n"/>
    </row>
    <row r="627" ht="13.5" customHeight="1" s="90">
      <c r="A627" s="3" t="n"/>
      <c r="E627" s="7" t="n"/>
    </row>
    <row r="628" ht="13.5" customHeight="1" s="90">
      <c r="A628" s="3" t="n"/>
      <c r="E628" s="7" t="n"/>
    </row>
    <row r="629" ht="13.5" customHeight="1" s="90">
      <c r="A629" s="3" t="n"/>
      <c r="E629" s="7" t="n"/>
    </row>
    <row r="630" ht="13.5" customHeight="1" s="90">
      <c r="A630" s="3" t="n"/>
      <c r="E630" s="7" t="n"/>
    </row>
    <row r="631" ht="13.5" customHeight="1" s="90">
      <c r="A631" s="3" t="n"/>
      <c r="E631" s="7" t="n"/>
    </row>
    <row r="632" ht="13.5" customHeight="1" s="90">
      <c r="A632" s="3" t="n"/>
      <c r="E632" s="7" t="n"/>
    </row>
    <row r="633" ht="13.5" customHeight="1" s="90">
      <c r="A633" s="3" t="n"/>
      <c r="E633" s="7" t="n"/>
    </row>
    <row r="634" ht="13.5" customHeight="1" s="90">
      <c r="A634" s="3" t="n"/>
      <c r="E634" s="7" t="n"/>
    </row>
    <row r="635" ht="13.5" customHeight="1" s="90">
      <c r="A635" s="3" t="n"/>
      <c r="E635" s="7" t="n"/>
    </row>
    <row r="636" ht="13.5" customHeight="1" s="90">
      <c r="A636" s="3" t="n"/>
      <c r="E636" s="7" t="n"/>
    </row>
    <row r="637" ht="13.5" customHeight="1" s="90">
      <c r="A637" s="3" t="n"/>
      <c r="E637" s="7" t="n"/>
    </row>
    <row r="638" ht="13.5" customHeight="1" s="90">
      <c r="A638" s="3" t="n"/>
      <c r="E638" s="7" t="n"/>
    </row>
    <row r="639" ht="13.5" customHeight="1" s="90">
      <c r="A639" s="3" t="n"/>
      <c r="E639" s="7" t="n"/>
    </row>
    <row r="640" ht="13.5" customHeight="1" s="90">
      <c r="A640" s="3" t="n"/>
      <c r="E640" s="7" t="n"/>
    </row>
    <row r="641" ht="13.5" customHeight="1" s="90">
      <c r="A641" s="3" t="n"/>
      <c r="E641" s="7" t="n"/>
    </row>
    <row r="642" ht="13.5" customHeight="1" s="90">
      <c r="A642" s="3" t="n"/>
      <c r="E642" s="7" t="n"/>
    </row>
    <row r="643" ht="13.5" customHeight="1" s="90">
      <c r="A643" s="3" t="n"/>
      <c r="E643" s="7" t="n"/>
    </row>
    <row r="644" ht="13.5" customHeight="1" s="90">
      <c r="A644" s="3" t="n"/>
      <c r="E644" s="7" t="n"/>
    </row>
    <row r="645" ht="13.5" customHeight="1" s="90">
      <c r="A645" s="3" t="n"/>
      <c r="E645" s="7" t="n"/>
    </row>
    <row r="646" ht="13.5" customHeight="1" s="90">
      <c r="A646" s="3" t="n"/>
      <c r="E646" s="7" t="n"/>
    </row>
    <row r="647" ht="13.5" customHeight="1" s="90">
      <c r="A647" s="3" t="n"/>
      <c r="E647" s="7" t="n"/>
    </row>
    <row r="648" ht="13.5" customHeight="1" s="90">
      <c r="A648" s="3" t="n"/>
      <c r="E648" s="7" t="n"/>
    </row>
    <row r="649" ht="13.5" customHeight="1" s="90">
      <c r="A649" s="3" t="n"/>
      <c r="E649" s="7" t="n"/>
    </row>
    <row r="650" ht="13.5" customHeight="1" s="90">
      <c r="A650" s="3" t="n"/>
      <c r="E650" s="7" t="n"/>
    </row>
    <row r="651" ht="13.5" customHeight="1" s="90">
      <c r="A651" s="3" t="n"/>
      <c r="E651" s="7" t="n"/>
    </row>
    <row r="652" ht="13.5" customHeight="1" s="90">
      <c r="A652" s="3" t="n"/>
      <c r="E652" s="7" t="n"/>
    </row>
    <row r="653" ht="13.5" customHeight="1" s="90">
      <c r="A653" s="3" t="n"/>
      <c r="E653" s="7" t="n"/>
    </row>
    <row r="654" ht="13.5" customHeight="1" s="90">
      <c r="A654" s="3" t="n"/>
      <c r="E654" s="7" t="n"/>
    </row>
    <row r="655" ht="13.5" customHeight="1" s="90">
      <c r="A655" s="3" t="n"/>
      <c r="E655" s="7" t="n"/>
    </row>
    <row r="656" ht="13.5" customHeight="1" s="90">
      <c r="A656" s="3" t="n"/>
      <c r="E656" s="7" t="n"/>
    </row>
    <row r="657" ht="13.5" customHeight="1" s="90">
      <c r="A657" s="3" t="n"/>
      <c r="E657" s="7" t="n"/>
    </row>
    <row r="658" ht="13.5" customHeight="1" s="90">
      <c r="A658" s="3" t="n"/>
      <c r="E658" s="7" t="n"/>
    </row>
    <row r="659" ht="13.5" customHeight="1" s="90">
      <c r="A659" s="3" t="n"/>
      <c r="E659" s="7" t="n"/>
    </row>
    <row r="660" ht="13.5" customHeight="1" s="90">
      <c r="A660" s="3" t="n"/>
      <c r="E660" s="7" t="n"/>
    </row>
    <row r="661" ht="13.5" customHeight="1" s="90">
      <c r="A661" s="3" t="n"/>
      <c r="E661" s="7" t="n"/>
    </row>
    <row r="662" ht="13.5" customHeight="1" s="90">
      <c r="A662" s="3" t="n"/>
      <c r="E662" s="7" t="n"/>
    </row>
    <row r="663" ht="13.5" customHeight="1" s="90">
      <c r="A663" s="3" t="n"/>
      <c r="E663" s="7" t="n"/>
    </row>
    <row r="664" ht="13.5" customHeight="1" s="90">
      <c r="A664" s="3" t="n"/>
      <c r="E664" s="7" t="n"/>
    </row>
    <row r="665" ht="13.5" customHeight="1" s="90">
      <c r="A665" s="3" t="n"/>
      <c r="E665" s="7" t="n"/>
    </row>
    <row r="666" ht="13.5" customHeight="1" s="90">
      <c r="A666" s="3" t="n"/>
      <c r="E666" s="7" t="n"/>
    </row>
    <row r="667" ht="13.5" customHeight="1" s="90">
      <c r="A667" s="3" t="n"/>
      <c r="E667" s="7" t="n"/>
    </row>
    <row r="668" ht="13.5" customHeight="1" s="90">
      <c r="A668" s="3" t="n"/>
      <c r="E668" s="7" t="n"/>
    </row>
    <row r="669" ht="13.5" customHeight="1" s="90">
      <c r="A669" s="3" t="n"/>
      <c r="E669" s="7" t="n"/>
    </row>
    <row r="670" ht="13.5" customHeight="1" s="90">
      <c r="A670" s="3" t="n"/>
      <c r="E670" s="7" t="n"/>
    </row>
    <row r="671" ht="13.5" customHeight="1" s="90">
      <c r="A671" s="3" t="n"/>
      <c r="E671" s="7" t="n"/>
    </row>
    <row r="672" ht="13.5" customHeight="1" s="90">
      <c r="A672" s="3" t="n"/>
      <c r="E672" s="7" t="n"/>
    </row>
    <row r="673" ht="13.5" customHeight="1" s="90">
      <c r="A673" s="3" t="n"/>
      <c r="E673" s="7" t="n"/>
    </row>
    <row r="674" ht="13.5" customHeight="1" s="90">
      <c r="A674" s="3" t="n"/>
      <c r="E674" s="7" t="n"/>
    </row>
    <row r="675" ht="13.5" customHeight="1" s="90">
      <c r="A675" s="3" t="n"/>
      <c r="E675" s="7" t="n"/>
    </row>
    <row r="676" ht="13.5" customHeight="1" s="90">
      <c r="A676" s="3" t="n"/>
      <c r="E676" s="7" t="n"/>
    </row>
    <row r="677" ht="13.5" customHeight="1" s="90">
      <c r="A677" s="3" t="n"/>
      <c r="E677" s="7" t="n"/>
    </row>
    <row r="678" ht="13.5" customHeight="1" s="90">
      <c r="A678" s="3" t="n"/>
      <c r="E678" s="7" t="n"/>
    </row>
    <row r="679" ht="13.5" customHeight="1" s="90">
      <c r="A679" s="3" t="n"/>
      <c r="E679" s="7" t="n"/>
    </row>
    <row r="680" ht="13.5" customHeight="1" s="90">
      <c r="A680" s="3" t="n"/>
      <c r="E680" s="7" t="n"/>
    </row>
    <row r="681" ht="13.5" customHeight="1" s="90">
      <c r="A681" s="3" t="n"/>
      <c r="E681" s="7" t="n"/>
    </row>
    <row r="682" ht="13.5" customHeight="1" s="90">
      <c r="A682" s="3" t="n"/>
      <c r="E682" s="7" t="n"/>
    </row>
    <row r="683" ht="13.5" customHeight="1" s="90">
      <c r="A683" s="3" t="n"/>
      <c r="E683" s="7" t="n"/>
    </row>
    <row r="684" ht="13.5" customHeight="1" s="90">
      <c r="A684" s="3" t="n"/>
      <c r="E684" s="7" t="n"/>
    </row>
    <row r="685" ht="13.5" customHeight="1" s="90">
      <c r="A685" s="3" t="n"/>
      <c r="E685" s="7" t="n"/>
    </row>
    <row r="686" ht="13.5" customHeight="1" s="90">
      <c r="A686" s="3" t="n"/>
      <c r="E686" s="7" t="n"/>
    </row>
    <row r="687" ht="13.5" customHeight="1" s="90">
      <c r="A687" s="3" t="n"/>
      <c r="E687" s="7" t="n"/>
    </row>
    <row r="688" ht="13.5" customHeight="1" s="90">
      <c r="A688" s="3" t="n"/>
      <c r="E688" s="7" t="n"/>
    </row>
    <row r="689" ht="13.5" customHeight="1" s="90">
      <c r="A689" s="3" t="n"/>
      <c r="E689" s="7" t="n"/>
    </row>
    <row r="690" ht="13.5" customHeight="1" s="90">
      <c r="A690" s="3" t="n"/>
      <c r="E690" s="7" t="n"/>
    </row>
    <row r="691" ht="13.5" customHeight="1" s="90">
      <c r="A691" s="3" t="n"/>
      <c r="E691" s="7" t="n"/>
    </row>
    <row r="692" ht="13.5" customHeight="1" s="90">
      <c r="A692" s="3" t="n"/>
      <c r="E692" s="7" t="n"/>
    </row>
    <row r="693" ht="13.5" customHeight="1" s="90">
      <c r="A693" s="3" t="n"/>
      <c r="E693" s="7" t="n"/>
    </row>
    <row r="694" ht="13.5" customHeight="1" s="90">
      <c r="A694" s="3" t="n"/>
      <c r="E694" s="7" t="n"/>
    </row>
    <row r="695" ht="13.5" customHeight="1" s="90">
      <c r="A695" s="3" t="n"/>
      <c r="E695" s="7" t="n"/>
    </row>
    <row r="696" ht="13.5" customHeight="1" s="90">
      <c r="A696" s="3" t="n"/>
      <c r="E696" s="7" t="n"/>
    </row>
    <row r="697" ht="13.5" customHeight="1" s="90">
      <c r="A697" s="3" t="n"/>
      <c r="E697" s="7" t="n"/>
    </row>
    <row r="698" ht="13.5" customHeight="1" s="90">
      <c r="A698" s="3" t="n"/>
      <c r="E698" s="7" t="n"/>
    </row>
    <row r="699" ht="13.5" customHeight="1" s="90">
      <c r="A699" s="3" t="n"/>
      <c r="E699" s="7" t="n"/>
    </row>
    <row r="700" ht="13.5" customHeight="1" s="90">
      <c r="A700" s="3" t="n"/>
      <c r="E700" s="7" t="n"/>
    </row>
    <row r="701" ht="13.5" customHeight="1" s="90">
      <c r="A701" s="3" t="n"/>
      <c r="E701" s="7" t="n"/>
    </row>
    <row r="702" ht="13.5" customHeight="1" s="90">
      <c r="A702" s="3" t="n"/>
      <c r="E702" s="7" t="n"/>
    </row>
    <row r="703" ht="13.5" customHeight="1" s="90">
      <c r="A703" s="3" t="n"/>
      <c r="E703" s="7" t="n"/>
    </row>
    <row r="704" ht="13.5" customHeight="1" s="90">
      <c r="A704" s="3" t="n"/>
      <c r="E704" s="7" t="n"/>
    </row>
    <row r="705" ht="13.5" customHeight="1" s="90">
      <c r="A705" s="3" t="n"/>
      <c r="E705" s="7" t="n"/>
    </row>
    <row r="706" ht="13.5" customHeight="1" s="90">
      <c r="A706" s="3" t="n"/>
      <c r="E706" s="7" t="n"/>
    </row>
    <row r="707" ht="13.5" customHeight="1" s="90">
      <c r="A707" s="3" t="n"/>
      <c r="E707" s="7" t="n"/>
    </row>
    <row r="708" ht="13.5" customHeight="1" s="90">
      <c r="A708" s="3" t="n"/>
      <c r="E708" s="7" t="n"/>
    </row>
    <row r="709" ht="13.5" customHeight="1" s="90">
      <c r="A709" s="3" t="n"/>
      <c r="E709" s="7" t="n"/>
    </row>
    <row r="710" ht="13.5" customHeight="1" s="90">
      <c r="A710" s="3" t="n"/>
      <c r="E710" s="7" t="n"/>
    </row>
    <row r="711" ht="13.5" customHeight="1" s="90">
      <c r="A711" s="3" t="n"/>
      <c r="E711" s="7" t="n"/>
    </row>
    <row r="712" ht="13.5" customHeight="1" s="90">
      <c r="A712" s="3" t="n"/>
      <c r="E712" s="7" t="n"/>
    </row>
    <row r="713" ht="13.5" customHeight="1" s="90">
      <c r="A713" s="3" t="n"/>
      <c r="E713" s="7" t="n"/>
    </row>
    <row r="714" ht="13.5" customHeight="1" s="90">
      <c r="A714" s="3" t="n"/>
      <c r="E714" s="7" t="n"/>
    </row>
    <row r="715" ht="13.5" customHeight="1" s="90">
      <c r="A715" s="3" t="n"/>
      <c r="E715" s="7" t="n"/>
    </row>
    <row r="716" ht="13.5" customHeight="1" s="90">
      <c r="A716" s="3" t="n"/>
      <c r="E716" s="7" t="n"/>
    </row>
    <row r="717" ht="13.5" customHeight="1" s="90">
      <c r="A717" s="3" t="n"/>
      <c r="E717" s="7" t="n"/>
    </row>
    <row r="718" ht="13.5" customHeight="1" s="90">
      <c r="A718" s="3" t="n"/>
      <c r="E718" s="7" t="n"/>
    </row>
    <row r="719" ht="13.5" customHeight="1" s="90">
      <c r="A719" s="3" t="n"/>
      <c r="E719" s="7" t="n"/>
    </row>
    <row r="720" ht="13.5" customHeight="1" s="90">
      <c r="A720" s="3" t="n"/>
      <c r="E720" s="7" t="n"/>
    </row>
    <row r="721" ht="13.5" customHeight="1" s="90">
      <c r="A721" s="3" t="n"/>
      <c r="E721" s="7" t="n"/>
    </row>
    <row r="722" ht="13.5" customHeight="1" s="90">
      <c r="A722" s="3" t="n"/>
      <c r="E722" s="7" t="n"/>
    </row>
    <row r="723" ht="13.5" customHeight="1" s="90">
      <c r="A723" s="3" t="n"/>
      <c r="E723" s="7" t="n"/>
    </row>
    <row r="724" ht="13.5" customHeight="1" s="90">
      <c r="A724" s="3" t="n"/>
      <c r="E724" s="7" t="n"/>
    </row>
    <row r="725" ht="13.5" customHeight="1" s="90">
      <c r="A725" s="3" t="n"/>
      <c r="E725" s="7" t="n"/>
    </row>
    <row r="726" ht="13.5" customHeight="1" s="90">
      <c r="A726" s="3" t="n"/>
      <c r="E726" s="7" t="n"/>
    </row>
    <row r="727" ht="13.5" customHeight="1" s="90">
      <c r="A727" s="3" t="n"/>
      <c r="E727" s="7" t="n"/>
    </row>
    <row r="728" ht="13.5" customHeight="1" s="90">
      <c r="A728" s="3" t="n"/>
      <c r="E728" s="7" t="n"/>
    </row>
    <row r="729" ht="13.5" customHeight="1" s="90">
      <c r="A729" s="3" t="n"/>
      <c r="E729" s="7" t="n"/>
    </row>
    <row r="730" ht="13.5" customHeight="1" s="90">
      <c r="A730" s="3" t="n"/>
      <c r="E730" s="7" t="n"/>
    </row>
    <row r="731" ht="13.5" customHeight="1" s="90">
      <c r="A731" s="3" t="n"/>
      <c r="E731" s="7" t="n"/>
    </row>
    <row r="732" ht="13.5" customHeight="1" s="90">
      <c r="A732" s="3" t="n"/>
      <c r="E732" s="7" t="n"/>
    </row>
    <row r="733" ht="13.5" customHeight="1" s="90">
      <c r="A733" s="3" t="n"/>
      <c r="E733" s="7" t="n"/>
    </row>
    <row r="734" ht="13.5" customHeight="1" s="90">
      <c r="A734" s="3" t="n"/>
      <c r="E734" s="7" t="n"/>
    </row>
    <row r="735" ht="13.5" customHeight="1" s="90">
      <c r="A735" s="3" t="n"/>
      <c r="E735" s="7" t="n"/>
    </row>
    <row r="736" ht="13.5" customHeight="1" s="90">
      <c r="A736" s="3" t="n"/>
      <c r="E736" s="7" t="n"/>
    </row>
    <row r="737" ht="13.5" customHeight="1" s="90">
      <c r="A737" s="3" t="n"/>
      <c r="E737" s="7" t="n"/>
    </row>
    <row r="738" ht="13.5" customHeight="1" s="90">
      <c r="A738" s="3" t="n"/>
      <c r="E738" s="7" t="n"/>
    </row>
    <row r="739" ht="13.5" customHeight="1" s="90">
      <c r="A739" s="3" t="n"/>
      <c r="E739" s="7" t="n"/>
    </row>
    <row r="740" ht="13.5" customHeight="1" s="90">
      <c r="A740" s="3" t="n"/>
      <c r="E740" s="7" t="n"/>
    </row>
    <row r="741" ht="13.5" customHeight="1" s="90">
      <c r="A741" s="3" t="n"/>
      <c r="E741" s="7" t="n"/>
    </row>
    <row r="742" ht="13.5" customHeight="1" s="90">
      <c r="A742" s="3" t="n"/>
      <c r="E742" s="7" t="n"/>
    </row>
    <row r="743" ht="13.5" customHeight="1" s="90">
      <c r="A743" s="3" t="n"/>
      <c r="E743" s="7" t="n"/>
    </row>
    <row r="744" ht="13.5" customHeight="1" s="90">
      <c r="A744" s="3" t="n"/>
      <c r="E744" s="7" t="n"/>
    </row>
    <row r="745" ht="13.5" customHeight="1" s="90">
      <c r="A745" s="3" t="n"/>
      <c r="E745" s="7" t="n"/>
    </row>
    <row r="746" ht="13.5" customHeight="1" s="90">
      <c r="A746" s="3" t="n"/>
      <c r="E746" s="7" t="n"/>
    </row>
    <row r="747" ht="13.5" customHeight="1" s="90">
      <c r="A747" s="3" t="n"/>
      <c r="E747" s="7" t="n"/>
    </row>
    <row r="748" ht="13.5" customHeight="1" s="90">
      <c r="A748" s="3" t="n"/>
      <c r="E748" s="7" t="n"/>
    </row>
    <row r="749" ht="13.5" customHeight="1" s="90">
      <c r="A749" s="3" t="n"/>
      <c r="E749" s="7" t="n"/>
    </row>
    <row r="750" ht="13.5" customHeight="1" s="90">
      <c r="A750" s="3" t="n"/>
      <c r="E750" s="7" t="n"/>
    </row>
    <row r="751" ht="13.5" customHeight="1" s="90">
      <c r="A751" s="3" t="n"/>
      <c r="E751" s="7" t="n"/>
    </row>
    <row r="752" ht="13.5" customHeight="1" s="90">
      <c r="A752" s="3" t="n"/>
      <c r="E752" s="7" t="n"/>
    </row>
    <row r="753" ht="13.5" customHeight="1" s="90">
      <c r="A753" s="3" t="n"/>
      <c r="E753" s="7" t="n"/>
    </row>
    <row r="754" ht="13.5" customHeight="1" s="90">
      <c r="A754" s="3" t="n"/>
      <c r="E754" s="7" t="n"/>
    </row>
    <row r="755" ht="13.5" customHeight="1" s="90">
      <c r="A755" s="3" t="n"/>
      <c r="E755" s="7" t="n"/>
    </row>
    <row r="756" ht="13.5" customHeight="1" s="90">
      <c r="A756" s="3" t="n"/>
      <c r="E756" s="7" t="n"/>
    </row>
    <row r="757" ht="13.5" customHeight="1" s="90">
      <c r="A757" s="3" t="n"/>
      <c r="E757" s="7" t="n"/>
    </row>
    <row r="758" ht="13.5" customHeight="1" s="90">
      <c r="A758" s="3" t="n"/>
      <c r="E758" s="7" t="n"/>
    </row>
    <row r="759" ht="13.5" customHeight="1" s="90">
      <c r="A759" s="3" t="n"/>
      <c r="E759" s="7" t="n"/>
    </row>
    <row r="760" ht="13.5" customHeight="1" s="90">
      <c r="A760" s="3" t="n"/>
      <c r="E760" s="7" t="n"/>
    </row>
    <row r="761" ht="13.5" customHeight="1" s="90">
      <c r="A761" s="3" t="n"/>
      <c r="E761" s="7" t="n"/>
    </row>
    <row r="762" ht="13.5" customHeight="1" s="90">
      <c r="A762" s="3" t="n"/>
      <c r="E762" s="7" t="n"/>
    </row>
    <row r="763" ht="13.5" customHeight="1" s="90">
      <c r="A763" s="3" t="n"/>
      <c r="E763" s="7" t="n"/>
    </row>
    <row r="764" ht="13.5" customHeight="1" s="90">
      <c r="A764" s="3" t="n"/>
      <c r="E764" s="7" t="n"/>
    </row>
    <row r="765" ht="13.5" customHeight="1" s="90">
      <c r="A765" s="3" t="n"/>
      <c r="E765" s="7" t="n"/>
    </row>
    <row r="766" ht="13.5" customHeight="1" s="90">
      <c r="A766" s="3" t="n"/>
      <c r="E766" s="7" t="n"/>
    </row>
    <row r="767" ht="13.5" customHeight="1" s="90">
      <c r="A767" s="3" t="n"/>
      <c r="E767" s="7" t="n"/>
    </row>
    <row r="768" ht="13.5" customHeight="1" s="90">
      <c r="A768" s="3" t="n"/>
      <c r="E768" s="7" t="n"/>
    </row>
    <row r="769" ht="13.5" customHeight="1" s="90">
      <c r="A769" s="3" t="n"/>
      <c r="E769" s="7" t="n"/>
    </row>
    <row r="770" ht="13.5" customHeight="1" s="90">
      <c r="A770" s="3" t="n"/>
      <c r="E770" s="7" t="n"/>
    </row>
    <row r="771" ht="13.5" customHeight="1" s="90">
      <c r="A771" s="3" t="n"/>
      <c r="E771" s="7" t="n"/>
    </row>
    <row r="772" ht="13.5" customHeight="1" s="90">
      <c r="A772" s="3" t="n"/>
      <c r="E772" s="7" t="n"/>
    </row>
    <row r="773" ht="13.5" customHeight="1" s="90">
      <c r="A773" s="3" t="n"/>
      <c r="E773" s="7" t="n"/>
    </row>
    <row r="774" ht="13.5" customHeight="1" s="90">
      <c r="A774" s="3" t="n"/>
      <c r="E774" s="7" t="n"/>
    </row>
    <row r="775" ht="13.5" customHeight="1" s="90">
      <c r="A775" s="3" t="n"/>
      <c r="E775" s="7" t="n"/>
    </row>
    <row r="776" ht="13.5" customHeight="1" s="90">
      <c r="A776" s="3" t="n"/>
      <c r="E776" s="7" t="n"/>
    </row>
    <row r="777" ht="13.5" customHeight="1" s="90">
      <c r="A777" s="3" t="n"/>
      <c r="E777" s="7" t="n"/>
    </row>
    <row r="778" ht="13.5" customHeight="1" s="90">
      <c r="A778" s="3" t="n"/>
      <c r="E778" s="7" t="n"/>
    </row>
    <row r="779" ht="13.5" customHeight="1" s="90">
      <c r="A779" s="3" t="n"/>
      <c r="E779" s="7" t="n"/>
    </row>
    <row r="780" ht="13.5" customHeight="1" s="90">
      <c r="A780" s="3" t="n"/>
      <c r="E780" s="7" t="n"/>
    </row>
    <row r="781" ht="13.5" customHeight="1" s="90">
      <c r="A781" s="3" t="n"/>
      <c r="E781" s="7" t="n"/>
    </row>
    <row r="782" ht="13.5" customHeight="1" s="90">
      <c r="A782" s="3" t="n"/>
      <c r="E782" s="7" t="n"/>
    </row>
    <row r="783" ht="13.5" customHeight="1" s="90">
      <c r="A783" s="3" t="n"/>
      <c r="E783" s="7" t="n"/>
    </row>
    <row r="784" ht="13.5" customHeight="1" s="90">
      <c r="A784" s="3" t="n"/>
      <c r="E784" s="7" t="n"/>
    </row>
    <row r="785" ht="13.5" customHeight="1" s="90">
      <c r="A785" s="3" t="n"/>
      <c r="E785" s="7" t="n"/>
    </row>
    <row r="786" ht="13.5" customHeight="1" s="90">
      <c r="A786" s="3" t="n"/>
      <c r="E786" s="7" t="n"/>
    </row>
    <row r="787" ht="13.5" customHeight="1" s="90">
      <c r="A787" s="3" t="n"/>
      <c r="E787" s="7" t="n"/>
    </row>
    <row r="788" ht="13.5" customHeight="1" s="90">
      <c r="A788" s="3" t="n"/>
      <c r="E788" s="7" t="n"/>
    </row>
    <row r="789" ht="13.5" customHeight="1" s="90">
      <c r="A789" s="3" t="n"/>
      <c r="E789" s="7" t="n"/>
    </row>
    <row r="790" ht="13.5" customHeight="1" s="90">
      <c r="A790" s="3" t="n"/>
      <c r="E790" s="7" t="n"/>
    </row>
    <row r="791" ht="13.5" customHeight="1" s="90">
      <c r="A791" s="3" t="n"/>
      <c r="E791" s="7" t="n"/>
    </row>
    <row r="792" ht="13.5" customHeight="1" s="90">
      <c r="A792" s="3" t="n"/>
      <c r="E792" s="7" t="n"/>
    </row>
    <row r="793" ht="13.5" customHeight="1" s="90">
      <c r="A793" s="3" t="n"/>
      <c r="E793" s="7" t="n"/>
    </row>
    <row r="794" ht="13.5" customHeight="1" s="90">
      <c r="A794" s="3" t="n"/>
      <c r="E794" s="7" t="n"/>
    </row>
    <row r="795" ht="13.5" customHeight="1" s="90">
      <c r="A795" s="3" t="n"/>
      <c r="E795" s="7" t="n"/>
    </row>
    <row r="796" ht="13.5" customHeight="1" s="90">
      <c r="A796" s="3" t="n"/>
      <c r="E796" s="7" t="n"/>
    </row>
    <row r="797" ht="13.5" customHeight="1" s="90">
      <c r="A797" s="3" t="n"/>
      <c r="E797" s="7" t="n"/>
    </row>
    <row r="798" ht="13.5" customHeight="1" s="90">
      <c r="A798" s="3" t="n"/>
      <c r="E798" s="7" t="n"/>
    </row>
    <row r="799" ht="13.5" customHeight="1" s="90">
      <c r="A799" s="3" t="n"/>
      <c r="E799" s="7" t="n"/>
    </row>
    <row r="800" ht="13.5" customHeight="1" s="90">
      <c r="A800" s="3" t="n"/>
      <c r="E800" s="7" t="n"/>
    </row>
    <row r="801" ht="13.5" customHeight="1" s="90">
      <c r="A801" s="3" t="n"/>
      <c r="E801" s="7" t="n"/>
    </row>
    <row r="802" ht="13.5" customHeight="1" s="90">
      <c r="A802" s="3" t="n"/>
      <c r="E802" s="7" t="n"/>
    </row>
    <row r="803" ht="13.5" customHeight="1" s="90">
      <c r="A803" s="3" t="n"/>
      <c r="E803" s="7" t="n"/>
    </row>
    <row r="804" ht="13.5" customHeight="1" s="90">
      <c r="A804" s="3" t="n"/>
      <c r="E804" s="7" t="n"/>
    </row>
    <row r="805" ht="13.5" customHeight="1" s="90">
      <c r="A805" s="3" t="n"/>
      <c r="E805" s="7" t="n"/>
    </row>
    <row r="806" ht="13.5" customHeight="1" s="90">
      <c r="A806" s="3" t="n"/>
      <c r="E806" s="7" t="n"/>
    </row>
    <row r="807" ht="13.5" customHeight="1" s="90">
      <c r="A807" s="3" t="n"/>
      <c r="E807" s="7" t="n"/>
    </row>
    <row r="808" ht="13.5" customHeight="1" s="90">
      <c r="A808" s="3" t="n"/>
      <c r="E808" s="7" t="n"/>
    </row>
    <row r="809" ht="13.5" customHeight="1" s="90">
      <c r="A809" s="3" t="n"/>
      <c r="E809" s="7" t="n"/>
    </row>
    <row r="810" ht="13.5" customHeight="1" s="90">
      <c r="A810" s="3" t="n"/>
      <c r="E810" s="7" t="n"/>
    </row>
    <row r="811" ht="13.5" customHeight="1" s="90">
      <c r="A811" s="3" t="n"/>
      <c r="E811" s="7" t="n"/>
    </row>
    <row r="812" ht="13.5" customHeight="1" s="90">
      <c r="A812" s="3" t="n"/>
      <c r="E812" s="7" t="n"/>
    </row>
    <row r="813" ht="13.5" customHeight="1" s="90">
      <c r="A813" s="3" t="n"/>
      <c r="E813" s="7" t="n"/>
    </row>
    <row r="814" ht="13.5" customHeight="1" s="90">
      <c r="A814" s="3" t="n"/>
      <c r="E814" s="7" t="n"/>
    </row>
    <row r="815" ht="13.5" customHeight="1" s="90">
      <c r="A815" s="3" t="n"/>
      <c r="E815" s="7" t="n"/>
    </row>
    <row r="816" ht="13.5" customHeight="1" s="90">
      <c r="A816" s="3" t="n"/>
      <c r="E816" s="7" t="n"/>
    </row>
    <row r="817" ht="13.5" customHeight="1" s="90">
      <c r="A817" s="3" t="n"/>
      <c r="E817" s="7" t="n"/>
    </row>
    <row r="818" ht="13.5" customHeight="1" s="90">
      <c r="A818" s="3" t="n"/>
      <c r="E818" s="7" t="n"/>
    </row>
    <row r="819" ht="13.5" customHeight="1" s="90">
      <c r="A819" s="3" t="n"/>
      <c r="E819" s="7" t="n"/>
    </row>
    <row r="820" ht="13.5" customHeight="1" s="90">
      <c r="A820" s="3" t="n"/>
      <c r="E820" s="7" t="n"/>
    </row>
    <row r="821" ht="13.5" customHeight="1" s="90">
      <c r="A821" s="3" t="n"/>
      <c r="E821" s="7" t="n"/>
    </row>
    <row r="822" ht="13.5" customHeight="1" s="90">
      <c r="A822" s="3" t="n"/>
      <c r="E822" s="7" t="n"/>
    </row>
    <row r="823" ht="13.5" customHeight="1" s="90">
      <c r="A823" s="3" t="n"/>
      <c r="E823" s="7" t="n"/>
    </row>
    <row r="824" ht="13.5" customHeight="1" s="90">
      <c r="A824" s="3" t="n"/>
      <c r="E824" s="7" t="n"/>
    </row>
    <row r="825" ht="13.5" customHeight="1" s="90">
      <c r="A825" s="3" t="n"/>
      <c r="E825" s="7" t="n"/>
    </row>
    <row r="826" ht="13.5" customHeight="1" s="90">
      <c r="A826" s="3" t="n"/>
      <c r="E826" s="7" t="n"/>
    </row>
    <row r="827" ht="13.5" customHeight="1" s="90">
      <c r="A827" s="3" t="n"/>
      <c r="E827" s="7" t="n"/>
    </row>
    <row r="828" ht="13.5" customHeight="1" s="90">
      <c r="A828" s="3" t="n"/>
      <c r="E828" s="7" t="n"/>
    </row>
    <row r="829" ht="13.5" customHeight="1" s="90">
      <c r="A829" s="3" t="n"/>
      <c r="E829" s="7" t="n"/>
    </row>
    <row r="830" ht="13.5" customHeight="1" s="90">
      <c r="A830" s="3" t="n"/>
      <c r="E830" s="7" t="n"/>
    </row>
    <row r="831" ht="13.5" customHeight="1" s="90">
      <c r="A831" s="3" t="n"/>
      <c r="E831" s="7" t="n"/>
    </row>
    <row r="832" ht="13.5" customHeight="1" s="90">
      <c r="A832" s="3" t="n"/>
      <c r="E832" s="7" t="n"/>
    </row>
    <row r="833" ht="13.5" customHeight="1" s="90">
      <c r="A833" s="3" t="n"/>
      <c r="E833" s="7" t="n"/>
    </row>
    <row r="834" ht="13.5" customHeight="1" s="90">
      <c r="A834" s="3" t="n"/>
      <c r="E834" s="7" t="n"/>
    </row>
    <row r="835" ht="13.5" customHeight="1" s="90">
      <c r="A835" s="3" t="n"/>
      <c r="E835" s="7" t="n"/>
    </row>
    <row r="836" ht="13.5" customHeight="1" s="90">
      <c r="A836" s="3" t="n"/>
      <c r="E836" s="7" t="n"/>
    </row>
    <row r="837" ht="13.5" customHeight="1" s="90">
      <c r="A837" s="3" t="n"/>
      <c r="E837" s="7" t="n"/>
    </row>
    <row r="838" ht="13.5" customHeight="1" s="90">
      <c r="A838" s="3" t="n"/>
      <c r="E838" s="7" t="n"/>
    </row>
    <row r="839" ht="13.5" customHeight="1" s="90">
      <c r="A839" s="3" t="n"/>
      <c r="E839" s="7" t="n"/>
    </row>
    <row r="840" ht="13.5" customHeight="1" s="90">
      <c r="A840" s="3" t="n"/>
      <c r="E840" s="7" t="n"/>
    </row>
    <row r="841" ht="13.5" customHeight="1" s="90">
      <c r="A841" s="3" t="n"/>
      <c r="E841" s="7" t="n"/>
    </row>
    <row r="842" ht="13.5" customHeight="1" s="90">
      <c r="A842" s="3" t="n"/>
      <c r="E842" s="7" t="n"/>
    </row>
    <row r="843" ht="13.5" customHeight="1" s="90">
      <c r="A843" s="3" t="n"/>
      <c r="E843" s="7" t="n"/>
    </row>
    <row r="844" ht="13.5" customHeight="1" s="90">
      <c r="A844" s="3" t="n"/>
      <c r="E844" s="7" t="n"/>
    </row>
    <row r="845" ht="13.5" customHeight="1" s="90">
      <c r="A845" s="3" t="n"/>
      <c r="E845" s="7" t="n"/>
    </row>
    <row r="846" ht="13.5" customHeight="1" s="90">
      <c r="A846" s="3" t="n"/>
      <c r="E846" s="7" t="n"/>
    </row>
    <row r="847" ht="13.5" customHeight="1" s="90">
      <c r="A847" s="3" t="n"/>
      <c r="E847" s="7" t="n"/>
    </row>
    <row r="848" ht="13.5" customHeight="1" s="90">
      <c r="A848" s="3" t="n"/>
      <c r="E848" s="7" t="n"/>
    </row>
    <row r="849" ht="13.5" customHeight="1" s="90">
      <c r="A849" s="3" t="n"/>
      <c r="E849" s="7" t="n"/>
    </row>
    <row r="850" ht="13.5" customHeight="1" s="90">
      <c r="A850" s="3" t="n"/>
      <c r="E850" s="7" t="n"/>
    </row>
    <row r="851" ht="13.5" customHeight="1" s="90">
      <c r="A851" s="3" t="n"/>
      <c r="E851" s="7" t="n"/>
    </row>
    <row r="852" ht="13.5" customHeight="1" s="90">
      <c r="A852" s="3" t="n"/>
      <c r="E852" s="7" t="n"/>
    </row>
    <row r="853" ht="13.5" customHeight="1" s="90">
      <c r="A853" s="3" t="n"/>
      <c r="E853" s="7" t="n"/>
    </row>
    <row r="854" ht="13.5" customHeight="1" s="90">
      <c r="A854" s="3" t="n"/>
      <c r="E854" s="7" t="n"/>
    </row>
    <row r="855" ht="13.5" customHeight="1" s="90">
      <c r="A855" s="3" t="n"/>
      <c r="E855" s="7" t="n"/>
    </row>
    <row r="856" ht="13.5" customHeight="1" s="90">
      <c r="A856" s="3" t="n"/>
      <c r="E856" s="7" t="n"/>
    </row>
    <row r="857" ht="13.5" customHeight="1" s="90">
      <c r="A857" s="3" t="n"/>
      <c r="E857" s="7" t="n"/>
    </row>
    <row r="858" ht="13.5" customHeight="1" s="90">
      <c r="A858" s="3" t="n"/>
      <c r="E858" s="7" t="n"/>
    </row>
    <row r="859" ht="13.5" customHeight="1" s="90">
      <c r="A859" s="3" t="n"/>
      <c r="E859" s="7" t="n"/>
    </row>
    <row r="860" ht="13.5" customHeight="1" s="90">
      <c r="A860" s="3" t="n"/>
      <c r="E860" s="7" t="n"/>
    </row>
    <row r="861" ht="13.5" customHeight="1" s="90">
      <c r="A861" s="3" t="n"/>
      <c r="E861" s="7" t="n"/>
    </row>
    <row r="862" ht="13.5" customHeight="1" s="90">
      <c r="A862" s="3" t="n"/>
      <c r="E862" s="7" t="n"/>
    </row>
    <row r="863" ht="13.5" customHeight="1" s="90">
      <c r="A863" s="3" t="n"/>
      <c r="E863" s="7" t="n"/>
    </row>
    <row r="864" ht="13.5" customHeight="1" s="90">
      <c r="A864" s="3" t="n"/>
      <c r="E864" s="7" t="n"/>
    </row>
    <row r="865" ht="13.5" customHeight="1" s="90">
      <c r="A865" s="3" t="n"/>
      <c r="E865" s="7" t="n"/>
    </row>
    <row r="866" ht="13.5" customHeight="1" s="90">
      <c r="A866" s="3" t="n"/>
      <c r="E866" s="7" t="n"/>
    </row>
    <row r="867" ht="13.5" customHeight="1" s="90">
      <c r="A867" s="3" t="n"/>
      <c r="E867" s="7" t="n"/>
    </row>
    <row r="868" ht="13.5" customHeight="1" s="90">
      <c r="A868" s="3" t="n"/>
      <c r="E868" s="7" t="n"/>
    </row>
    <row r="869" ht="13.5" customHeight="1" s="90">
      <c r="A869" s="3" t="n"/>
      <c r="E869" s="7" t="n"/>
    </row>
    <row r="870" ht="13.5" customHeight="1" s="90">
      <c r="A870" s="3" t="n"/>
      <c r="E870" s="7" t="n"/>
    </row>
    <row r="871" ht="13.5" customHeight="1" s="90">
      <c r="A871" s="3" t="n"/>
      <c r="E871" s="7" t="n"/>
    </row>
    <row r="872" ht="13.5" customHeight="1" s="90">
      <c r="A872" s="3" t="n"/>
      <c r="E872" s="7" t="n"/>
    </row>
    <row r="873" ht="13.5" customHeight="1" s="90">
      <c r="A873" s="3" t="n"/>
      <c r="E873" s="7" t="n"/>
    </row>
    <row r="874" ht="13.5" customHeight="1" s="90">
      <c r="A874" s="3" t="n"/>
      <c r="E874" s="7" t="n"/>
    </row>
    <row r="875" ht="13.5" customHeight="1" s="90">
      <c r="A875" s="3" t="n"/>
      <c r="E875" s="7" t="n"/>
    </row>
    <row r="876" ht="13.5" customHeight="1" s="90">
      <c r="A876" s="3" t="n"/>
      <c r="E876" s="7" t="n"/>
    </row>
    <row r="877" ht="13.5" customHeight="1" s="90">
      <c r="A877" s="3" t="n"/>
      <c r="E877" s="7" t="n"/>
    </row>
    <row r="878" ht="13.5" customHeight="1" s="90">
      <c r="A878" s="3" t="n"/>
      <c r="E878" s="7" t="n"/>
    </row>
    <row r="879" ht="13.5" customHeight="1" s="90">
      <c r="A879" s="3" t="n"/>
      <c r="E879" s="7" t="n"/>
    </row>
    <row r="880" ht="13.5" customHeight="1" s="90">
      <c r="A880" s="3" t="n"/>
      <c r="E880" s="7" t="n"/>
    </row>
    <row r="881" ht="13.5" customHeight="1" s="90">
      <c r="A881" s="3" t="n"/>
      <c r="E881" s="7" t="n"/>
    </row>
    <row r="882" ht="13.5" customHeight="1" s="90">
      <c r="A882" s="3" t="n"/>
      <c r="E882" s="7" t="n"/>
    </row>
    <row r="883" ht="13.5" customHeight="1" s="90">
      <c r="A883" s="3" t="n"/>
      <c r="E883" s="7" t="n"/>
    </row>
    <row r="884" ht="13.5" customHeight="1" s="90">
      <c r="A884" s="3" t="n"/>
      <c r="E884" s="7" t="n"/>
    </row>
    <row r="885" ht="13.5" customHeight="1" s="90">
      <c r="A885" s="3" t="n"/>
      <c r="E885" s="7" t="n"/>
    </row>
    <row r="886" ht="13.5" customHeight="1" s="90">
      <c r="A886" s="3" t="n"/>
      <c r="E886" s="7" t="n"/>
    </row>
    <row r="887" ht="13.5" customHeight="1" s="90">
      <c r="A887" s="3" t="n"/>
      <c r="E887" s="7" t="n"/>
    </row>
    <row r="888" ht="13.5" customHeight="1" s="90">
      <c r="A888" s="3" t="n"/>
      <c r="E888" s="7" t="n"/>
    </row>
    <row r="889" ht="13.5" customHeight="1" s="90">
      <c r="A889" s="3" t="n"/>
      <c r="E889" s="7" t="n"/>
    </row>
    <row r="890" ht="13.5" customHeight="1" s="90">
      <c r="A890" s="3" t="n"/>
      <c r="E890" s="7" t="n"/>
    </row>
    <row r="891" ht="13.5" customHeight="1" s="90">
      <c r="A891" s="3" t="n"/>
      <c r="E891" s="7" t="n"/>
    </row>
    <row r="892" ht="13.5" customHeight="1" s="90">
      <c r="A892" s="3" t="n"/>
      <c r="E892" s="7" t="n"/>
    </row>
    <row r="893" ht="13.5" customHeight="1" s="90">
      <c r="A893" s="3" t="n"/>
      <c r="E893" s="7" t="n"/>
    </row>
    <row r="894" ht="13.5" customHeight="1" s="90">
      <c r="A894" s="3" t="n"/>
      <c r="E894" s="7" t="n"/>
    </row>
    <row r="895" ht="13.5" customHeight="1" s="90">
      <c r="A895" s="3" t="n"/>
      <c r="E895" s="7" t="n"/>
    </row>
    <row r="896" ht="13.5" customHeight="1" s="90">
      <c r="A896" s="3" t="n"/>
      <c r="E896" s="7" t="n"/>
    </row>
    <row r="897" ht="13.5" customHeight="1" s="90">
      <c r="A897" s="3" t="n"/>
      <c r="E897" s="7" t="n"/>
    </row>
    <row r="898" ht="13.5" customHeight="1" s="90">
      <c r="A898" s="3" t="n"/>
      <c r="E898" s="7" t="n"/>
    </row>
    <row r="899" ht="13.5" customHeight="1" s="90">
      <c r="A899" s="3" t="n"/>
      <c r="E899" s="7" t="n"/>
    </row>
    <row r="900" ht="13.5" customHeight="1" s="90">
      <c r="A900" s="3" t="n"/>
      <c r="E900" s="7" t="n"/>
    </row>
    <row r="901" ht="13.5" customHeight="1" s="90">
      <c r="A901" s="3" t="n"/>
      <c r="E901" s="7" t="n"/>
    </row>
    <row r="902" ht="13.5" customHeight="1" s="90">
      <c r="A902" s="3" t="n"/>
      <c r="E902" s="7" t="n"/>
    </row>
    <row r="903" ht="13.5" customHeight="1" s="90">
      <c r="A903" s="3" t="n"/>
      <c r="E903" s="7" t="n"/>
    </row>
    <row r="904" ht="13.5" customHeight="1" s="90">
      <c r="A904" s="3" t="n"/>
      <c r="E904" s="7" t="n"/>
    </row>
    <row r="905" ht="13.5" customHeight="1" s="90">
      <c r="A905" s="3" t="n"/>
      <c r="E905" s="7" t="n"/>
    </row>
    <row r="906" ht="13.5" customHeight="1" s="90">
      <c r="A906" s="3" t="n"/>
      <c r="E906" s="7" t="n"/>
    </row>
    <row r="907" ht="13.5" customHeight="1" s="90">
      <c r="A907" s="3" t="n"/>
      <c r="E907" s="7" t="n"/>
    </row>
    <row r="908" ht="13.5" customHeight="1" s="90">
      <c r="A908" s="3" t="n"/>
      <c r="E908" s="7" t="n"/>
    </row>
    <row r="909" ht="13.5" customHeight="1" s="90">
      <c r="A909" s="3" t="n"/>
      <c r="E909" s="7" t="n"/>
    </row>
    <row r="910" ht="13.5" customHeight="1" s="90">
      <c r="A910" s="3" t="n"/>
      <c r="E910" s="7" t="n"/>
    </row>
    <row r="911" ht="13.5" customHeight="1" s="90">
      <c r="A911" s="3" t="n"/>
      <c r="E911" s="7" t="n"/>
    </row>
    <row r="912" ht="13.5" customHeight="1" s="90">
      <c r="A912" s="3" t="n"/>
      <c r="E912" s="7" t="n"/>
    </row>
    <row r="913" ht="13.5" customHeight="1" s="90">
      <c r="A913" s="3" t="n"/>
      <c r="E913" s="7" t="n"/>
    </row>
    <row r="914" ht="13.5" customHeight="1" s="90">
      <c r="A914" s="3" t="n"/>
      <c r="E914" s="7" t="n"/>
    </row>
    <row r="915" ht="13.5" customHeight="1" s="90">
      <c r="A915" s="3" t="n"/>
      <c r="E915" s="7" t="n"/>
    </row>
    <row r="916" ht="13.5" customHeight="1" s="90">
      <c r="A916" s="3" t="n"/>
      <c r="E916" s="7" t="n"/>
    </row>
    <row r="917" ht="13.5" customHeight="1" s="90">
      <c r="A917" s="3" t="n"/>
      <c r="E917" s="7" t="n"/>
    </row>
    <row r="918" ht="13.5" customHeight="1" s="90">
      <c r="A918" s="3" t="n"/>
      <c r="E918" s="7" t="n"/>
    </row>
    <row r="919" ht="13.5" customHeight="1" s="90">
      <c r="A919" s="3" t="n"/>
      <c r="E919" s="7" t="n"/>
    </row>
    <row r="920" ht="13.5" customHeight="1" s="90">
      <c r="A920" s="3" t="n"/>
      <c r="E920" s="7" t="n"/>
    </row>
    <row r="921" ht="13.5" customHeight="1" s="90">
      <c r="A921" s="3" t="n"/>
      <c r="E921" s="7" t="n"/>
    </row>
    <row r="922" ht="13.5" customHeight="1" s="90">
      <c r="A922" s="3" t="n"/>
      <c r="E922" s="7" t="n"/>
    </row>
    <row r="923" ht="13.5" customHeight="1" s="90">
      <c r="A923" s="3" t="n"/>
      <c r="E923" s="7" t="n"/>
    </row>
    <row r="924" ht="13.5" customHeight="1" s="90">
      <c r="A924" s="3" t="n"/>
      <c r="E924" s="7" t="n"/>
    </row>
    <row r="925" ht="13.5" customHeight="1" s="90">
      <c r="A925" s="3" t="n"/>
      <c r="E925" s="7" t="n"/>
    </row>
    <row r="926" ht="13.5" customHeight="1" s="90">
      <c r="A926" s="3" t="n"/>
      <c r="E926" s="7" t="n"/>
    </row>
    <row r="927" ht="13.5" customHeight="1" s="90">
      <c r="A927" s="3" t="n"/>
      <c r="E927" s="7" t="n"/>
    </row>
    <row r="928" ht="13.5" customHeight="1" s="90">
      <c r="A928" s="3" t="n"/>
      <c r="E928" s="7" t="n"/>
    </row>
    <row r="929" ht="13.5" customHeight="1" s="90">
      <c r="A929" s="3" t="n"/>
      <c r="E929" s="7" t="n"/>
    </row>
    <row r="930" ht="13.5" customHeight="1" s="90">
      <c r="A930" s="3" t="n"/>
      <c r="E930" s="7" t="n"/>
    </row>
    <row r="931" ht="13.5" customHeight="1" s="90">
      <c r="A931" s="3" t="n"/>
      <c r="E931" s="7" t="n"/>
    </row>
    <row r="932" ht="13.5" customHeight="1" s="90">
      <c r="A932" s="3" t="n"/>
      <c r="E932" s="7" t="n"/>
    </row>
    <row r="933" ht="13.5" customHeight="1" s="90">
      <c r="A933" s="3" t="n"/>
      <c r="E933" s="7" t="n"/>
    </row>
    <row r="934" ht="13.5" customHeight="1" s="90">
      <c r="A934" s="3" t="n"/>
      <c r="E934" s="7" t="n"/>
    </row>
    <row r="935" ht="13.5" customHeight="1" s="90">
      <c r="A935" s="3" t="n"/>
      <c r="E935" s="7" t="n"/>
    </row>
    <row r="936" ht="13.5" customHeight="1" s="90">
      <c r="A936" s="3" t="n"/>
      <c r="E936" s="7" t="n"/>
    </row>
    <row r="937" ht="13.5" customHeight="1" s="90">
      <c r="A937" s="3" t="n"/>
      <c r="E937" s="7" t="n"/>
    </row>
    <row r="938" ht="13.5" customHeight="1" s="90">
      <c r="A938" s="3" t="n"/>
      <c r="E938" s="7" t="n"/>
    </row>
    <row r="939" ht="13.5" customHeight="1" s="90">
      <c r="A939" s="3" t="n"/>
      <c r="E939" s="7" t="n"/>
    </row>
    <row r="940" ht="13.5" customHeight="1" s="90">
      <c r="A940" s="3" t="n"/>
      <c r="E940" s="7" t="n"/>
    </row>
    <row r="941" ht="13.5" customHeight="1" s="90">
      <c r="A941" s="3" t="n"/>
      <c r="E941" s="7" t="n"/>
    </row>
    <row r="942" ht="13.5" customHeight="1" s="90">
      <c r="A942" s="3" t="n"/>
      <c r="E942" s="7" t="n"/>
    </row>
    <row r="943" ht="13.5" customHeight="1" s="90">
      <c r="A943" s="3" t="n"/>
      <c r="E943" s="7" t="n"/>
    </row>
    <row r="944" ht="13.5" customHeight="1" s="90">
      <c r="A944" s="3" t="n"/>
      <c r="E944" s="7" t="n"/>
    </row>
    <row r="945" ht="13.5" customHeight="1" s="90">
      <c r="A945" s="3" t="n"/>
      <c r="E945" s="7" t="n"/>
    </row>
    <row r="946" ht="13.5" customHeight="1" s="90">
      <c r="A946" s="3" t="n"/>
      <c r="E946" s="7" t="n"/>
    </row>
    <row r="947" ht="13.5" customHeight="1" s="90">
      <c r="A947" s="3" t="n"/>
      <c r="E947" s="7" t="n"/>
    </row>
    <row r="948" ht="13.5" customHeight="1" s="90">
      <c r="A948" s="3" t="n"/>
      <c r="E948" s="7" t="n"/>
    </row>
    <row r="949" ht="13.5" customHeight="1" s="90">
      <c r="A949" s="3" t="n"/>
      <c r="E949" s="7" t="n"/>
    </row>
    <row r="950" ht="13.5" customHeight="1" s="90">
      <c r="A950" s="3" t="n"/>
      <c r="E950" s="7" t="n"/>
    </row>
    <row r="951" ht="13.5" customHeight="1" s="90">
      <c r="A951" s="3" t="n"/>
      <c r="E951" s="7" t="n"/>
    </row>
    <row r="952" ht="13.5" customHeight="1" s="90">
      <c r="A952" s="3" t="n"/>
      <c r="E952" s="7" t="n"/>
    </row>
    <row r="953" ht="13.5" customHeight="1" s="90">
      <c r="A953" s="3" t="n"/>
      <c r="E953" s="7" t="n"/>
    </row>
    <row r="954" ht="13.5" customHeight="1" s="90">
      <c r="A954" s="3" t="n"/>
      <c r="E954" s="7" t="n"/>
    </row>
    <row r="955" ht="13.5" customHeight="1" s="90">
      <c r="A955" s="3" t="n"/>
      <c r="E955" s="7" t="n"/>
    </row>
    <row r="956" ht="13.5" customHeight="1" s="90">
      <c r="A956" s="3" t="n"/>
      <c r="E956" s="7" t="n"/>
    </row>
    <row r="957" ht="13.5" customHeight="1" s="90">
      <c r="A957" s="3" t="n"/>
      <c r="E957" s="7" t="n"/>
    </row>
    <row r="958" ht="13.5" customHeight="1" s="90">
      <c r="A958" s="3" t="n"/>
      <c r="E958" s="7" t="n"/>
    </row>
    <row r="959" ht="13.5" customHeight="1" s="90">
      <c r="A959" s="3" t="n"/>
      <c r="E959" s="7" t="n"/>
    </row>
    <row r="960" ht="13.5" customHeight="1" s="90">
      <c r="A960" s="3" t="n"/>
      <c r="E960" s="7" t="n"/>
    </row>
    <row r="961" ht="13.5" customHeight="1" s="90">
      <c r="A961" s="3" t="n"/>
      <c r="E961" s="7" t="n"/>
    </row>
    <row r="962" ht="13.5" customHeight="1" s="90">
      <c r="A962" s="3" t="n"/>
      <c r="E962" s="7" t="n"/>
    </row>
    <row r="963" ht="13.5" customHeight="1" s="90">
      <c r="A963" s="3" t="n"/>
      <c r="E963" s="7" t="n"/>
    </row>
    <row r="964" ht="13.5" customHeight="1" s="90">
      <c r="A964" s="3" t="n"/>
      <c r="E964" s="7" t="n"/>
    </row>
    <row r="965" ht="13.5" customHeight="1" s="90">
      <c r="A965" s="3" t="n"/>
      <c r="E965" s="7" t="n"/>
    </row>
    <row r="966" ht="13.5" customHeight="1" s="90">
      <c r="A966" s="3" t="n"/>
      <c r="E966" s="7" t="n"/>
    </row>
    <row r="967" ht="13.5" customHeight="1" s="90">
      <c r="A967" s="3" t="n"/>
      <c r="E967" s="7" t="n"/>
    </row>
    <row r="968" ht="13.5" customHeight="1" s="90">
      <c r="A968" s="3" t="n"/>
      <c r="E968" s="7" t="n"/>
    </row>
    <row r="969" ht="13.5" customHeight="1" s="90">
      <c r="A969" s="3" t="n"/>
      <c r="E969" s="7" t="n"/>
    </row>
    <row r="970" ht="13.5" customHeight="1" s="90">
      <c r="A970" s="3" t="n"/>
      <c r="E970" s="7" t="n"/>
    </row>
    <row r="971" ht="13.5" customHeight="1" s="90">
      <c r="A971" s="3" t="n"/>
      <c r="E971" s="7" t="n"/>
    </row>
    <row r="972" ht="13.5" customHeight="1" s="90">
      <c r="A972" s="3" t="n"/>
      <c r="E972" s="7" t="n"/>
    </row>
    <row r="973" ht="13.5" customHeight="1" s="90">
      <c r="A973" s="3" t="n"/>
      <c r="E973" s="7" t="n"/>
    </row>
    <row r="974" ht="13.5" customHeight="1" s="90">
      <c r="A974" s="3" t="n"/>
      <c r="E974" s="7" t="n"/>
    </row>
    <row r="975" ht="13.5" customHeight="1" s="90">
      <c r="A975" s="3" t="n"/>
      <c r="E975" s="7" t="n"/>
    </row>
    <row r="976" ht="13.5" customHeight="1" s="90">
      <c r="A976" s="3" t="n"/>
      <c r="E976" s="7" t="n"/>
    </row>
    <row r="977" ht="13.5" customHeight="1" s="90">
      <c r="A977" s="3" t="n"/>
      <c r="E977" s="7" t="n"/>
    </row>
    <row r="978" ht="13.5" customHeight="1" s="90">
      <c r="A978" s="3" t="n"/>
      <c r="E978" s="7" t="n"/>
    </row>
    <row r="979" ht="13.5" customHeight="1" s="90">
      <c r="A979" s="3" t="n"/>
      <c r="E979" s="7" t="n"/>
    </row>
    <row r="980" ht="13.5" customHeight="1" s="90">
      <c r="A980" s="3" t="n"/>
      <c r="E980" s="7" t="n"/>
    </row>
    <row r="981" ht="13.5" customHeight="1" s="90">
      <c r="A981" s="3" t="n"/>
      <c r="E981" s="7" t="n"/>
    </row>
    <row r="982" ht="13.5" customHeight="1" s="90">
      <c r="A982" s="3" t="n"/>
      <c r="E982" s="7" t="n"/>
    </row>
    <row r="983" ht="13.5" customHeight="1" s="90">
      <c r="A983" s="3" t="n"/>
      <c r="E983" s="7" t="n"/>
    </row>
    <row r="984" ht="13.5" customHeight="1" s="90">
      <c r="A984" s="3" t="n"/>
      <c r="E984" s="7" t="n"/>
    </row>
    <row r="985" ht="13.5" customHeight="1" s="90">
      <c r="A985" s="3" t="n"/>
      <c r="E985" s="7" t="n"/>
    </row>
    <row r="986" ht="13.5" customHeight="1" s="90">
      <c r="A986" s="3" t="n"/>
      <c r="E986" s="7" t="n"/>
    </row>
    <row r="987" ht="13.5" customHeight="1" s="90">
      <c r="A987" s="3" t="n"/>
      <c r="E987" s="7" t="n"/>
    </row>
    <row r="988" ht="13.5" customHeight="1" s="90">
      <c r="A988" s="3" t="n"/>
      <c r="E988" s="7" t="n"/>
    </row>
    <row r="989" ht="13.5" customHeight="1" s="90">
      <c r="A989" s="3" t="n"/>
      <c r="E989" s="7" t="n"/>
    </row>
    <row r="990" ht="13.5" customHeight="1" s="90">
      <c r="A990" s="3" t="n"/>
      <c r="E990" s="7" t="n"/>
    </row>
    <row r="991" ht="13.5" customHeight="1" s="90">
      <c r="A991" s="3" t="n"/>
      <c r="E991" s="7" t="n"/>
    </row>
    <row r="992" ht="13.5" customHeight="1" s="90">
      <c r="A992" s="3" t="n"/>
      <c r="E992" s="7" t="n"/>
    </row>
    <row r="993" ht="13.5" customHeight="1" s="90">
      <c r="A993" s="3" t="n"/>
      <c r="E993" s="7" t="n"/>
    </row>
    <row r="994" ht="13.5" customHeight="1" s="90">
      <c r="A994" s="3" t="n"/>
      <c r="E994" s="7" t="n"/>
    </row>
    <row r="995" ht="13.5" customHeight="1" s="90">
      <c r="A995" s="3" t="n"/>
      <c r="E995" s="7" t="n"/>
    </row>
    <row r="996" ht="13.5" customHeight="1" s="90">
      <c r="A996" s="3" t="n"/>
      <c r="E996" s="7" t="n"/>
    </row>
    <row r="997" ht="13.5" customHeight="1" s="90">
      <c r="A997" s="3" t="n"/>
      <c r="E997" s="7" t="n"/>
    </row>
    <row r="998" ht="13.5" customHeight="1" s="90">
      <c r="A998" s="3" t="n"/>
      <c r="E998" s="7" t="n"/>
    </row>
    <row r="999" ht="13.5" customHeight="1" s="90">
      <c r="A999" s="3" t="n"/>
      <c r="E999" s="7" t="n"/>
    </row>
    <row r="1000" ht="13.5" customHeight="1" s="90">
      <c r="A1000" s="3" t="n"/>
      <c r="E1000" s="7" t="n"/>
    </row>
  </sheetData>
  <mergeCells count="2">
    <mergeCell ref="A7:I7"/>
    <mergeCell ref="A8:I8"/>
  </mergeCells>
  <conditionalFormatting sqref="E1">
    <cfRule type="expression" priority="1" dxfId="1">
      <formula>ABS(SUM($E$2:$E$999)-1)&gt;0.0000001</formula>
    </cfRule>
  </conditionalFormatting>
  <conditionalFormatting sqref="H10">
    <cfRule type="notContainsBlanks" priority="2" dxfId="0">
      <formula>LEN(TRIM(H10))&gt;0</formula>
    </cfRule>
  </conditionalFormatting>
  <dataValidations count="1">
    <dataValidation sqref="E1" showDropDown="1" showInputMessage="1" showErrorMessage="0" allowBlank="1" prompt="Suma wag musi wynosić 1" type="custom">
      <formula1>ROUND(SUM(E2:E1000), 2)=1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74"/>
  <sheetViews>
    <sheetView workbookViewId="0">
      <selection activeCell="A1" sqref="A1"/>
    </sheetView>
  </sheetViews>
  <sheetFormatPr baseColWidth="8" defaultColWidth="14.42578125" defaultRowHeight="15" customHeight="1"/>
  <sheetData>
    <row r="1">
      <c r="A1" s="1" t="inlineStr">
        <is>
          <t>Cards_Id</t>
        </is>
      </c>
    </row>
    <row r="2">
      <c r="A2" s="8">
        <f>IFERROR(__xludf.DUMMYFUNCTION("UNIQUE(
  FILTER(
    {Decisions!A2:A1000; Softwares!A2:A1000; Hardwares!A2:A1000},
    {Decisions!A2:A1000; Softwares!A2:A1000; Hardwares!A2:A1000} &lt;&gt; """"
  )
)"),1)</f>
        <v/>
      </c>
    </row>
    <row r="3">
      <c r="A3" s="8">
        <f>IFERROR(__xludf.DUMMYFUNCTION("""COMPUTED_VALUE"""),2)</f>
        <v/>
      </c>
    </row>
    <row r="4">
      <c r="A4" s="8">
        <f>IFERROR(__xludf.DUMMYFUNCTION("""COMPUTED_VALUE"""),3)</f>
        <v/>
      </c>
    </row>
    <row r="5">
      <c r="A5" s="8">
        <f>IFERROR(__xludf.DUMMYFUNCTION("""COMPUTED_VALUE"""),4)</f>
        <v/>
      </c>
    </row>
    <row r="6">
      <c r="A6" s="8">
        <f>IFERROR(__xludf.DUMMYFUNCTION("""COMPUTED_VALUE"""),5)</f>
        <v/>
      </c>
    </row>
    <row r="7">
      <c r="A7" s="8">
        <f>IFERROR(__xludf.DUMMYFUNCTION("""COMPUTED_VALUE"""),6)</f>
        <v/>
      </c>
    </row>
    <row r="8">
      <c r="A8" s="8">
        <f>IFERROR(__xludf.DUMMYFUNCTION("""COMPUTED_VALUE"""),7)</f>
        <v/>
      </c>
    </row>
    <row r="9">
      <c r="A9" s="8">
        <f>IFERROR(__xludf.DUMMYFUNCTION("""COMPUTED_VALUE"""),8)</f>
        <v/>
      </c>
    </row>
    <row r="10">
      <c r="A10" s="8">
        <f>IFERROR(__xludf.DUMMYFUNCTION("""COMPUTED_VALUE"""),9)</f>
        <v/>
      </c>
    </row>
    <row r="11">
      <c r="A11" s="8">
        <f>IFERROR(__xludf.DUMMYFUNCTION("""COMPUTED_VALUE"""),10)</f>
        <v/>
      </c>
    </row>
    <row r="12">
      <c r="A12" s="8">
        <f>IFERROR(__xludf.DUMMYFUNCTION("""COMPUTED_VALUE"""),11)</f>
        <v/>
      </c>
    </row>
    <row r="13">
      <c r="A13" s="8">
        <f>IFERROR(__xludf.DUMMYFUNCTION("""COMPUTED_VALUE"""),12)</f>
        <v/>
      </c>
    </row>
    <row r="14">
      <c r="A14" s="8">
        <f>IFERROR(__xludf.DUMMYFUNCTION("""COMPUTED_VALUE"""),13)</f>
        <v/>
      </c>
    </row>
    <row r="15">
      <c r="A15" s="8">
        <f>IFERROR(__xludf.DUMMYFUNCTION("""COMPUTED_VALUE"""),14)</f>
        <v/>
      </c>
    </row>
    <row r="16">
      <c r="A16" s="8">
        <f>IFERROR(__xludf.DUMMYFUNCTION("""COMPUTED_VALUE"""),15)</f>
        <v/>
      </c>
    </row>
    <row r="17">
      <c r="A17" s="8">
        <f>IFERROR(__xludf.DUMMYFUNCTION("""COMPUTED_VALUE"""),16)</f>
        <v/>
      </c>
    </row>
    <row r="18">
      <c r="A18" s="8">
        <f>IFERROR(__xludf.DUMMYFUNCTION("""COMPUTED_VALUE"""),17)</f>
        <v/>
      </c>
    </row>
    <row r="19">
      <c r="A19" s="8">
        <f>IFERROR(__xludf.DUMMYFUNCTION("""COMPUTED_VALUE"""),18)</f>
        <v/>
      </c>
    </row>
    <row r="20">
      <c r="A20" s="8">
        <f>IFERROR(__xludf.DUMMYFUNCTION("""COMPUTED_VALUE"""),19)</f>
        <v/>
      </c>
    </row>
    <row r="21">
      <c r="A21" s="8">
        <f>IFERROR(__xludf.DUMMYFUNCTION("""COMPUTED_VALUE"""),20)</f>
        <v/>
      </c>
    </row>
    <row r="22">
      <c r="A22" s="8">
        <f>IFERROR(__xludf.DUMMYFUNCTION("""COMPUTED_VALUE"""),21)</f>
        <v/>
      </c>
    </row>
    <row r="23">
      <c r="A23" s="8">
        <f>IFERROR(__xludf.DUMMYFUNCTION("""COMPUTED_VALUE"""),22)</f>
        <v/>
      </c>
    </row>
    <row r="24">
      <c r="A24" s="8">
        <f>IFERROR(__xludf.DUMMYFUNCTION("""COMPUTED_VALUE"""),23)</f>
        <v/>
      </c>
    </row>
    <row r="25">
      <c r="A25" s="8">
        <f>IFERROR(__xludf.DUMMYFUNCTION("""COMPUTED_VALUE"""),24)</f>
        <v/>
      </c>
    </row>
    <row r="26">
      <c r="A26" s="8">
        <f>IFERROR(__xludf.DUMMYFUNCTION("""COMPUTED_VALUE"""),25)</f>
        <v/>
      </c>
    </row>
    <row r="27">
      <c r="A27" s="8">
        <f>IFERROR(__xludf.DUMMYFUNCTION("""COMPUTED_VALUE"""),26)</f>
        <v/>
      </c>
    </row>
    <row r="28">
      <c r="A28" s="8">
        <f>IFERROR(__xludf.DUMMYFUNCTION("""COMPUTED_VALUE"""),27)</f>
        <v/>
      </c>
    </row>
    <row r="29">
      <c r="A29" s="8">
        <f>IFERROR(__xludf.DUMMYFUNCTION("""COMPUTED_VALUE"""),28)</f>
        <v/>
      </c>
    </row>
    <row r="30">
      <c r="A30" s="8">
        <f>IFERROR(__xludf.DUMMYFUNCTION("""COMPUTED_VALUE"""),29)</f>
        <v/>
      </c>
    </row>
    <row r="31">
      <c r="A31" s="8">
        <f>IFERROR(__xludf.DUMMYFUNCTION("""COMPUTED_VALUE"""),30)</f>
        <v/>
      </c>
    </row>
    <row r="32">
      <c r="A32" s="8">
        <f>IFERROR(__xludf.DUMMYFUNCTION("""COMPUTED_VALUE"""),31)</f>
        <v/>
      </c>
    </row>
    <row r="33">
      <c r="A33" s="8">
        <f>IFERROR(__xludf.DUMMYFUNCTION("""COMPUTED_VALUE"""),32)</f>
        <v/>
      </c>
    </row>
    <row r="34">
      <c r="A34" s="8">
        <f>IFERROR(__xludf.DUMMYFUNCTION("""COMPUTED_VALUE"""),33)</f>
        <v/>
      </c>
    </row>
    <row r="35">
      <c r="A35" s="8">
        <f>IFERROR(__xludf.DUMMYFUNCTION("""COMPUTED_VALUE"""),34)</f>
        <v/>
      </c>
    </row>
    <row r="36">
      <c r="A36" s="8">
        <f>IFERROR(__xludf.DUMMYFUNCTION("""COMPUTED_VALUE"""),35)</f>
        <v/>
      </c>
    </row>
    <row r="37">
      <c r="A37" s="8">
        <f>IFERROR(__xludf.DUMMYFUNCTION("""COMPUTED_VALUE"""),36)</f>
        <v/>
      </c>
    </row>
    <row r="38">
      <c r="A38" s="8">
        <f>IFERROR(__xludf.DUMMYFUNCTION("""COMPUTED_VALUE"""),37)</f>
        <v/>
      </c>
    </row>
    <row r="39">
      <c r="A39" s="8">
        <f>IFERROR(__xludf.DUMMYFUNCTION("""COMPUTED_VALUE"""),38)</f>
        <v/>
      </c>
    </row>
    <row r="40">
      <c r="A40" s="2">
        <f>IFERROR(__xludf.DUMMYFUNCTION("""COMPUTED_VALUE"""),101)</f>
        <v/>
      </c>
    </row>
    <row r="41">
      <c r="A41" s="2">
        <f>IFERROR(__xludf.DUMMYFUNCTION("""COMPUTED_VALUE"""),102)</f>
        <v/>
      </c>
    </row>
    <row r="42">
      <c r="A42" s="2">
        <f>IFERROR(__xludf.DUMMYFUNCTION("""COMPUTED_VALUE"""),103)</f>
        <v/>
      </c>
    </row>
    <row r="43">
      <c r="A43" s="2">
        <f>IFERROR(__xludf.DUMMYFUNCTION("""COMPUTED_VALUE"""),104)</f>
        <v/>
      </c>
    </row>
    <row r="44">
      <c r="A44" s="2">
        <f>IFERROR(__xludf.DUMMYFUNCTION("""COMPUTED_VALUE"""),105)</f>
        <v/>
      </c>
    </row>
    <row r="45">
      <c r="A45" s="2">
        <f>IFERROR(__xludf.DUMMYFUNCTION("""COMPUTED_VALUE"""),106)</f>
        <v/>
      </c>
    </row>
    <row r="46">
      <c r="A46" s="2">
        <f>IFERROR(__xludf.DUMMYFUNCTION("""COMPUTED_VALUE"""),107)</f>
        <v/>
      </c>
    </row>
    <row r="47">
      <c r="A47" s="2">
        <f>IFERROR(__xludf.DUMMYFUNCTION("""COMPUTED_VALUE"""),108)</f>
        <v/>
      </c>
    </row>
    <row r="48">
      <c r="A48" s="2">
        <f>IFERROR(__xludf.DUMMYFUNCTION("""COMPUTED_VALUE"""),109)</f>
        <v/>
      </c>
    </row>
    <row r="49">
      <c r="A49" s="2">
        <f>IFERROR(__xludf.DUMMYFUNCTION("""COMPUTED_VALUE"""),110)</f>
        <v/>
      </c>
    </row>
    <row r="50">
      <c r="A50" s="2">
        <f>IFERROR(__xludf.DUMMYFUNCTION("""COMPUTED_VALUE"""),111)</f>
        <v/>
      </c>
    </row>
    <row r="51">
      <c r="A51" s="2">
        <f>IFERROR(__xludf.DUMMYFUNCTION("""COMPUTED_VALUE"""),112)</f>
        <v/>
      </c>
    </row>
    <row r="52">
      <c r="A52" s="2">
        <f>IFERROR(__xludf.DUMMYFUNCTION("""COMPUTED_VALUE"""),135)</f>
        <v/>
      </c>
    </row>
    <row r="53">
      <c r="A53" s="2">
        <f>IFERROR(__xludf.DUMMYFUNCTION("""COMPUTED_VALUE"""),201)</f>
        <v/>
      </c>
    </row>
    <row r="54">
      <c r="A54" s="2">
        <f>IFERROR(__xludf.DUMMYFUNCTION("""COMPUTED_VALUE"""),202)</f>
        <v/>
      </c>
    </row>
    <row r="55">
      <c r="A55" s="2">
        <f>IFERROR(__xludf.DUMMYFUNCTION("""COMPUTED_VALUE"""),203)</f>
        <v/>
      </c>
    </row>
    <row r="56">
      <c r="A56" s="2">
        <f>IFERROR(__xludf.DUMMYFUNCTION("""COMPUTED_VALUE"""),204)</f>
        <v/>
      </c>
    </row>
    <row r="57">
      <c r="A57" s="2">
        <f>IFERROR(__xludf.DUMMYFUNCTION("""COMPUTED_VALUE"""),205)</f>
        <v/>
      </c>
    </row>
    <row r="58">
      <c r="A58" s="2">
        <f>IFERROR(__xludf.DUMMYFUNCTION("""COMPUTED_VALUE"""),206)</f>
        <v/>
      </c>
    </row>
    <row r="59">
      <c r="A59" s="2">
        <f>IFERROR(__xludf.DUMMYFUNCTION("""COMPUTED_VALUE"""),207)</f>
        <v/>
      </c>
    </row>
    <row r="60">
      <c r="A60" s="2">
        <f>IFERROR(__xludf.DUMMYFUNCTION("""COMPUTED_VALUE"""),208)</f>
        <v/>
      </c>
    </row>
    <row r="61">
      <c r="A61" s="2">
        <f>IFERROR(__xludf.DUMMYFUNCTION("""COMPUTED_VALUE"""),209)</f>
        <v/>
      </c>
    </row>
    <row r="62">
      <c r="A62" s="2">
        <f>IFERROR(__xludf.DUMMYFUNCTION("""COMPUTED_VALUE"""),210)</f>
        <v/>
      </c>
    </row>
    <row r="63">
      <c r="A63" s="2">
        <f>IFERROR(__xludf.DUMMYFUNCTION("""COMPUTED_VALUE"""),211)</f>
        <v/>
      </c>
    </row>
    <row r="64">
      <c r="A64" s="2">
        <f>IFERROR(__xludf.DUMMYFUNCTION("""COMPUTED_VALUE"""),212)</f>
        <v/>
      </c>
    </row>
    <row r="65">
      <c r="A65" s="2">
        <f>IFERROR(__xludf.DUMMYFUNCTION("""COMPUTED_VALUE"""),213)</f>
        <v/>
      </c>
    </row>
    <row r="66">
      <c r="A66" s="2">
        <f>IFERROR(__xludf.DUMMYFUNCTION("""COMPUTED_VALUE"""),214)</f>
        <v/>
      </c>
    </row>
    <row r="67">
      <c r="A67" s="2">
        <f>IFERROR(__xludf.DUMMYFUNCTION("""COMPUTED_VALUE"""),215)</f>
        <v/>
      </c>
    </row>
    <row r="68">
      <c r="A68" s="2">
        <f>IFERROR(__xludf.DUMMYFUNCTION("""COMPUTED_VALUE"""),216)</f>
        <v/>
      </c>
    </row>
    <row r="69">
      <c r="A69" s="2">
        <f>IFERROR(__xludf.DUMMYFUNCTION("""COMPUTED_VALUE"""),217)</f>
        <v/>
      </c>
    </row>
    <row r="70">
      <c r="A70" s="2">
        <f>IFERROR(__xludf.DUMMYFUNCTION("""COMPUTED_VALUE"""),218)</f>
        <v/>
      </c>
    </row>
    <row r="71">
      <c r="A71" s="2">
        <f>IFERROR(__xludf.DUMMYFUNCTION("""COMPUTED_VALUE"""),219)</f>
        <v/>
      </c>
    </row>
    <row r="72">
      <c r="A72" s="2">
        <f>IFERROR(__xludf.DUMMYFUNCTION("""COMPUTED_VALUE"""),220)</f>
        <v/>
      </c>
    </row>
    <row r="73">
      <c r="A73" s="2">
        <f>IFERROR(__xludf.DUMMYFUNCTION("""COMPUTED_VALUE"""),221)</f>
        <v/>
      </c>
    </row>
    <row r="74">
      <c r="A74" s="2">
        <f>IFERROR(__xludf.DUMMYFUNCTION("""COMPUTED_VALUE"""),222)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H999"/>
  <sheetViews>
    <sheetView workbookViewId="0">
      <pane ySplit="1" topLeftCell="A152" activePane="bottomLeft" state="frozen"/>
      <selection pane="bottomLeft" activeCell="A175" sqref="A175:H175"/>
    </sheetView>
  </sheetViews>
  <sheetFormatPr baseColWidth="8" defaultColWidth="14.42578125" defaultRowHeight="15" customHeight="1"/>
  <cols>
    <col width="10" customWidth="1" style="90" min="1" max="1"/>
    <col width="12" customWidth="1" style="90" min="2" max="6"/>
    <col width="22" customWidth="1" style="90" min="7" max="8"/>
  </cols>
  <sheetData>
    <row r="1">
      <c r="A1" s="13" t="inlineStr">
        <is>
          <t>Cards_Id</t>
        </is>
      </c>
      <c r="B1" s="13" t="inlineStr">
        <is>
          <t>Processes_Id</t>
        </is>
      </c>
      <c r="C1" s="13" t="inlineStr">
        <is>
          <t>Weights_X</t>
        </is>
      </c>
      <c r="D1" s="13" t="inlineStr">
        <is>
          <t>Weights_Y</t>
        </is>
      </c>
      <c r="E1" s="13" t="inlineStr">
        <is>
          <t>Boosters_X</t>
        </is>
      </c>
      <c r="F1" s="13" t="inlineStr">
        <is>
          <t>Boosters_Y</t>
        </is>
      </c>
      <c r="G1" s="13" t="inlineStr">
        <is>
          <t>Card_Phase</t>
        </is>
      </c>
      <c r="H1" s="13" t="inlineStr">
        <is>
          <t>Process_Name</t>
        </is>
      </c>
    </row>
    <row r="2">
      <c r="A2" s="49" t="n">
        <v>1</v>
      </c>
      <c r="B2" s="49" t="n">
        <v>1</v>
      </c>
      <c r="C2" s="50" t="n">
        <v>25</v>
      </c>
      <c r="D2" s="50" t="n">
        <v>25</v>
      </c>
      <c r="E2" s="50" t="n">
        <v>1</v>
      </c>
      <c r="F2" s="50" t="n">
        <v>1</v>
      </c>
      <c r="G2" s="50" t="inlineStr">
        <is>
          <t>PRZYGOTOWAWCZA</t>
        </is>
      </c>
      <c r="H2" s="50" t="inlineStr">
        <is>
          <t>ZYSK</t>
        </is>
      </c>
    </row>
    <row r="3">
      <c r="A3" s="49" t="n">
        <v>1</v>
      </c>
      <c r="B3" s="49" t="n">
        <v>2</v>
      </c>
      <c r="C3" s="50" t="n">
        <v>12</v>
      </c>
      <c r="D3" s="50" t="n">
        <v>12</v>
      </c>
      <c r="E3" s="50" t="n">
        <v>1</v>
      </c>
      <c r="F3" s="50" t="n">
        <v>1</v>
      </c>
      <c r="G3" s="50" t="inlineStr">
        <is>
          <t>PRZYGOTOWAWCZA</t>
        </is>
      </c>
      <c r="H3" s="50" t="inlineStr">
        <is>
          <t>VISIBILITY</t>
        </is>
      </c>
    </row>
    <row r="4">
      <c r="A4" s="49" t="n">
        <v>1</v>
      </c>
      <c r="B4" s="49" t="n">
        <v>3</v>
      </c>
      <c r="C4" s="50" t="n">
        <v>25</v>
      </c>
      <c r="D4" s="50" t="n">
        <v>25</v>
      </c>
      <c r="E4" s="50" t="n">
        <v>1</v>
      </c>
      <c r="F4" s="50" t="n">
        <v>1</v>
      </c>
      <c r="G4" s="50" t="inlineStr">
        <is>
          <t>PRZYGOTOWAWCZA</t>
        </is>
      </c>
      <c r="H4" s="50" t="inlineStr">
        <is>
          <t>UDZIAŁ W RYNKU</t>
        </is>
      </c>
    </row>
    <row r="5">
      <c r="A5" s="49" t="n">
        <v>1</v>
      </c>
      <c r="B5" s="49" t="n">
        <v>4</v>
      </c>
      <c r="C5" s="50" t="n">
        <v>12</v>
      </c>
      <c r="D5" s="50" t="n">
        <v>12</v>
      </c>
      <c r="E5" s="50" t="n">
        <v>1</v>
      </c>
      <c r="F5" s="50" t="n">
        <v>1</v>
      </c>
      <c r="G5" s="50" t="inlineStr">
        <is>
          <t>PRZYGOTOWAWCZA</t>
        </is>
      </c>
      <c r="H5" s="50" t="inlineStr">
        <is>
          <t>KONWERSJA</t>
        </is>
      </c>
    </row>
    <row r="6">
      <c r="A6" s="49" t="n">
        <v>2</v>
      </c>
      <c r="B6" s="49" t="n">
        <v>1</v>
      </c>
      <c r="C6" s="50" t="n">
        <v>12</v>
      </c>
      <c r="D6" s="50" t="n">
        <v>20</v>
      </c>
      <c r="E6" s="50" t="n">
        <v>1</v>
      </c>
      <c r="F6" s="50" t="n">
        <v>1</v>
      </c>
      <c r="G6" s="50" t="inlineStr">
        <is>
          <t>PRZYGOTOWAWCZA</t>
        </is>
      </c>
      <c r="H6" s="50" t="inlineStr">
        <is>
          <t>ZYSK</t>
        </is>
      </c>
    </row>
    <row r="7">
      <c r="A7" s="49" t="n">
        <v>2</v>
      </c>
      <c r="B7" s="49" t="n">
        <v>2</v>
      </c>
      <c r="C7" s="50" t="n">
        <v>38</v>
      </c>
      <c r="D7" s="50" t="n">
        <v>38</v>
      </c>
      <c r="E7" s="50" t="n">
        <v>1</v>
      </c>
      <c r="F7" s="50" t="n">
        <v>1</v>
      </c>
      <c r="G7" s="50" t="inlineStr">
        <is>
          <t>PRZYGOTOWAWCZA</t>
        </is>
      </c>
      <c r="H7" s="50" t="inlineStr">
        <is>
          <t>VISIBILITY</t>
        </is>
      </c>
    </row>
    <row r="8">
      <c r="A8" s="49" t="n">
        <v>2</v>
      </c>
      <c r="B8" s="49" t="n">
        <v>3</v>
      </c>
      <c r="C8" s="50" t="n">
        <v>20</v>
      </c>
      <c r="D8" s="50" t="n">
        <v>30</v>
      </c>
      <c r="E8" s="50" t="n">
        <v>1</v>
      </c>
      <c r="F8" s="50" t="n">
        <v>1</v>
      </c>
      <c r="G8" s="50" t="inlineStr">
        <is>
          <t>PRZYGOTOWAWCZA</t>
        </is>
      </c>
      <c r="H8" s="50" t="inlineStr">
        <is>
          <t>UDZIAŁ W RYNKU</t>
        </is>
      </c>
    </row>
    <row r="9">
      <c r="A9" s="49" t="n">
        <v>2</v>
      </c>
      <c r="B9" s="49" t="n">
        <v>4</v>
      </c>
      <c r="C9" s="50" t="n">
        <v>38</v>
      </c>
      <c r="D9" s="50" t="n">
        <v>38</v>
      </c>
      <c r="E9" s="50" t="n">
        <v>1</v>
      </c>
      <c r="F9" s="50" t="n">
        <v>1</v>
      </c>
      <c r="G9" s="50" t="inlineStr">
        <is>
          <t>PRZYGOTOWAWCZA</t>
        </is>
      </c>
      <c r="H9" s="50" t="inlineStr">
        <is>
          <t>KONWERSJA</t>
        </is>
      </c>
    </row>
    <row r="10">
      <c r="A10" s="49" t="n">
        <v>3</v>
      </c>
      <c r="B10" s="49" t="n">
        <v>1</v>
      </c>
      <c r="C10" s="50" t="n">
        <v>20</v>
      </c>
      <c r="D10" s="50" t="n">
        <v>25</v>
      </c>
      <c r="E10" s="50" t="n">
        <v>1</v>
      </c>
      <c r="F10" s="50" t="n">
        <v>1</v>
      </c>
      <c r="G10" s="50" t="inlineStr">
        <is>
          <t>PRZYGOTOWAWCZA</t>
        </is>
      </c>
      <c r="H10" s="50" t="inlineStr">
        <is>
          <t>ZYSK</t>
        </is>
      </c>
    </row>
    <row r="11">
      <c r="A11" s="49" t="n">
        <v>3</v>
      </c>
      <c r="B11" s="49" t="n">
        <v>2</v>
      </c>
      <c r="C11" s="50" t="n">
        <v>25</v>
      </c>
      <c r="D11" s="50" t="n">
        <v>30</v>
      </c>
      <c r="E11" s="50" t="n">
        <v>1</v>
      </c>
      <c r="F11" s="50" t="n">
        <v>1</v>
      </c>
      <c r="G11" s="50" t="inlineStr">
        <is>
          <t>PRZYGOTOWAWCZA</t>
        </is>
      </c>
      <c r="H11" s="50" t="inlineStr">
        <is>
          <t>VISIBILITY</t>
        </is>
      </c>
    </row>
    <row r="12">
      <c r="A12" s="49" t="n">
        <v>3</v>
      </c>
      <c r="B12" s="49" t="n">
        <v>3</v>
      </c>
      <c r="C12" s="50" t="n">
        <v>20</v>
      </c>
      <c r="D12" s="50" t="n">
        <v>25</v>
      </c>
      <c r="E12" s="50" t="n">
        <v>1</v>
      </c>
      <c r="F12" s="50" t="n">
        <v>1</v>
      </c>
      <c r="G12" s="50" t="inlineStr">
        <is>
          <t>PRZYGOTOWAWCZA</t>
        </is>
      </c>
      <c r="H12" s="50" t="inlineStr">
        <is>
          <t>UDZIAŁ W RYNKU</t>
        </is>
      </c>
    </row>
    <row r="13">
      <c r="A13" s="49" t="n">
        <v>3</v>
      </c>
      <c r="B13" s="49" t="n">
        <v>4</v>
      </c>
      <c r="C13" s="50" t="n">
        <v>30</v>
      </c>
      <c r="D13" s="50" t="n">
        <v>38</v>
      </c>
      <c r="E13" s="50" t="n">
        <v>1</v>
      </c>
      <c r="F13" s="50" t="n">
        <v>1</v>
      </c>
      <c r="G13" s="50" t="inlineStr">
        <is>
          <t>PRZYGOTOWAWCZA</t>
        </is>
      </c>
      <c r="H13" s="50" t="inlineStr">
        <is>
          <t>KONWERSJA</t>
        </is>
      </c>
    </row>
    <row r="14">
      <c r="A14" s="49" t="n">
        <v>4</v>
      </c>
      <c r="B14" s="49" t="n">
        <v>1</v>
      </c>
      <c r="C14" s="50" t="n">
        <v>12</v>
      </c>
      <c r="D14" s="50" t="n">
        <v>12</v>
      </c>
      <c r="E14" s="50" t="n">
        <v>1</v>
      </c>
      <c r="F14" s="50" t="n">
        <v>1</v>
      </c>
      <c r="G14" s="50" t="inlineStr">
        <is>
          <t>PRZYGOTOWAWCZA</t>
        </is>
      </c>
      <c r="H14" s="50" t="inlineStr">
        <is>
          <t>ZYSK</t>
        </is>
      </c>
    </row>
    <row r="15">
      <c r="A15" s="49" t="n">
        <v>4</v>
      </c>
      <c r="B15" s="49" t="n">
        <v>2</v>
      </c>
      <c r="C15" s="50" t="n">
        <v>25</v>
      </c>
      <c r="D15" s="50" t="n">
        <v>25</v>
      </c>
      <c r="E15" s="50" t="n">
        <v>1</v>
      </c>
      <c r="F15" s="50" t="n">
        <v>1</v>
      </c>
      <c r="G15" s="50" t="inlineStr">
        <is>
          <t>PRZYGOTOWAWCZA</t>
        </is>
      </c>
      <c r="H15" s="50" t="inlineStr">
        <is>
          <t>VISIBILITY</t>
        </is>
      </c>
    </row>
    <row r="16">
      <c r="A16" s="49" t="n">
        <v>4</v>
      </c>
      <c r="B16" s="49" t="n">
        <v>3</v>
      </c>
      <c r="C16" s="50" t="n">
        <v>38</v>
      </c>
      <c r="D16" s="50" t="n">
        <v>38</v>
      </c>
      <c r="E16" s="50" t="n">
        <v>1</v>
      </c>
      <c r="F16" s="50" t="n">
        <v>1</v>
      </c>
      <c r="G16" s="50" t="inlineStr">
        <is>
          <t>PRZYGOTOWAWCZA</t>
        </is>
      </c>
      <c r="H16" s="50" t="inlineStr">
        <is>
          <t>UDZIAŁ W RYNKU</t>
        </is>
      </c>
    </row>
    <row r="17">
      <c r="A17" s="49" t="n">
        <v>4</v>
      </c>
      <c r="B17" s="49" t="n">
        <v>4</v>
      </c>
      <c r="C17" s="50" t="n">
        <v>12</v>
      </c>
      <c r="D17" s="50" t="n">
        <v>12</v>
      </c>
      <c r="E17" s="50" t="n">
        <v>1</v>
      </c>
      <c r="F17" s="50" t="n">
        <v>1</v>
      </c>
      <c r="G17" s="50" t="inlineStr">
        <is>
          <t>PRZYGOTOWAWCZA</t>
        </is>
      </c>
      <c r="H17" s="50" t="inlineStr">
        <is>
          <t>KONWERSJA</t>
        </is>
      </c>
    </row>
    <row r="18">
      <c r="A18" s="49" t="n">
        <v>5</v>
      </c>
      <c r="B18" s="49" t="n">
        <v>1</v>
      </c>
      <c r="C18" s="50" t="n">
        <v>25</v>
      </c>
      <c r="D18" s="50" t="n">
        <v>20</v>
      </c>
      <c r="E18" s="50" t="n">
        <v>1</v>
      </c>
      <c r="F18" s="50" t="n">
        <v>1</v>
      </c>
      <c r="G18" s="50" t="inlineStr">
        <is>
          <t>PRZYGOTOWAWCZA</t>
        </is>
      </c>
      <c r="H18" s="50" t="inlineStr">
        <is>
          <t>ZYSK</t>
        </is>
      </c>
    </row>
    <row r="19">
      <c r="A19" s="49" t="n">
        <v>5</v>
      </c>
      <c r="B19" s="49" t="n">
        <v>2</v>
      </c>
      <c r="C19" s="50" t="n">
        <v>12</v>
      </c>
      <c r="D19" s="50" t="n">
        <v>12</v>
      </c>
      <c r="E19" s="50" t="n">
        <v>1</v>
      </c>
      <c r="F19" s="50" t="n">
        <v>1</v>
      </c>
      <c r="G19" s="50" t="inlineStr">
        <is>
          <t>PRZYGOTOWAWCZA</t>
        </is>
      </c>
      <c r="H19" s="50" t="inlineStr">
        <is>
          <t>VISIBILITY</t>
        </is>
      </c>
    </row>
    <row r="20">
      <c r="A20" s="49" t="n">
        <v>5</v>
      </c>
      <c r="B20" s="49" t="n">
        <v>3</v>
      </c>
      <c r="C20" s="50" t="n">
        <v>12</v>
      </c>
      <c r="D20" s="50" t="n">
        <v>12</v>
      </c>
      <c r="E20" s="50" t="n">
        <v>1</v>
      </c>
      <c r="F20" s="50" t="n">
        <v>1</v>
      </c>
      <c r="G20" s="50" t="inlineStr">
        <is>
          <t>PRZYGOTOWAWCZA</t>
        </is>
      </c>
      <c r="H20" s="50" t="inlineStr">
        <is>
          <t>UDZIAŁ W RYNKU</t>
        </is>
      </c>
    </row>
    <row r="21">
      <c r="A21" s="49" t="n">
        <v>5</v>
      </c>
      <c r="B21" s="49" t="n">
        <v>4</v>
      </c>
      <c r="C21" s="50" t="n">
        <v>25</v>
      </c>
      <c r="D21" s="50" t="n">
        <v>30</v>
      </c>
      <c r="E21" s="50" t="n">
        <v>1</v>
      </c>
      <c r="F21" s="50" t="n">
        <v>1</v>
      </c>
      <c r="G21" s="50" t="inlineStr">
        <is>
          <t>PRZYGOTOWAWCZA</t>
        </is>
      </c>
      <c r="H21" s="50" t="inlineStr">
        <is>
          <t>KONWERSJA</t>
        </is>
      </c>
    </row>
    <row r="22">
      <c r="A22" s="49" t="n">
        <v>6</v>
      </c>
      <c r="B22" s="49" t="n">
        <v>1</v>
      </c>
      <c r="C22" s="50" t="n">
        <v>12</v>
      </c>
      <c r="D22" s="50" t="n">
        <v>12</v>
      </c>
      <c r="E22" s="50" t="n">
        <v>1</v>
      </c>
      <c r="F22" s="50" t="n">
        <v>1</v>
      </c>
      <c r="G22" s="50" t="inlineStr">
        <is>
          <t>PRZYGOTOWAWCZA</t>
        </is>
      </c>
      <c r="H22" s="50" t="inlineStr">
        <is>
          <t>ZYSK</t>
        </is>
      </c>
    </row>
    <row r="23">
      <c r="A23" s="49" t="n">
        <v>6</v>
      </c>
      <c r="B23" s="49" t="n">
        <v>2</v>
      </c>
      <c r="C23" s="50" t="n">
        <v>25</v>
      </c>
      <c r="D23" s="50" t="n">
        <v>30</v>
      </c>
      <c r="E23" s="50" t="n">
        <v>1</v>
      </c>
      <c r="F23" s="50" t="n">
        <v>1</v>
      </c>
      <c r="G23" s="50" t="inlineStr">
        <is>
          <t>PRZYGOTOWAWCZA</t>
        </is>
      </c>
      <c r="H23" s="50" t="inlineStr">
        <is>
          <t>VISIBILITY</t>
        </is>
      </c>
    </row>
    <row r="24">
      <c r="A24" s="49" t="n">
        <v>6</v>
      </c>
      <c r="B24" s="49" t="n">
        <v>3</v>
      </c>
      <c r="C24" s="50" t="n">
        <v>12</v>
      </c>
      <c r="D24" s="50" t="n">
        <v>20</v>
      </c>
      <c r="E24" s="50" t="n">
        <v>1</v>
      </c>
      <c r="F24" s="50" t="n">
        <v>1</v>
      </c>
      <c r="G24" s="50" t="inlineStr">
        <is>
          <t>PRZYGOTOWAWCZA</t>
        </is>
      </c>
      <c r="H24" s="50" t="inlineStr">
        <is>
          <t>UDZIAŁ W RYNKU</t>
        </is>
      </c>
    </row>
    <row r="25">
      <c r="A25" s="49" t="n">
        <v>6</v>
      </c>
      <c r="B25" s="49" t="n">
        <v>4</v>
      </c>
      <c r="C25" s="50" t="n">
        <v>30</v>
      </c>
      <c r="D25" s="50" t="n">
        <v>38</v>
      </c>
      <c r="E25" s="50" t="n">
        <v>1</v>
      </c>
      <c r="F25" s="50" t="n">
        <v>1</v>
      </c>
      <c r="G25" s="50" t="inlineStr">
        <is>
          <t>PRZYGOTOWAWCZA</t>
        </is>
      </c>
      <c r="H25" s="50" t="inlineStr">
        <is>
          <t>KONWERSJA</t>
        </is>
      </c>
    </row>
    <row r="26">
      <c r="A26" s="49" t="n">
        <v>7</v>
      </c>
      <c r="B26" s="49" t="n">
        <v>1</v>
      </c>
      <c r="C26" s="50" t="n">
        <v>38</v>
      </c>
      <c r="D26" s="50" t="n">
        <v>45</v>
      </c>
      <c r="E26" s="50" t="n">
        <v>1</v>
      </c>
      <c r="F26" s="50" t="n">
        <v>1</v>
      </c>
      <c r="G26" s="50" t="inlineStr">
        <is>
          <t>PRZYGOTOWAWCZA</t>
        </is>
      </c>
      <c r="H26" s="50" t="inlineStr">
        <is>
          <t>ZYSK</t>
        </is>
      </c>
    </row>
    <row r="27">
      <c r="A27" s="49" t="n">
        <v>7</v>
      </c>
      <c r="B27" s="49" t="n">
        <v>2</v>
      </c>
      <c r="C27" s="50" t="n">
        <v>8</v>
      </c>
      <c r="D27" s="50" t="n">
        <v>8</v>
      </c>
      <c r="E27" s="50" t="n">
        <v>1</v>
      </c>
      <c r="F27" s="50" t="n">
        <v>1</v>
      </c>
      <c r="G27" s="50" t="inlineStr">
        <is>
          <t>PRZYGOTOWAWCZA</t>
        </is>
      </c>
      <c r="H27" s="50" t="inlineStr">
        <is>
          <t>VISIBILITY</t>
        </is>
      </c>
    </row>
    <row r="28">
      <c r="A28" s="49" t="n">
        <v>7</v>
      </c>
      <c r="B28" s="49" t="n">
        <v>3</v>
      </c>
      <c r="C28" s="50" t="n">
        <v>12</v>
      </c>
      <c r="D28" s="50" t="n">
        <v>12</v>
      </c>
      <c r="E28" s="50" t="n">
        <v>1</v>
      </c>
      <c r="F28" s="50" t="n">
        <v>1</v>
      </c>
      <c r="G28" s="50" t="inlineStr">
        <is>
          <t>PRZYGOTOWAWCZA</t>
        </is>
      </c>
      <c r="H28" s="50" t="inlineStr">
        <is>
          <t>UDZIAŁ W RYNKU</t>
        </is>
      </c>
    </row>
    <row r="29">
      <c r="A29" s="49" t="n">
        <v>7</v>
      </c>
      <c r="B29" s="49" t="n">
        <v>4</v>
      </c>
      <c r="C29" s="50" t="n">
        <v>12</v>
      </c>
      <c r="D29" s="50" t="n">
        <v>12</v>
      </c>
      <c r="E29" s="50" t="n">
        <v>1</v>
      </c>
      <c r="F29" s="50" t="n">
        <v>1</v>
      </c>
      <c r="G29" s="50" t="inlineStr">
        <is>
          <t>PRZYGOTOWAWCZA</t>
        </is>
      </c>
      <c r="H29" s="50" t="inlineStr">
        <is>
          <t>KONWERSJA</t>
        </is>
      </c>
    </row>
    <row r="30">
      <c r="A30" s="49" t="n">
        <v>8</v>
      </c>
      <c r="B30" s="49" t="n">
        <v>1</v>
      </c>
      <c r="C30" s="50" t="n">
        <v>25</v>
      </c>
      <c r="D30" s="50" t="n">
        <v>30</v>
      </c>
      <c r="E30" s="50" t="n">
        <v>1</v>
      </c>
      <c r="F30" s="50" t="n">
        <v>1</v>
      </c>
      <c r="G30" s="50" t="inlineStr">
        <is>
          <t>PRZYGOTOWAWCZA</t>
        </is>
      </c>
      <c r="H30" s="50" t="inlineStr">
        <is>
          <t>ZYSK</t>
        </is>
      </c>
    </row>
    <row r="31">
      <c r="A31" s="49" t="n">
        <v>8</v>
      </c>
      <c r="B31" s="49" t="n">
        <v>2</v>
      </c>
      <c r="C31" s="50" t="n">
        <v>8</v>
      </c>
      <c r="D31" s="50" t="n">
        <v>8</v>
      </c>
      <c r="E31" s="50" t="n">
        <v>1</v>
      </c>
      <c r="F31" s="50" t="n">
        <v>1</v>
      </c>
      <c r="G31" s="50" t="inlineStr">
        <is>
          <t>PRZYGOTOWAWCZA</t>
        </is>
      </c>
      <c r="H31" s="50" t="inlineStr">
        <is>
          <t>VISIBILITY</t>
        </is>
      </c>
    </row>
    <row r="32">
      <c r="A32" s="49" t="n">
        <v>8</v>
      </c>
      <c r="B32" s="49" t="n">
        <v>3</v>
      </c>
      <c r="C32" s="50" t="n">
        <v>12</v>
      </c>
      <c r="D32" s="50" t="n">
        <v>20</v>
      </c>
      <c r="E32" s="50" t="n">
        <v>1</v>
      </c>
      <c r="F32" s="50" t="n">
        <v>1</v>
      </c>
      <c r="G32" s="50" t="inlineStr">
        <is>
          <t>PRZYGOTOWAWCZA</t>
        </is>
      </c>
      <c r="H32" s="50" t="inlineStr">
        <is>
          <t>UDZIAŁ W RYNKU</t>
        </is>
      </c>
    </row>
    <row r="33">
      <c r="A33" s="49" t="n">
        <v>8</v>
      </c>
      <c r="B33" s="49" t="n">
        <v>4</v>
      </c>
      <c r="C33" s="50" t="n">
        <v>20</v>
      </c>
      <c r="D33" s="50" t="n">
        <v>25</v>
      </c>
      <c r="E33" s="50" t="n">
        <v>1</v>
      </c>
      <c r="F33" s="50" t="n">
        <v>1</v>
      </c>
      <c r="G33" s="50" t="inlineStr">
        <is>
          <t>PRZYGOTOWAWCZA</t>
        </is>
      </c>
      <c r="H33" s="50" t="inlineStr">
        <is>
          <t>KONWERSJA</t>
        </is>
      </c>
    </row>
    <row r="34">
      <c r="A34" s="49" t="n">
        <v>9</v>
      </c>
      <c r="B34" s="49" t="n">
        <v>1</v>
      </c>
      <c r="C34" s="50" t="n">
        <v>30</v>
      </c>
      <c r="D34" s="50" t="n">
        <v>38</v>
      </c>
      <c r="E34" s="50" t="n">
        <v>1</v>
      </c>
      <c r="F34" s="50" t="n">
        <v>1</v>
      </c>
      <c r="G34" s="50" t="inlineStr">
        <is>
          <t>PRZYGOTOWAWCZA</t>
        </is>
      </c>
      <c r="H34" s="50" t="inlineStr">
        <is>
          <t>ZYSK</t>
        </is>
      </c>
    </row>
    <row r="35">
      <c r="A35" s="49" t="n">
        <v>9</v>
      </c>
      <c r="B35" s="49" t="n">
        <v>2</v>
      </c>
      <c r="C35" s="50" t="n">
        <v>8</v>
      </c>
      <c r="D35" s="50" t="n">
        <v>8</v>
      </c>
      <c r="E35" s="50" t="n">
        <v>1</v>
      </c>
      <c r="F35" s="50" t="n">
        <v>1</v>
      </c>
      <c r="G35" s="50" t="inlineStr">
        <is>
          <t>PRZYGOTOWAWCZA</t>
        </is>
      </c>
      <c r="H35" s="50" t="inlineStr">
        <is>
          <t>VISIBILITY</t>
        </is>
      </c>
    </row>
    <row r="36">
      <c r="A36" s="49" t="n">
        <v>9</v>
      </c>
      <c r="B36" s="49" t="n">
        <v>3</v>
      </c>
      <c r="C36" s="50" t="n">
        <v>12</v>
      </c>
      <c r="D36" s="50" t="n">
        <v>12</v>
      </c>
      <c r="E36" s="50" t="n">
        <v>1</v>
      </c>
      <c r="F36" s="50" t="n">
        <v>1</v>
      </c>
      <c r="G36" s="50" t="inlineStr">
        <is>
          <t>PRZYGOTOWAWCZA</t>
        </is>
      </c>
      <c r="H36" s="50" t="inlineStr">
        <is>
          <t>UDZIAŁ W RYNKU</t>
        </is>
      </c>
    </row>
    <row r="37">
      <c r="A37" s="49" t="n">
        <v>9</v>
      </c>
      <c r="B37" s="49" t="n">
        <v>4</v>
      </c>
      <c r="C37" s="50" t="n">
        <v>12</v>
      </c>
      <c r="D37" s="50" t="n">
        <v>20</v>
      </c>
      <c r="E37" s="50" t="n">
        <v>1</v>
      </c>
      <c r="F37" s="50" t="n">
        <v>1</v>
      </c>
      <c r="G37" s="50" t="inlineStr">
        <is>
          <t>PRZYGOTOWAWCZA</t>
        </is>
      </c>
      <c r="H37" s="50" t="inlineStr">
        <is>
          <t>KONWERSJA</t>
        </is>
      </c>
    </row>
    <row r="38">
      <c r="A38" s="49" t="n">
        <v>10</v>
      </c>
      <c r="B38" s="49" t="n">
        <v>1</v>
      </c>
      <c r="C38" s="50" t="n">
        <v>12</v>
      </c>
      <c r="D38" s="50" t="n">
        <v>20</v>
      </c>
      <c r="E38" s="50" t="n">
        <v>1</v>
      </c>
      <c r="F38" s="50" t="n">
        <v>1</v>
      </c>
      <c r="G38" s="50" t="inlineStr">
        <is>
          <t>PRZYGOTOWAWCZA</t>
        </is>
      </c>
      <c r="H38" s="50" t="inlineStr">
        <is>
          <t>ZYSK</t>
        </is>
      </c>
    </row>
    <row r="39">
      <c r="A39" s="49" t="n">
        <v>10</v>
      </c>
      <c r="B39" s="49" t="n">
        <v>2</v>
      </c>
      <c r="C39" s="50" t="n">
        <v>38</v>
      </c>
      <c r="D39" s="50" t="n">
        <v>38</v>
      </c>
      <c r="E39" s="50" t="n">
        <v>1</v>
      </c>
      <c r="F39" s="50" t="n">
        <v>1</v>
      </c>
      <c r="G39" s="50" t="inlineStr">
        <is>
          <t>PRZYGOTOWAWCZA</t>
        </is>
      </c>
      <c r="H39" s="50" t="inlineStr">
        <is>
          <t>VISIBILITY</t>
        </is>
      </c>
    </row>
    <row r="40">
      <c r="A40" s="49" t="n">
        <v>10</v>
      </c>
      <c r="B40" s="49" t="n">
        <v>3</v>
      </c>
      <c r="C40" s="50" t="n">
        <v>25</v>
      </c>
      <c r="D40" s="50" t="n">
        <v>30</v>
      </c>
      <c r="E40" s="50" t="n">
        <v>1</v>
      </c>
      <c r="F40" s="50" t="n">
        <v>1</v>
      </c>
      <c r="G40" s="50" t="inlineStr">
        <is>
          <t>PRZYGOTOWAWCZA</t>
        </is>
      </c>
      <c r="H40" s="50" t="inlineStr">
        <is>
          <t>UDZIAŁ W RYNKU</t>
        </is>
      </c>
    </row>
    <row r="41">
      <c r="A41" s="49" t="n">
        <v>10</v>
      </c>
      <c r="B41" s="49" t="n">
        <v>4</v>
      </c>
      <c r="C41" s="50" t="n">
        <v>8</v>
      </c>
      <c r="D41" s="50" t="n">
        <v>8</v>
      </c>
      <c r="E41" s="50" t="n">
        <v>1</v>
      </c>
      <c r="F41" s="50" t="n">
        <v>1</v>
      </c>
      <c r="G41" s="50" t="inlineStr">
        <is>
          <t>PRZYGOTOWAWCZA</t>
        </is>
      </c>
      <c r="H41" s="50" t="inlineStr">
        <is>
          <t>KONWERSJA</t>
        </is>
      </c>
    </row>
    <row r="42">
      <c r="A42" s="49" t="n">
        <v>11</v>
      </c>
      <c r="B42" s="49" t="n">
        <v>1</v>
      </c>
      <c r="C42" s="50" t="n">
        <v>8</v>
      </c>
      <c r="D42" s="50" t="n">
        <v>8</v>
      </c>
      <c r="E42" s="50" t="n">
        <v>1</v>
      </c>
      <c r="F42" s="50" t="n">
        <v>1</v>
      </c>
      <c r="G42" s="50" t="inlineStr">
        <is>
          <t>PRZYGOTOWAWCZA</t>
        </is>
      </c>
      <c r="H42" s="50" t="inlineStr">
        <is>
          <t>ZYSK</t>
        </is>
      </c>
    </row>
    <row r="43">
      <c r="A43" s="49" t="n">
        <v>11</v>
      </c>
      <c r="B43" s="49" t="n">
        <v>2</v>
      </c>
      <c r="C43" s="50" t="n">
        <v>8</v>
      </c>
      <c r="D43" s="50" t="n">
        <v>8</v>
      </c>
      <c r="E43" s="50" t="n">
        <v>1</v>
      </c>
      <c r="F43" s="50" t="n">
        <v>1</v>
      </c>
      <c r="G43" s="50" t="inlineStr">
        <is>
          <t>PRZYGOTOWAWCZA</t>
        </is>
      </c>
      <c r="H43" s="50" t="inlineStr">
        <is>
          <t>VISIBILITY</t>
        </is>
      </c>
    </row>
    <row r="44">
      <c r="A44" s="49" t="n">
        <v>11</v>
      </c>
      <c r="B44" s="49" t="n">
        <v>3</v>
      </c>
      <c r="C44" s="50" t="n">
        <v>8</v>
      </c>
      <c r="D44" s="50" t="n">
        <v>8</v>
      </c>
      <c r="E44" s="50" t="n">
        <v>1</v>
      </c>
      <c r="F44" s="50" t="n">
        <v>1</v>
      </c>
      <c r="G44" s="50" t="inlineStr">
        <is>
          <t>PRZYGOTOWAWCZA</t>
        </is>
      </c>
      <c r="H44" s="50" t="inlineStr">
        <is>
          <t>UDZIAŁ W RYNKU</t>
        </is>
      </c>
    </row>
    <row r="45">
      <c r="A45" s="49" t="n">
        <v>11</v>
      </c>
      <c r="B45" s="49" t="n">
        <v>4</v>
      </c>
      <c r="C45" s="50" t="n">
        <v>38</v>
      </c>
      <c r="D45" s="50" t="n">
        <v>45</v>
      </c>
      <c r="E45" s="50" t="n">
        <v>1</v>
      </c>
      <c r="F45" s="50" t="n">
        <v>1</v>
      </c>
      <c r="G45" s="50" t="inlineStr">
        <is>
          <t>PRZYGOTOWAWCZA</t>
        </is>
      </c>
      <c r="H45" s="50" t="inlineStr">
        <is>
          <t>KONWERSJA</t>
        </is>
      </c>
    </row>
    <row r="46">
      <c r="A46" s="49" t="n">
        <v>12</v>
      </c>
      <c r="B46" s="49" t="n">
        <v>1</v>
      </c>
      <c r="C46" s="50" t="n">
        <v>8</v>
      </c>
      <c r="D46" s="50" t="n">
        <v>8</v>
      </c>
      <c r="E46" s="50" t="n">
        <v>1</v>
      </c>
      <c r="F46" s="50" t="n">
        <v>1</v>
      </c>
      <c r="G46" s="50" t="inlineStr">
        <is>
          <t>PRZYGOTOWAWCZA</t>
        </is>
      </c>
      <c r="H46" s="50" t="inlineStr">
        <is>
          <t>ZYSK</t>
        </is>
      </c>
    </row>
    <row r="47">
      <c r="A47" s="49" t="n">
        <v>12</v>
      </c>
      <c r="B47" s="49" t="n">
        <v>2</v>
      </c>
      <c r="C47" s="50" t="n">
        <v>12</v>
      </c>
      <c r="D47" s="50" t="n">
        <v>20</v>
      </c>
      <c r="E47" s="50" t="n">
        <v>1</v>
      </c>
      <c r="F47" s="50" t="n">
        <v>1</v>
      </c>
      <c r="G47" s="50" t="inlineStr">
        <is>
          <t>PRZYGOTOWAWCZA</t>
        </is>
      </c>
      <c r="H47" s="50" t="inlineStr">
        <is>
          <t>VISIBILITY</t>
        </is>
      </c>
    </row>
    <row r="48">
      <c r="A48" s="49" t="n">
        <v>12</v>
      </c>
      <c r="B48" s="49" t="n">
        <v>3</v>
      </c>
      <c r="C48" s="50" t="n">
        <v>30</v>
      </c>
      <c r="D48" s="50" t="n">
        <v>38</v>
      </c>
      <c r="E48" s="50" t="n">
        <v>1</v>
      </c>
      <c r="F48" s="50" t="n">
        <v>1</v>
      </c>
      <c r="G48" s="50" t="inlineStr">
        <is>
          <t>PRZYGOTOWAWCZA</t>
        </is>
      </c>
      <c r="H48" s="50" t="inlineStr">
        <is>
          <t>UDZIAŁ W RYNKU</t>
        </is>
      </c>
    </row>
    <row r="49">
      <c r="A49" s="49" t="n">
        <v>12</v>
      </c>
      <c r="B49" s="49" t="n">
        <v>4</v>
      </c>
      <c r="C49" s="50" t="n">
        <v>25</v>
      </c>
      <c r="D49" s="50" t="n">
        <v>30</v>
      </c>
      <c r="E49" s="50" t="n">
        <v>1</v>
      </c>
      <c r="F49" s="50" t="n">
        <v>1</v>
      </c>
      <c r="G49" s="50" t="inlineStr">
        <is>
          <t>PRZYGOTOWAWCZA</t>
        </is>
      </c>
      <c r="H49" s="50" t="inlineStr">
        <is>
          <t>KONWERSJA</t>
        </is>
      </c>
    </row>
    <row r="50">
      <c r="A50" s="49" t="n">
        <v>13</v>
      </c>
      <c r="B50" s="49" t="n">
        <v>1</v>
      </c>
      <c r="C50" s="50" t="n">
        <v>12</v>
      </c>
      <c r="D50" s="50" t="n">
        <v>12</v>
      </c>
      <c r="E50" s="50" t="n">
        <v>1</v>
      </c>
      <c r="F50" s="50" t="n">
        <v>1</v>
      </c>
      <c r="G50" s="50" t="inlineStr">
        <is>
          <t>PRZYGOTOWAWCZA</t>
        </is>
      </c>
      <c r="H50" s="50" t="inlineStr">
        <is>
          <t>ZYSK</t>
        </is>
      </c>
    </row>
    <row r="51">
      <c r="A51" s="49" t="n">
        <v>13</v>
      </c>
      <c r="B51" s="49" t="n">
        <v>2</v>
      </c>
      <c r="C51" s="50" t="n">
        <v>8</v>
      </c>
      <c r="D51" s="50" t="n">
        <v>8</v>
      </c>
      <c r="E51" s="50" t="n">
        <v>1</v>
      </c>
      <c r="F51" s="50" t="n">
        <v>1</v>
      </c>
      <c r="G51" s="50" t="inlineStr">
        <is>
          <t>PRZYGOTOWAWCZA</t>
        </is>
      </c>
      <c r="H51" s="50" t="inlineStr">
        <is>
          <t>VISIBILITY</t>
        </is>
      </c>
    </row>
    <row r="52">
      <c r="A52" s="49" t="n">
        <v>13</v>
      </c>
      <c r="B52" s="49" t="n">
        <v>3</v>
      </c>
      <c r="C52" s="50" t="n">
        <v>12</v>
      </c>
      <c r="D52" s="50" t="n">
        <v>12</v>
      </c>
      <c r="E52" s="50" t="n">
        <v>1</v>
      </c>
      <c r="F52" s="50" t="n">
        <v>1</v>
      </c>
      <c r="G52" s="50" t="inlineStr">
        <is>
          <t>PRZYGOTOWAWCZA</t>
        </is>
      </c>
      <c r="H52" s="50" t="inlineStr">
        <is>
          <t>UDZIAŁ W RYNKU</t>
        </is>
      </c>
    </row>
    <row r="53">
      <c r="A53" s="49" t="n">
        <v>13</v>
      </c>
      <c r="B53" s="49" t="n">
        <v>4</v>
      </c>
      <c r="C53" s="50" t="n">
        <v>12</v>
      </c>
      <c r="D53" s="50" t="n">
        <v>20</v>
      </c>
      <c r="E53" s="50" t="n">
        <v>1</v>
      </c>
      <c r="F53" s="50" t="n">
        <v>1</v>
      </c>
      <c r="G53" s="50" t="inlineStr">
        <is>
          <t>PRZYGOTOWAWCZA</t>
        </is>
      </c>
      <c r="H53" s="50" t="inlineStr">
        <is>
          <t>KONWERSJA</t>
        </is>
      </c>
    </row>
    <row r="54">
      <c r="A54" s="49" t="n">
        <v>14</v>
      </c>
      <c r="B54" s="49" t="n">
        <v>1</v>
      </c>
      <c r="C54" s="50" t="n">
        <v>8</v>
      </c>
      <c r="D54" s="50" t="n">
        <v>8</v>
      </c>
      <c r="E54" s="50" t="n">
        <v>1</v>
      </c>
      <c r="F54" s="50" t="n">
        <v>1</v>
      </c>
      <c r="G54" s="50" t="inlineStr">
        <is>
          <t>PRZYGOTOWAWCZA</t>
        </is>
      </c>
      <c r="H54" s="50" t="inlineStr">
        <is>
          <t>ZYSK</t>
        </is>
      </c>
    </row>
    <row r="55">
      <c r="A55" s="49" t="n">
        <v>14</v>
      </c>
      <c r="B55" s="49" t="n">
        <v>2</v>
      </c>
      <c r="C55" s="50" t="n">
        <v>45</v>
      </c>
      <c r="D55" s="50" t="n">
        <v>50</v>
      </c>
      <c r="E55" s="50" t="n">
        <v>1</v>
      </c>
      <c r="F55" s="50" t="n">
        <v>1</v>
      </c>
      <c r="G55" s="50" t="inlineStr">
        <is>
          <t>PRZYGOTOWAWCZA</t>
        </is>
      </c>
      <c r="H55" s="50" t="inlineStr">
        <is>
          <t>VISIBILITY</t>
        </is>
      </c>
    </row>
    <row r="56">
      <c r="A56" s="49" t="n">
        <v>14</v>
      </c>
      <c r="B56" s="49" t="n">
        <v>3</v>
      </c>
      <c r="C56" s="50" t="n">
        <v>20</v>
      </c>
      <c r="D56" s="50" t="n">
        <v>25</v>
      </c>
      <c r="E56" s="50" t="n">
        <v>1</v>
      </c>
      <c r="F56" s="50" t="n">
        <v>1</v>
      </c>
      <c r="G56" s="50" t="inlineStr">
        <is>
          <t>PRZYGOTOWAWCZA</t>
        </is>
      </c>
      <c r="H56" s="50" t="inlineStr">
        <is>
          <t>UDZIAŁ W RYNKU</t>
        </is>
      </c>
    </row>
    <row r="57">
      <c r="A57" s="49" t="n">
        <v>14</v>
      </c>
      <c r="B57" s="49" t="n">
        <v>4</v>
      </c>
      <c r="C57" s="50" t="n">
        <v>25</v>
      </c>
      <c r="D57" s="50" t="n">
        <v>30</v>
      </c>
      <c r="E57" s="50" t="n">
        <v>1</v>
      </c>
      <c r="F57" s="50" t="n">
        <v>1</v>
      </c>
      <c r="G57" s="50" t="inlineStr">
        <is>
          <t>PRZYGOTOWAWCZA</t>
        </is>
      </c>
      <c r="H57" s="50" t="inlineStr">
        <is>
          <t>KONWERSJA</t>
        </is>
      </c>
    </row>
    <row r="58">
      <c r="A58" s="49" t="n">
        <v>15</v>
      </c>
      <c r="B58" s="49" t="n">
        <v>1</v>
      </c>
      <c r="C58" s="50" t="n">
        <v>8</v>
      </c>
      <c r="D58" s="50" t="n">
        <v>8</v>
      </c>
      <c r="E58" s="50" t="n">
        <v>1</v>
      </c>
      <c r="F58" s="50" t="n">
        <v>1</v>
      </c>
      <c r="G58" s="50" t="inlineStr">
        <is>
          <t>PRZYGOTOWAWCZA</t>
        </is>
      </c>
      <c r="H58" s="50" t="inlineStr">
        <is>
          <t>ZYSK</t>
        </is>
      </c>
    </row>
    <row r="59">
      <c r="A59" s="49" t="n">
        <v>15</v>
      </c>
      <c r="B59" s="49" t="n">
        <v>2</v>
      </c>
      <c r="C59" s="50" t="n">
        <v>12</v>
      </c>
      <c r="D59" s="50" t="n">
        <v>12</v>
      </c>
      <c r="E59" s="50" t="n">
        <v>1</v>
      </c>
      <c r="F59" s="50" t="n">
        <v>1</v>
      </c>
      <c r="G59" s="50" t="inlineStr">
        <is>
          <t>PRZYGOTOWAWCZA</t>
        </is>
      </c>
      <c r="H59" s="50" t="inlineStr">
        <is>
          <t>VISIBILITY</t>
        </is>
      </c>
    </row>
    <row r="60">
      <c r="A60" s="49" t="n">
        <v>15</v>
      </c>
      <c r="B60" s="49" t="n">
        <v>3</v>
      </c>
      <c r="C60" s="50" t="n">
        <v>12</v>
      </c>
      <c r="D60" s="50" t="n">
        <v>12</v>
      </c>
      <c r="E60" s="50" t="n">
        <v>1</v>
      </c>
      <c r="F60" s="50" t="n">
        <v>1</v>
      </c>
      <c r="G60" s="50" t="inlineStr">
        <is>
          <t>PRZYGOTOWAWCZA</t>
        </is>
      </c>
      <c r="H60" s="50" t="inlineStr">
        <is>
          <t>UDZIAŁ W RYNKU</t>
        </is>
      </c>
    </row>
    <row r="61">
      <c r="A61" s="49" t="n">
        <v>15</v>
      </c>
      <c r="B61" s="49" t="n">
        <v>4</v>
      </c>
      <c r="C61" s="50" t="n">
        <v>45</v>
      </c>
      <c r="D61" s="50" t="n">
        <v>50</v>
      </c>
      <c r="E61" s="50" t="n">
        <v>1</v>
      </c>
      <c r="F61" s="50" t="n">
        <v>1</v>
      </c>
      <c r="G61" s="50" t="inlineStr">
        <is>
          <t>PRZYGOTOWAWCZA</t>
        </is>
      </c>
      <c r="H61" s="50" t="inlineStr">
        <is>
          <t>KONWERSJA</t>
        </is>
      </c>
    </row>
    <row r="62">
      <c r="A62" s="49" t="n">
        <v>16</v>
      </c>
      <c r="B62" s="49" t="n">
        <v>1</v>
      </c>
      <c r="C62" s="50" t="n">
        <v>25</v>
      </c>
      <c r="D62" s="50" t="n">
        <v>30</v>
      </c>
      <c r="E62" s="50" t="n">
        <v>1</v>
      </c>
      <c r="F62" s="50" t="n">
        <v>1</v>
      </c>
      <c r="G62" s="50" t="inlineStr">
        <is>
          <t>PRZYGOTOWAWCZA</t>
        </is>
      </c>
      <c r="H62" s="50" t="inlineStr">
        <is>
          <t>ZYSK</t>
        </is>
      </c>
    </row>
    <row r="63">
      <c r="A63" s="49" t="n">
        <v>16</v>
      </c>
      <c r="B63" s="49" t="n">
        <v>2</v>
      </c>
      <c r="C63" s="50" t="n">
        <v>12</v>
      </c>
      <c r="D63" s="50" t="n">
        <v>12</v>
      </c>
      <c r="E63" s="50" t="n">
        <v>1</v>
      </c>
      <c r="F63" s="50" t="n">
        <v>1</v>
      </c>
      <c r="G63" s="50" t="inlineStr">
        <is>
          <t>PRZYGOTOWAWCZA</t>
        </is>
      </c>
      <c r="H63" s="50" t="inlineStr">
        <is>
          <t>VISIBILITY</t>
        </is>
      </c>
    </row>
    <row r="64">
      <c r="A64" s="49" t="n">
        <v>16</v>
      </c>
      <c r="B64" s="49" t="n">
        <v>3</v>
      </c>
      <c r="C64" s="50" t="n">
        <v>12</v>
      </c>
      <c r="D64" s="50" t="n">
        <v>20</v>
      </c>
      <c r="E64" s="50" t="n">
        <v>1</v>
      </c>
      <c r="F64" s="50" t="n">
        <v>1</v>
      </c>
      <c r="G64" s="50" t="inlineStr">
        <is>
          <t>PRZYGOTOWAWCZA</t>
        </is>
      </c>
      <c r="H64" s="50" t="inlineStr">
        <is>
          <t>UDZIAŁ W RYNKU</t>
        </is>
      </c>
    </row>
    <row r="65">
      <c r="A65" s="49" t="n">
        <v>16</v>
      </c>
      <c r="B65" s="49" t="n">
        <v>4</v>
      </c>
      <c r="C65" s="50" t="n">
        <v>20</v>
      </c>
      <c r="D65" s="50" t="n">
        <v>25</v>
      </c>
      <c r="E65" s="50" t="n">
        <v>1</v>
      </c>
      <c r="F65" s="50" t="n">
        <v>1</v>
      </c>
      <c r="G65" s="50" t="inlineStr">
        <is>
          <t>PRZYGOTOWAWCZA</t>
        </is>
      </c>
      <c r="H65" s="50" t="inlineStr">
        <is>
          <t>KONWERSJA</t>
        </is>
      </c>
    </row>
    <row r="66">
      <c r="A66" s="49" t="n">
        <v>17</v>
      </c>
      <c r="B66" s="49" t="n">
        <v>1</v>
      </c>
      <c r="C66" s="50" t="n">
        <v>12</v>
      </c>
      <c r="D66" s="50" t="n">
        <v>12</v>
      </c>
      <c r="E66" s="50" t="n">
        <v>1</v>
      </c>
      <c r="F66" s="50" t="n">
        <v>1</v>
      </c>
      <c r="G66" s="50" t="inlineStr">
        <is>
          <t>PRZYGOTOWAWCZA</t>
        </is>
      </c>
      <c r="H66" s="50" t="inlineStr">
        <is>
          <t>ZYSK</t>
        </is>
      </c>
    </row>
    <row r="67">
      <c r="A67" s="49" t="n">
        <v>17</v>
      </c>
      <c r="B67" s="49" t="n">
        <v>2</v>
      </c>
      <c r="C67" s="50" t="n">
        <v>8</v>
      </c>
      <c r="D67" s="50" t="n">
        <v>8</v>
      </c>
      <c r="E67" s="50" t="n">
        <v>1</v>
      </c>
      <c r="F67" s="50" t="n">
        <v>1</v>
      </c>
      <c r="G67" s="50" t="inlineStr">
        <is>
          <t>PRZYGOTOWAWCZA</t>
        </is>
      </c>
      <c r="H67" s="50" t="inlineStr">
        <is>
          <t>VISIBILITY</t>
        </is>
      </c>
    </row>
    <row r="68">
      <c r="A68" s="49" t="n">
        <v>17</v>
      </c>
      <c r="B68" s="49" t="n">
        <v>3</v>
      </c>
      <c r="C68" s="50" t="n">
        <v>8</v>
      </c>
      <c r="D68" s="50" t="n">
        <v>8</v>
      </c>
      <c r="E68" s="50" t="n">
        <v>1</v>
      </c>
      <c r="F68" s="50" t="n">
        <v>1</v>
      </c>
      <c r="G68" s="50" t="inlineStr">
        <is>
          <t>PRZYGOTOWAWCZA</t>
        </is>
      </c>
      <c r="H68" s="50" t="inlineStr">
        <is>
          <t>UDZIAŁ W RYNKU</t>
        </is>
      </c>
    </row>
    <row r="69">
      <c r="A69" s="49" t="n">
        <v>17</v>
      </c>
      <c r="B69" s="49" t="n">
        <v>4</v>
      </c>
      <c r="C69" s="50" t="n">
        <v>25</v>
      </c>
      <c r="D69" s="50" t="n">
        <v>30</v>
      </c>
      <c r="E69" s="50" t="n">
        <v>1</v>
      </c>
      <c r="F69" s="50" t="n">
        <v>1</v>
      </c>
      <c r="G69" s="50" t="inlineStr">
        <is>
          <t>PRZYGOTOWAWCZA</t>
        </is>
      </c>
      <c r="H69" s="50" t="inlineStr">
        <is>
          <t>KONWERSJA</t>
        </is>
      </c>
    </row>
    <row r="70">
      <c r="A70" s="49" t="n">
        <v>18</v>
      </c>
      <c r="B70" s="49" t="n">
        <v>1</v>
      </c>
      <c r="C70" s="50" t="n">
        <v>12</v>
      </c>
      <c r="D70" s="50" t="n">
        <v>12</v>
      </c>
      <c r="E70" s="50" t="n">
        <v>1</v>
      </c>
      <c r="F70" s="50" t="n">
        <v>1</v>
      </c>
      <c r="G70" s="50" t="inlineStr">
        <is>
          <t>PRZYGOTOWAWCZA</t>
        </is>
      </c>
      <c r="H70" s="50" t="inlineStr">
        <is>
          <t>ZYSK</t>
        </is>
      </c>
    </row>
    <row r="71">
      <c r="A71" s="49" t="n">
        <v>18</v>
      </c>
      <c r="B71" s="49" t="n">
        <v>2</v>
      </c>
      <c r="C71" s="50" t="n">
        <v>12</v>
      </c>
      <c r="D71" s="50" t="n">
        <v>12</v>
      </c>
      <c r="E71" s="50" t="n">
        <v>1</v>
      </c>
      <c r="F71" s="50" t="n">
        <v>1</v>
      </c>
      <c r="G71" s="50" t="inlineStr">
        <is>
          <t>PRZYGOTOWAWCZA</t>
        </is>
      </c>
      <c r="H71" s="50" t="inlineStr">
        <is>
          <t>VISIBILITY</t>
        </is>
      </c>
    </row>
    <row r="72">
      <c r="A72" s="49" t="n">
        <v>18</v>
      </c>
      <c r="B72" s="49" t="n">
        <v>3</v>
      </c>
      <c r="C72" s="50" t="n">
        <v>20</v>
      </c>
      <c r="D72" s="50" t="n">
        <v>20</v>
      </c>
      <c r="E72" s="50" t="n">
        <v>1</v>
      </c>
      <c r="F72" s="50" t="n">
        <v>1</v>
      </c>
      <c r="G72" s="50" t="inlineStr">
        <is>
          <t>PRZYGOTOWAWCZA</t>
        </is>
      </c>
      <c r="H72" s="50" t="inlineStr">
        <is>
          <t>UDZIAŁ W RYNKU</t>
        </is>
      </c>
    </row>
    <row r="73">
      <c r="A73" s="49" t="n">
        <v>18</v>
      </c>
      <c r="B73" s="49" t="n">
        <v>4</v>
      </c>
      <c r="C73" s="50" t="n">
        <v>12</v>
      </c>
      <c r="D73" s="50" t="n">
        <v>20</v>
      </c>
      <c r="E73" s="50" t="n">
        <v>1</v>
      </c>
      <c r="F73" s="50" t="n">
        <v>1</v>
      </c>
      <c r="G73" s="50" t="inlineStr">
        <is>
          <t>PRZYGOTOWAWCZA</t>
        </is>
      </c>
      <c r="H73" s="50" t="inlineStr">
        <is>
          <t>KONWERSJA</t>
        </is>
      </c>
    </row>
    <row r="74">
      <c r="A74" s="49" t="n">
        <v>19</v>
      </c>
      <c r="B74" s="49" t="n">
        <v>1</v>
      </c>
      <c r="C74" s="50" t="n">
        <v>8</v>
      </c>
      <c r="D74" s="50" t="n">
        <v>8</v>
      </c>
      <c r="E74" s="50" t="n">
        <v>1</v>
      </c>
      <c r="F74" s="50" t="n">
        <v>1</v>
      </c>
      <c r="G74" s="50" t="inlineStr">
        <is>
          <t>PRZYGOTOWAWCZA</t>
        </is>
      </c>
      <c r="H74" s="50" t="inlineStr">
        <is>
          <t>ZYSK</t>
        </is>
      </c>
    </row>
    <row r="75">
      <c r="A75" s="49" t="n">
        <v>19</v>
      </c>
      <c r="B75" s="49" t="n">
        <v>2</v>
      </c>
      <c r="C75" s="50" t="n">
        <v>38</v>
      </c>
      <c r="D75" s="50" t="n">
        <v>45</v>
      </c>
      <c r="E75" s="50" t="n">
        <v>1</v>
      </c>
      <c r="F75" s="50" t="n">
        <v>1</v>
      </c>
      <c r="G75" s="50" t="inlineStr">
        <is>
          <t>PRZYGOTOWAWCZA</t>
        </is>
      </c>
      <c r="H75" s="50" t="inlineStr">
        <is>
          <t>VISIBILITY</t>
        </is>
      </c>
    </row>
    <row r="76">
      <c r="A76" s="49" t="n">
        <v>19</v>
      </c>
      <c r="B76" s="49" t="n">
        <v>3</v>
      </c>
      <c r="C76" s="50" t="n">
        <v>12</v>
      </c>
      <c r="D76" s="50" t="n">
        <v>12</v>
      </c>
      <c r="E76" s="50" t="n">
        <v>1</v>
      </c>
      <c r="F76" s="50" t="n">
        <v>1</v>
      </c>
      <c r="G76" s="50" t="inlineStr">
        <is>
          <t>PRZYGOTOWAWCZA</t>
        </is>
      </c>
      <c r="H76" s="50" t="inlineStr">
        <is>
          <t>UDZIAŁ W RYNKU</t>
        </is>
      </c>
    </row>
    <row r="77">
      <c r="A77" s="49" t="n">
        <v>19</v>
      </c>
      <c r="B77" s="49" t="n">
        <v>4</v>
      </c>
      <c r="C77" s="50" t="n">
        <v>20</v>
      </c>
      <c r="D77" s="50" t="n">
        <v>25</v>
      </c>
      <c r="E77" s="50" t="n">
        <v>1</v>
      </c>
      <c r="F77" s="50" t="n">
        <v>1</v>
      </c>
      <c r="G77" s="50" t="inlineStr">
        <is>
          <t>PRZYGOTOWAWCZA</t>
        </is>
      </c>
      <c r="H77" s="50" t="inlineStr">
        <is>
          <t>KONWERSJA</t>
        </is>
      </c>
    </row>
    <row r="78">
      <c r="A78" s="49" t="n">
        <v>20</v>
      </c>
      <c r="B78" s="49" t="n">
        <v>1</v>
      </c>
      <c r="C78" s="50" t="n">
        <v>38</v>
      </c>
      <c r="D78" s="50" t="n">
        <v>45</v>
      </c>
      <c r="E78" s="50" t="n">
        <v>1</v>
      </c>
      <c r="F78" s="50" t="n">
        <v>1</v>
      </c>
      <c r="G78" s="50" t="inlineStr">
        <is>
          <t>PRZYGOTOWAWCZA</t>
        </is>
      </c>
      <c r="H78" s="50" t="inlineStr">
        <is>
          <t>ZYSK</t>
        </is>
      </c>
    </row>
    <row r="79">
      <c r="A79" s="49" t="n">
        <v>20</v>
      </c>
      <c r="B79" s="49" t="n">
        <v>2</v>
      </c>
      <c r="C79" s="50" t="n">
        <v>12</v>
      </c>
      <c r="D79" s="50" t="n">
        <v>12</v>
      </c>
      <c r="E79" s="50" t="n">
        <v>1</v>
      </c>
      <c r="F79" s="50" t="n">
        <v>1</v>
      </c>
      <c r="G79" s="50" t="inlineStr">
        <is>
          <t>PRZYGOTOWAWCZA</t>
        </is>
      </c>
      <c r="H79" s="50" t="inlineStr">
        <is>
          <t>VISIBILITY</t>
        </is>
      </c>
    </row>
    <row r="80">
      <c r="A80" s="49" t="n">
        <v>20</v>
      </c>
      <c r="B80" s="49" t="n">
        <v>3</v>
      </c>
      <c r="C80" s="50" t="n">
        <v>12</v>
      </c>
      <c r="D80" s="50" t="n">
        <v>12</v>
      </c>
      <c r="E80" s="50" t="n">
        <v>1</v>
      </c>
      <c r="F80" s="50" t="n">
        <v>1</v>
      </c>
      <c r="G80" s="50" t="inlineStr">
        <is>
          <t>PRZYGOTOWAWCZA</t>
        </is>
      </c>
      <c r="H80" s="50" t="inlineStr">
        <is>
          <t>UDZIAŁ W RYNKU</t>
        </is>
      </c>
    </row>
    <row r="81">
      <c r="A81" s="49" t="n">
        <v>20</v>
      </c>
      <c r="B81" s="49" t="n">
        <v>4</v>
      </c>
      <c r="C81" s="50" t="n">
        <v>8</v>
      </c>
      <c r="D81" s="50" t="n">
        <v>8</v>
      </c>
      <c r="E81" s="50" t="n">
        <v>1</v>
      </c>
      <c r="F81" s="50" t="n">
        <v>1</v>
      </c>
      <c r="G81" s="50" t="inlineStr">
        <is>
          <t>PRZYGOTOWAWCZA</t>
        </is>
      </c>
      <c r="H81" s="50" t="inlineStr">
        <is>
          <t>KONWERSJA</t>
        </is>
      </c>
    </row>
    <row r="82">
      <c r="A82" s="49" t="n">
        <v>21</v>
      </c>
      <c r="B82" s="49" t="n">
        <v>1</v>
      </c>
      <c r="C82" s="50" t="n">
        <v>12</v>
      </c>
      <c r="D82" s="50" t="n">
        <v>12</v>
      </c>
      <c r="E82" s="50" t="n">
        <v>1</v>
      </c>
      <c r="F82" s="50" t="n">
        <v>1</v>
      </c>
      <c r="G82" s="50" t="inlineStr">
        <is>
          <t>PRZYGOTOWAWCZA</t>
        </is>
      </c>
      <c r="H82" s="50" t="inlineStr">
        <is>
          <t>ZYSK</t>
        </is>
      </c>
    </row>
    <row r="83">
      <c r="A83" s="49" t="n">
        <v>21</v>
      </c>
      <c r="B83" s="49" t="n">
        <v>2</v>
      </c>
      <c r="C83" s="50" t="n">
        <v>20</v>
      </c>
      <c r="D83" s="50" t="n">
        <v>25</v>
      </c>
      <c r="E83" s="50" t="n">
        <v>1</v>
      </c>
      <c r="F83" s="50" t="n">
        <v>1</v>
      </c>
      <c r="G83" s="50" t="inlineStr">
        <is>
          <t>PRZYGOTOWAWCZA</t>
        </is>
      </c>
      <c r="H83" s="50" t="inlineStr">
        <is>
          <t>VISIBILITY</t>
        </is>
      </c>
    </row>
    <row r="84">
      <c r="A84" s="49" t="n">
        <v>21</v>
      </c>
      <c r="B84" s="49" t="n">
        <v>3</v>
      </c>
      <c r="C84" s="50" t="n">
        <v>20</v>
      </c>
      <c r="D84" s="50" t="n">
        <v>25</v>
      </c>
      <c r="E84" s="50" t="n">
        <v>1</v>
      </c>
      <c r="F84" s="50" t="n">
        <v>1</v>
      </c>
      <c r="G84" s="50" t="inlineStr">
        <is>
          <t>PRZYGOTOWAWCZA</t>
        </is>
      </c>
      <c r="H84" s="50" t="inlineStr">
        <is>
          <t>UDZIAŁ W RYNKU</t>
        </is>
      </c>
    </row>
    <row r="85">
      <c r="A85" s="49" t="n">
        <v>21</v>
      </c>
      <c r="B85" s="49" t="n">
        <v>4</v>
      </c>
      <c r="C85" s="50" t="n">
        <v>30</v>
      </c>
      <c r="D85" s="50" t="n">
        <v>38</v>
      </c>
      <c r="E85" s="50" t="n">
        <v>1</v>
      </c>
      <c r="F85" s="50" t="n">
        <v>1</v>
      </c>
      <c r="G85" s="50" t="inlineStr">
        <is>
          <t>PRZYGOTOWAWCZA</t>
        </is>
      </c>
      <c r="H85" s="50" t="inlineStr">
        <is>
          <t>KONWERSJA</t>
        </is>
      </c>
    </row>
    <row r="86">
      <c r="A86" s="49" t="n">
        <v>22</v>
      </c>
      <c r="B86" s="49" t="n">
        <v>1</v>
      </c>
      <c r="C86" s="50" t="n">
        <v>8</v>
      </c>
      <c r="D86" s="50" t="n">
        <v>8</v>
      </c>
      <c r="E86" s="50" t="n">
        <v>1</v>
      </c>
      <c r="F86" s="50" t="n">
        <v>1</v>
      </c>
      <c r="G86" s="50" t="inlineStr">
        <is>
          <t>PRZYGOTOWAWCZA</t>
        </is>
      </c>
      <c r="H86" s="50" t="inlineStr">
        <is>
          <t>ZYSK</t>
        </is>
      </c>
    </row>
    <row r="87">
      <c r="A87" s="49" t="n">
        <v>22</v>
      </c>
      <c r="B87" s="49" t="n">
        <v>2</v>
      </c>
      <c r="C87" s="50" t="n">
        <v>12</v>
      </c>
      <c r="D87" s="50" t="n">
        <v>12</v>
      </c>
      <c r="E87" s="50" t="n">
        <v>1</v>
      </c>
      <c r="F87" s="50" t="n">
        <v>1</v>
      </c>
      <c r="G87" s="50" t="inlineStr">
        <is>
          <t>PRZYGOTOWAWCZA</t>
        </is>
      </c>
      <c r="H87" s="50" t="inlineStr">
        <is>
          <t>VISIBILITY</t>
        </is>
      </c>
    </row>
    <row r="88">
      <c r="A88" s="49" t="n">
        <v>22</v>
      </c>
      <c r="B88" s="49" t="n">
        <v>3</v>
      </c>
      <c r="C88" s="50" t="n">
        <v>12</v>
      </c>
      <c r="D88" s="50" t="n">
        <v>12</v>
      </c>
      <c r="E88" s="50" t="n">
        <v>1</v>
      </c>
      <c r="F88" s="50" t="n">
        <v>1</v>
      </c>
      <c r="G88" s="50" t="inlineStr">
        <is>
          <t>PRZYGOTOWAWCZA</t>
        </is>
      </c>
      <c r="H88" s="50" t="inlineStr">
        <is>
          <t>UDZIAŁ W RYNKU</t>
        </is>
      </c>
    </row>
    <row r="89">
      <c r="A89" s="49" t="n">
        <v>22</v>
      </c>
      <c r="B89" s="49" t="n">
        <v>4</v>
      </c>
      <c r="C89" s="50" t="n">
        <v>38</v>
      </c>
      <c r="D89" s="50" t="n">
        <v>45</v>
      </c>
      <c r="E89" s="50" t="n">
        <v>1</v>
      </c>
      <c r="F89" s="50" t="n">
        <v>1</v>
      </c>
      <c r="G89" s="50" t="inlineStr">
        <is>
          <t>PRZYGOTOWAWCZA</t>
        </is>
      </c>
      <c r="H89" s="50" t="inlineStr">
        <is>
          <t>KONWERSJA</t>
        </is>
      </c>
    </row>
    <row r="90">
      <c r="A90" s="51" t="n">
        <v>23</v>
      </c>
      <c r="B90" s="51" t="n">
        <v>1</v>
      </c>
      <c r="C90" s="52" t="n">
        <v>25</v>
      </c>
      <c r="D90" s="52" t="n">
        <v>25</v>
      </c>
      <c r="E90" s="52" t="n">
        <v>1</v>
      </c>
      <c r="F90" s="52" t="n">
        <v>1</v>
      </c>
      <c r="G90" s="52" t="inlineStr">
        <is>
          <t>WEJŚCIE NA RYNEK</t>
        </is>
      </c>
      <c r="H90" s="52" t="inlineStr">
        <is>
          <t>ZYSK</t>
        </is>
      </c>
    </row>
    <row r="91">
      <c r="A91" s="51" t="n">
        <v>23</v>
      </c>
      <c r="B91" s="51" t="n">
        <v>2</v>
      </c>
      <c r="C91" s="52" t="n">
        <v>25</v>
      </c>
      <c r="D91" s="52" t="n">
        <v>25</v>
      </c>
      <c r="E91" s="52" t="n">
        <v>1</v>
      </c>
      <c r="F91" s="52" t="n">
        <v>1</v>
      </c>
      <c r="G91" s="52" t="inlineStr">
        <is>
          <t>WEJŚCIE NA RYNEK</t>
        </is>
      </c>
      <c r="H91" s="52" t="inlineStr">
        <is>
          <t>VISIBILITY</t>
        </is>
      </c>
    </row>
    <row r="92">
      <c r="A92" s="51" t="n">
        <v>23</v>
      </c>
      <c r="B92" s="51" t="n">
        <v>3</v>
      </c>
      <c r="C92" s="52" t="n">
        <v>25</v>
      </c>
      <c r="D92" s="52" t="n">
        <v>25</v>
      </c>
      <c r="E92" s="52" t="n">
        <v>1</v>
      </c>
      <c r="F92" s="52" t="n">
        <v>1</v>
      </c>
      <c r="G92" s="52" t="inlineStr">
        <is>
          <t>WEJŚCIE NA RYNEK</t>
        </is>
      </c>
      <c r="H92" s="52" t="inlineStr">
        <is>
          <t>UDZIAŁ W RYNKU</t>
        </is>
      </c>
    </row>
    <row r="93">
      <c r="A93" s="51" t="n">
        <v>23</v>
      </c>
      <c r="B93" s="51" t="n">
        <v>4</v>
      </c>
      <c r="C93" s="52" t="n">
        <v>25</v>
      </c>
      <c r="D93" s="52" t="n">
        <v>25</v>
      </c>
      <c r="E93" s="52" t="n">
        <v>1</v>
      </c>
      <c r="F93" s="52" t="n">
        <v>1</v>
      </c>
      <c r="G93" s="52" t="inlineStr">
        <is>
          <t>WEJŚCIE NA RYNEK</t>
        </is>
      </c>
      <c r="H93" s="52" t="inlineStr">
        <is>
          <t>KONWERSJA</t>
        </is>
      </c>
    </row>
    <row r="94">
      <c r="A94" s="53" t="n">
        <v>24</v>
      </c>
      <c r="B94" s="53" t="n">
        <v>1</v>
      </c>
      <c r="C94" s="54" t="n">
        <v>3</v>
      </c>
      <c r="D94" s="54" t="n">
        <v>3</v>
      </c>
      <c r="E94" s="54" t="n">
        <v>1</v>
      </c>
      <c r="F94" s="54" t="n">
        <v>1</v>
      </c>
      <c r="G94" s="54" t="inlineStr">
        <is>
          <t>RYNKOWA</t>
        </is>
      </c>
      <c r="H94" s="54" t="inlineStr">
        <is>
          <t>ZYSK</t>
        </is>
      </c>
    </row>
    <row r="95">
      <c r="A95" s="53" t="n">
        <v>24</v>
      </c>
      <c r="B95" s="53" t="n">
        <v>2</v>
      </c>
      <c r="C95" s="54" t="n">
        <v>50</v>
      </c>
      <c r="D95" s="54" t="n">
        <v>55</v>
      </c>
      <c r="E95" s="54" t="n">
        <v>1</v>
      </c>
      <c r="F95" s="54" t="n">
        <v>1</v>
      </c>
      <c r="G95" s="54" t="inlineStr">
        <is>
          <t>RYNKOWA</t>
        </is>
      </c>
      <c r="H95" s="54" t="inlineStr">
        <is>
          <t>VISIBILITY</t>
        </is>
      </c>
    </row>
    <row r="96">
      <c r="A96" s="53" t="n">
        <v>24</v>
      </c>
      <c r="B96" s="53" t="n">
        <v>3</v>
      </c>
      <c r="C96" s="54" t="n">
        <v>8</v>
      </c>
      <c r="D96" s="54" t="n">
        <v>8</v>
      </c>
      <c r="E96" s="54" t="n">
        <v>1</v>
      </c>
      <c r="F96" s="54" t="n">
        <v>1</v>
      </c>
      <c r="G96" s="54" t="inlineStr">
        <is>
          <t>RYNKOWA</t>
        </is>
      </c>
      <c r="H96" s="54" t="inlineStr">
        <is>
          <t>UDZIAŁ W RYNKU</t>
        </is>
      </c>
    </row>
    <row r="97">
      <c r="A97" s="53" t="n">
        <v>24</v>
      </c>
      <c r="B97" s="53" t="n">
        <v>4</v>
      </c>
      <c r="C97" s="54" t="n">
        <v>10</v>
      </c>
      <c r="D97" s="54" t="n">
        <v>12</v>
      </c>
      <c r="E97" s="54" t="n">
        <v>1</v>
      </c>
      <c r="F97" s="54" t="n">
        <v>1</v>
      </c>
      <c r="G97" s="54" t="inlineStr">
        <is>
          <t>RYNKOWA</t>
        </is>
      </c>
      <c r="H97" s="54" t="inlineStr">
        <is>
          <t>KONWERSJA</t>
        </is>
      </c>
    </row>
    <row r="98">
      <c r="A98" s="53" t="n">
        <v>25</v>
      </c>
      <c r="B98" s="53" t="n">
        <v>1</v>
      </c>
      <c r="C98" s="54" t="n">
        <v>5</v>
      </c>
      <c r="D98" s="54" t="n">
        <v>5</v>
      </c>
      <c r="E98" s="54" t="n">
        <v>1</v>
      </c>
      <c r="F98" s="54" t="n">
        <v>1</v>
      </c>
      <c r="G98" s="54" t="inlineStr">
        <is>
          <t>RYNKOWA</t>
        </is>
      </c>
      <c r="H98" s="54" t="inlineStr">
        <is>
          <t>ZYSK</t>
        </is>
      </c>
    </row>
    <row r="99">
      <c r="A99" s="53" t="n">
        <v>25</v>
      </c>
      <c r="B99" s="53" t="n">
        <v>2</v>
      </c>
      <c r="C99" s="54" t="n">
        <v>45</v>
      </c>
      <c r="D99" s="54" t="n">
        <v>50</v>
      </c>
      <c r="E99" s="54" t="n">
        <v>1</v>
      </c>
      <c r="F99" s="54" t="n">
        <v>1</v>
      </c>
      <c r="G99" s="54" t="inlineStr">
        <is>
          <t>RYNKOWA</t>
        </is>
      </c>
      <c r="H99" s="54" t="inlineStr">
        <is>
          <t>VISIBILITY</t>
        </is>
      </c>
    </row>
    <row r="100">
      <c r="A100" s="53" t="n">
        <v>25</v>
      </c>
      <c r="B100" s="53" t="n">
        <v>3</v>
      </c>
      <c r="C100" s="54" t="n">
        <v>5</v>
      </c>
      <c r="D100" s="54" t="n">
        <v>8</v>
      </c>
      <c r="E100" s="54" t="n">
        <v>1</v>
      </c>
      <c r="F100" s="54" t="n">
        <v>1</v>
      </c>
      <c r="G100" s="54" t="inlineStr">
        <is>
          <t>RYNKOWA</t>
        </is>
      </c>
      <c r="H100" s="54" t="inlineStr">
        <is>
          <t>UDZIAŁ W RYNKU</t>
        </is>
      </c>
    </row>
    <row r="101">
      <c r="A101" s="53" t="n">
        <v>25</v>
      </c>
      <c r="B101" s="53" t="n">
        <v>4</v>
      </c>
      <c r="C101" s="54" t="n">
        <v>25</v>
      </c>
      <c r="D101" s="54" t="n">
        <v>30</v>
      </c>
      <c r="E101" s="54" t="n">
        <v>1</v>
      </c>
      <c r="F101" s="54" t="n">
        <v>1</v>
      </c>
      <c r="G101" s="54" t="inlineStr">
        <is>
          <t>RYNKOWA</t>
        </is>
      </c>
      <c r="H101" s="54" t="inlineStr">
        <is>
          <t>KONWERSJA</t>
        </is>
      </c>
    </row>
    <row r="102">
      <c r="A102" s="53" t="n">
        <v>26</v>
      </c>
      <c r="B102" s="53" t="n">
        <v>1</v>
      </c>
      <c r="C102" s="54" t="n">
        <v>3</v>
      </c>
      <c r="D102" s="54" t="n">
        <v>3</v>
      </c>
      <c r="E102" s="54" t="n">
        <v>1</v>
      </c>
      <c r="F102" s="54" t="n">
        <v>1</v>
      </c>
      <c r="G102" s="54" t="inlineStr">
        <is>
          <t>RYNKOWA</t>
        </is>
      </c>
      <c r="H102" s="54" t="inlineStr">
        <is>
          <t>ZYSK</t>
        </is>
      </c>
    </row>
    <row r="103">
      <c r="A103" s="53" t="n">
        <v>26</v>
      </c>
      <c r="B103" s="53" t="n">
        <v>2</v>
      </c>
      <c r="C103" s="54" t="n">
        <v>40</v>
      </c>
      <c r="D103" s="54" t="n">
        <v>45</v>
      </c>
      <c r="E103" s="54" t="n">
        <v>1</v>
      </c>
      <c r="F103" s="54" t="n">
        <v>1</v>
      </c>
      <c r="G103" s="54" t="inlineStr">
        <is>
          <t>RYNKOWA</t>
        </is>
      </c>
      <c r="H103" s="54" t="inlineStr">
        <is>
          <t>VISIBILITY</t>
        </is>
      </c>
    </row>
    <row r="104">
      <c r="A104" s="53" t="n">
        <v>26</v>
      </c>
      <c r="B104" s="53" t="n">
        <v>3</v>
      </c>
      <c r="C104" s="54" t="n">
        <v>10</v>
      </c>
      <c r="D104" s="54" t="n">
        <v>12</v>
      </c>
      <c r="E104" s="54" t="n">
        <v>1</v>
      </c>
      <c r="F104" s="54" t="n">
        <v>1</v>
      </c>
      <c r="G104" s="54" t="inlineStr">
        <is>
          <t>RYNKOWA</t>
        </is>
      </c>
      <c r="H104" s="54" t="inlineStr">
        <is>
          <t>UDZIAŁ W RYNKU</t>
        </is>
      </c>
    </row>
    <row r="105">
      <c r="A105" s="53" t="n">
        <v>26</v>
      </c>
      <c r="B105" s="53" t="n">
        <v>4</v>
      </c>
      <c r="C105" s="54" t="n">
        <v>10</v>
      </c>
      <c r="D105" s="54" t="n">
        <v>12</v>
      </c>
      <c r="E105" s="54" t="n">
        <v>1</v>
      </c>
      <c r="F105" s="54" t="n">
        <v>1</v>
      </c>
      <c r="G105" s="54" t="inlineStr">
        <is>
          <t>RYNKOWA</t>
        </is>
      </c>
      <c r="H105" s="54" t="inlineStr">
        <is>
          <t>KONWERSJA</t>
        </is>
      </c>
    </row>
    <row r="106">
      <c r="A106" s="53" t="n">
        <v>27</v>
      </c>
      <c r="B106" s="53" t="n">
        <v>1</v>
      </c>
      <c r="C106" s="54" t="n">
        <v>3</v>
      </c>
      <c r="D106" s="54" t="n">
        <v>3</v>
      </c>
      <c r="E106" s="54" t="n">
        <v>1</v>
      </c>
      <c r="F106" s="54" t="n">
        <v>1</v>
      </c>
      <c r="G106" s="54" t="inlineStr">
        <is>
          <t>RYNKOWA</t>
        </is>
      </c>
      <c r="H106" s="54" t="inlineStr">
        <is>
          <t>ZYSK</t>
        </is>
      </c>
    </row>
    <row r="107">
      <c r="A107" s="53" t="n">
        <v>27</v>
      </c>
      <c r="B107" s="53" t="n">
        <v>2</v>
      </c>
      <c r="C107" s="54" t="n">
        <v>30</v>
      </c>
      <c r="D107" s="54" t="n">
        <v>35</v>
      </c>
      <c r="E107" s="54" t="n">
        <v>1</v>
      </c>
      <c r="F107" s="54" t="n">
        <v>1</v>
      </c>
      <c r="G107" s="54" t="inlineStr">
        <is>
          <t>RYNKOWA</t>
        </is>
      </c>
      <c r="H107" s="54" t="inlineStr">
        <is>
          <t>VISIBILITY</t>
        </is>
      </c>
    </row>
    <row r="108">
      <c r="A108" s="53" t="n">
        <v>27</v>
      </c>
      <c r="B108" s="53" t="n">
        <v>3</v>
      </c>
      <c r="C108" s="54" t="n">
        <v>8</v>
      </c>
      <c r="D108" s="54" t="n">
        <v>10</v>
      </c>
      <c r="E108" s="54" t="n">
        <v>1</v>
      </c>
      <c r="F108" s="54" t="n">
        <v>1</v>
      </c>
      <c r="G108" s="54" t="inlineStr">
        <is>
          <t>RYNKOWA</t>
        </is>
      </c>
      <c r="H108" s="54" t="inlineStr">
        <is>
          <t>UDZIAŁ W RYNKU</t>
        </is>
      </c>
    </row>
    <row r="109">
      <c r="A109" s="53" t="n">
        <v>27</v>
      </c>
      <c r="B109" s="53" t="n">
        <v>4</v>
      </c>
      <c r="C109" s="54" t="n">
        <v>20</v>
      </c>
      <c r="D109" s="54" t="n">
        <v>25</v>
      </c>
      <c r="E109" s="54" t="n">
        <v>1</v>
      </c>
      <c r="F109" s="54" t="n">
        <v>1</v>
      </c>
      <c r="G109" s="54" t="inlineStr">
        <is>
          <t>RYNKOWA</t>
        </is>
      </c>
      <c r="H109" s="54" t="inlineStr">
        <is>
          <t>KONWERSJA</t>
        </is>
      </c>
    </row>
    <row r="110">
      <c r="A110" s="53" t="n">
        <v>28</v>
      </c>
      <c r="B110" s="53" t="n">
        <v>1</v>
      </c>
      <c r="C110" s="54" t="n">
        <v>8</v>
      </c>
      <c r="D110" s="54" t="n">
        <v>10</v>
      </c>
      <c r="E110" s="54" t="n">
        <v>1</v>
      </c>
      <c r="F110" s="54" t="n">
        <v>1</v>
      </c>
      <c r="G110" s="54" t="inlineStr">
        <is>
          <t>RYNKOWA</t>
        </is>
      </c>
      <c r="H110" s="54" t="inlineStr">
        <is>
          <t>ZYSK</t>
        </is>
      </c>
    </row>
    <row r="111">
      <c r="A111" s="53" t="n">
        <v>28</v>
      </c>
      <c r="B111" s="53" t="n">
        <v>2</v>
      </c>
      <c r="C111" s="54" t="n">
        <v>5</v>
      </c>
      <c r="D111" s="54" t="n">
        <v>8</v>
      </c>
      <c r="E111" s="54" t="n">
        <v>1</v>
      </c>
      <c r="F111" s="54" t="n">
        <v>1</v>
      </c>
      <c r="G111" s="54" t="inlineStr">
        <is>
          <t>RYNKOWA</t>
        </is>
      </c>
      <c r="H111" s="54" t="inlineStr">
        <is>
          <t>VISIBILITY</t>
        </is>
      </c>
    </row>
    <row r="112">
      <c r="A112" s="53" t="n">
        <v>28</v>
      </c>
      <c r="B112" s="53" t="n">
        <v>3</v>
      </c>
      <c r="C112" s="54" t="n">
        <v>12</v>
      </c>
      <c r="D112" s="54" t="n">
        <v>15</v>
      </c>
      <c r="E112" s="54" t="n">
        <v>1</v>
      </c>
      <c r="F112" s="54" t="n">
        <v>1</v>
      </c>
      <c r="G112" s="54" t="inlineStr">
        <is>
          <t>RYNKOWA</t>
        </is>
      </c>
      <c r="H112" s="54" t="inlineStr">
        <is>
          <t>UDZIAŁ W RYNKU</t>
        </is>
      </c>
    </row>
    <row r="113">
      <c r="A113" s="53" t="n">
        <v>28</v>
      </c>
      <c r="B113" s="53" t="n">
        <v>4</v>
      </c>
      <c r="C113" s="54" t="n">
        <v>40</v>
      </c>
      <c r="D113" s="54" t="n">
        <v>45</v>
      </c>
      <c r="E113" s="54" t="n">
        <v>1</v>
      </c>
      <c r="F113" s="54" t="n">
        <v>1</v>
      </c>
      <c r="G113" s="54" t="inlineStr">
        <is>
          <t>RYNKOWA</t>
        </is>
      </c>
      <c r="H113" s="54" t="inlineStr">
        <is>
          <t>KONWERSJA</t>
        </is>
      </c>
    </row>
    <row r="114">
      <c r="A114" s="53" t="n">
        <v>29</v>
      </c>
      <c r="B114" s="53" t="n">
        <v>1</v>
      </c>
      <c r="C114" s="54" t="n">
        <v>5</v>
      </c>
      <c r="D114" s="54" t="n">
        <v>8</v>
      </c>
      <c r="E114" s="54" t="n">
        <v>1</v>
      </c>
      <c r="F114" s="54" t="n">
        <v>1</v>
      </c>
      <c r="G114" s="54" t="inlineStr">
        <is>
          <t>RYNKOWA</t>
        </is>
      </c>
      <c r="H114" s="54" t="inlineStr">
        <is>
          <t>ZYSK</t>
        </is>
      </c>
    </row>
    <row r="115">
      <c r="A115" s="53" t="n">
        <v>29</v>
      </c>
      <c r="B115" s="53" t="n">
        <v>2</v>
      </c>
      <c r="C115" s="54" t="n">
        <v>5</v>
      </c>
      <c r="D115" s="54" t="n">
        <v>5</v>
      </c>
      <c r="E115" s="54" t="n">
        <v>1</v>
      </c>
      <c r="F115" s="54" t="n">
        <v>1</v>
      </c>
      <c r="G115" s="54" t="inlineStr">
        <is>
          <t>RYNKOWA</t>
        </is>
      </c>
      <c r="H115" s="54" t="inlineStr">
        <is>
          <t>VISIBILITY</t>
        </is>
      </c>
    </row>
    <row r="116">
      <c r="A116" s="53" t="n">
        <v>29</v>
      </c>
      <c r="B116" s="53" t="n">
        <v>3</v>
      </c>
      <c r="C116" s="54" t="n">
        <v>5</v>
      </c>
      <c r="D116" s="54" t="n">
        <v>5</v>
      </c>
      <c r="E116" s="54" t="n">
        <v>1</v>
      </c>
      <c r="F116" s="54" t="n">
        <v>1</v>
      </c>
      <c r="G116" s="54" t="inlineStr">
        <is>
          <t>RYNKOWA</t>
        </is>
      </c>
      <c r="H116" s="54" t="inlineStr">
        <is>
          <t>UDZIAŁ W RYNKU</t>
        </is>
      </c>
    </row>
    <row r="117">
      <c r="A117" s="53" t="n">
        <v>29</v>
      </c>
      <c r="B117" s="53" t="n">
        <v>4</v>
      </c>
      <c r="C117" s="54" t="n">
        <v>45</v>
      </c>
      <c r="D117" s="54" t="n">
        <v>50</v>
      </c>
      <c r="E117" s="54" t="n">
        <v>1</v>
      </c>
      <c r="F117" s="54" t="n">
        <v>1</v>
      </c>
      <c r="G117" s="54" t="inlineStr">
        <is>
          <t>RYNKOWA</t>
        </is>
      </c>
      <c r="H117" s="54" t="inlineStr">
        <is>
          <t>KONWERSJA</t>
        </is>
      </c>
    </row>
    <row r="118">
      <c r="A118" s="53" t="n">
        <v>30</v>
      </c>
      <c r="B118" s="53" t="n">
        <v>1</v>
      </c>
      <c r="C118" s="54" t="n">
        <v>5</v>
      </c>
      <c r="D118" s="54" t="n">
        <v>5</v>
      </c>
      <c r="E118" s="54" t="n">
        <v>1</v>
      </c>
      <c r="F118" s="54" t="n">
        <v>1</v>
      </c>
      <c r="G118" s="54" t="inlineStr">
        <is>
          <t>RYNKOWA</t>
        </is>
      </c>
      <c r="H118" s="54" t="inlineStr">
        <is>
          <t>ZYSK</t>
        </is>
      </c>
    </row>
    <row r="119">
      <c r="A119" s="53" t="n">
        <v>30</v>
      </c>
      <c r="B119" s="53" t="n">
        <v>2</v>
      </c>
      <c r="C119" s="54" t="n">
        <v>3</v>
      </c>
      <c r="D119" s="54" t="n">
        <v>3</v>
      </c>
      <c r="E119" s="54" t="n">
        <v>1</v>
      </c>
      <c r="F119" s="54" t="n">
        <v>1</v>
      </c>
      <c r="G119" s="54" t="inlineStr">
        <is>
          <t>RYNKOWA</t>
        </is>
      </c>
      <c r="H119" s="54" t="inlineStr">
        <is>
          <t>VISIBILITY</t>
        </is>
      </c>
    </row>
    <row r="120">
      <c r="A120" s="53" t="n">
        <v>30</v>
      </c>
      <c r="B120" s="53" t="n">
        <v>3</v>
      </c>
      <c r="C120" s="54" t="n">
        <v>3</v>
      </c>
      <c r="D120" s="54" t="n">
        <v>3</v>
      </c>
      <c r="E120" s="54" t="n">
        <v>1</v>
      </c>
      <c r="F120" s="54" t="n">
        <v>1</v>
      </c>
      <c r="G120" s="54" t="inlineStr">
        <is>
          <t>RYNKOWA</t>
        </is>
      </c>
      <c r="H120" s="54" t="inlineStr">
        <is>
          <t>UDZIAŁ W RYNKU</t>
        </is>
      </c>
    </row>
    <row r="121">
      <c r="A121" s="53" t="n">
        <v>30</v>
      </c>
      <c r="B121" s="53" t="n">
        <v>4</v>
      </c>
      <c r="C121" s="54" t="n">
        <v>35</v>
      </c>
      <c r="D121" s="54" t="n">
        <v>40</v>
      </c>
      <c r="E121" s="54" t="n">
        <v>1</v>
      </c>
      <c r="F121" s="54" t="n">
        <v>1</v>
      </c>
      <c r="G121" s="54" t="inlineStr">
        <is>
          <t>RYNKOWA</t>
        </is>
      </c>
      <c r="H121" s="54" t="inlineStr">
        <is>
          <t>KONWERSJA</t>
        </is>
      </c>
    </row>
    <row r="122">
      <c r="A122" s="53" t="n">
        <v>31</v>
      </c>
      <c r="B122" s="53" t="n">
        <v>1</v>
      </c>
      <c r="C122" s="54" t="n">
        <v>10</v>
      </c>
      <c r="D122" s="54" t="n">
        <v>12</v>
      </c>
      <c r="E122" s="54" t="n">
        <v>1</v>
      </c>
      <c r="F122" s="54" t="n">
        <v>1</v>
      </c>
      <c r="G122" s="54" t="inlineStr">
        <is>
          <t>RYNKOWA</t>
        </is>
      </c>
      <c r="H122" s="54" t="inlineStr">
        <is>
          <t>ZYSK</t>
        </is>
      </c>
    </row>
    <row r="123">
      <c r="A123" s="53" t="n">
        <v>31</v>
      </c>
      <c r="B123" s="53" t="n">
        <v>2</v>
      </c>
      <c r="C123" s="54" t="n">
        <v>8</v>
      </c>
      <c r="D123" s="54" t="n">
        <v>10</v>
      </c>
      <c r="E123" s="54" t="n">
        <v>1</v>
      </c>
      <c r="F123" s="54" t="n">
        <v>1</v>
      </c>
      <c r="G123" s="54" t="inlineStr">
        <is>
          <t>RYNKOWA</t>
        </is>
      </c>
      <c r="H123" s="54" t="inlineStr">
        <is>
          <t>VISIBILITY</t>
        </is>
      </c>
    </row>
    <row r="124">
      <c r="A124" s="53" t="n">
        <v>31</v>
      </c>
      <c r="B124" s="53" t="n">
        <v>3</v>
      </c>
      <c r="C124" s="54" t="n">
        <v>45</v>
      </c>
      <c r="D124" s="54" t="n">
        <v>50</v>
      </c>
      <c r="E124" s="54" t="n">
        <v>1</v>
      </c>
      <c r="F124" s="54" t="n">
        <v>1</v>
      </c>
      <c r="G124" s="54" t="inlineStr">
        <is>
          <t>RYNKOWA</t>
        </is>
      </c>
      <c r="H124" s="54" t="inlineStr">
        <is>
          <t>UDZIAŁ W RYNKU</t>
        </is>
      </c>
    </row>
    <row r="125">
      <c r="A125" s="53" t="n">
        <v>31</v>
      </c>
      <c r="B125" s="53" t="n">
        <v>4</v>
      </c>
      <c r="C125" s="54" t="n">
        <v>12</v>
      </c>
      <c r="D125" s="54" t="n">
        <v>15</v>
      </c>
      <c r="E125" s="54" t="n">
        <v>1</v>
      </c>
      <c r="F125" s="54" t="n">
        <v>1</v>
      </c>
      <c r="G125" s="54" t="inlineStr">
        <is>
          <t>RYNKOWA</t>
        </is>
      </c>
      <c r="H125" s="54" t="inlineStr">
        <is>
          <t>KONWERSJA</t>
        </is>
      </c>
    </row>
    <row r="126">
      <c r="A126" s="53" t="n">
        <v>32</v>
      </c>
      <c r="B126" s="53" t="n">
        <v>1</v>
      </c>
      <c r="C126" s="54" t="n">
        <v>8</v>
      </c>
      <c r="D126" s="54" t="n">
        <v>10</v>
      </c>
      <c r="E126" s="54" t="n">
        <v>1</v>
      </c>
      <c r="F126" s="54" t="n">
        <v>1</v>
      </c>
      <c r="G126" s="54" t="inlineStr">
        <is>
          <t>RYNKOWA</t>
        </is>
      </c>
      <c r="H126" s="54" t="inlineStr">
        <is>
          <t>ZYSK</t>
        </is>
      </c>
    </row>
    <row r="127">
      <c r="A127" s="53" t="n">
        <v>32</v>
      </c>
      <c r="B127" s="53" t="n">
        <v>2</v>
      </c>
      <c r="C127" s="54" t="n">
        <v>25</v>
      </c>
      <c r="D127" s="54" t="n">
        <v>30</v>
      </c>
      <c r="E127" s="54" t="n">
        <v>1</v>
      </c>
      <c r="F127" s="54" t="n">
        <v>1</v>
      </c>
      <c r="G127" s="54" t="inlineStr">
        <is>
          <t>RYNKOWA</t>
        </is>
      </c>
      <c r="H127" s="54" t="inlineStr">
        <is>
          <t>VISIBILITY</t>
        </is>
      </c>
    </row>
    <row r="128">
      <c r="A128" s="53" t="n">
        <v>32</v>
      </c>
      <c r="B128" s="53" t="n">
        <v>3</v>
      </c>
      <c r="C128" s="54" t="n">
        <v>40</v>
      </c>
      <c r="D128" s="54" t="n">
        <v>45</v>
      </c>
      <c r="E128" s="54" t="n">
        <v>1</v>
      </c>
      <c r="F128" s="54" t="n">
        <v>1</v>
      </c>
      <c r="G128" s="54" t="inlineStr">
        <is>
          <t>RYNKOWA</t>
        </is>
      </c>
      <c r="H128" s="54" t="inlineStr">
        <is>
          <t>UDZIAŁ W RYNKU</t>
        </is>
      </c>
    </row>
    <row r="129">
      <c r="A129" s="53" t="n">
        <v>32</v>
      </c>
      <c r="B129" s="53" t="n">
        <v>4</v>
      </c>
      <c r="C129" s="54" t="n">
        <v>5</v>
      </c>
      <c r="D129" s="54" t="n">
        <v>8</v>
      </c>
      <c r="E129" s="54" t="n">
        <v>1</v>
      </c>
      <c r="F129" s="54" t="n">
        <v>1</v>
      </c>
      <c r="G129" s="54" t="inlineStr">
        <is>
          <t>RYNKOWA</t>
        </is>
      </c>
      <c r="H129" s="54" t="inlineStr">
        <is>
          <t>KONWERSJA</t>
        </is>
      </c>
    </row>
    <row r="130">
      <c r="A130" s="53" t="n">
        <v>33</v>
      </c>
      <c r="B130" s="53" t="n">
        <v>1</v>
      </c>
      <c r="C130" s="54" t="n">
        <v>3</v>
      </c>
      <c r="D130" s="54" t="n">
        <v>3</v>
      </c>
      <c r="E130" s="54" t="n">
        <v>1</v>
      </c>
      <c r="F130" s="54" t="n">
        <v>1</v>
      </c>
      <c r="G130" s="54" t="inlineStr">
        <is>
          <t>RYNKOWA</t>
        </is>
      </c>
      <c r="H130" s="54" t="inlineStr">
        <is>
          <t>ZYSK</t>
        </is>
      </c>
    </row>
    <row r="131">
      <c r="A131" s="53" t="n">
        <v>33</v>
      </c>
      <c r="B131" s="53" t="n">
        <v>2</v>
      </c>
      <c r="C131" s="54" t="n">
        <v>35</v>
      </c>
      <c r="D131" s="54" t="n">
        <v>40</v>
      </c>
      <c r="E131" s="54" t="n">
        <v>1</v>
      </c>
      <c r="F131" s="54" t="n">
        <v>1</v>
      </c>
      <c r="G131" s="54" t="inlineStr">
        <is>
          <t>RYNKOWA</t>
        </is>
      </c>
      <c r="H131" s="54" t="inlineStr">
        <is>
          <t>VISIBILITY</t>
        </is>
      </c>
    </row>
    <row r="132">
      <c r="A132" s="53" t="n">
        <v>33</v>
      </c>
      <c r="B132" s="53" t="n">
        <v>3</v>
      </c>
      <c r="C132" s="54" t="n">
        <v>15</v>
      </c>
      <c r="D132" s="54" t="n">
        <v>18</v>
      </c>
      <c r="E132" s="54" t="n">
        <v>1</v>
      </c>
      <c r="F132" s="54" t="n">
        <v>1</v>
      </c>
      <c r="G132" s="54" t="inlineStr">
        <is>
          <t>RYNKOWA</t>
        </is>
      </c>
      <c r="H132" s="54" t="inlineStr">
        <is>
          <t>UDZIAŁ W RYNKU</t>
        </is>
      </c>
    </row>
    <row r="133">
      <c r="A133" s="53" t="n">
        <v>33</v>
      </c>
      <c r="B133" s="53" t="n">
        <v>4</v>
      </c>
      <c r="C133" s="54" t="n">
        <v>15</v>
      </c>
      <c r="D133" s="54" t="n">
        <v>18</v>
      </c>
      <c r="E133" s="54" t="n">
        <v>1</v>
      </c>
      <c r="F133" s="54" t="n">
        <v>1</v>
      </c>
      <c r="G133" s="54" t="inlineStr">
        <is>
          <t>RYNKOWA</t>
        </is>
      </c>
      <c r="H133" s="54" t="inlineStr">
        <is>
          <t>KONWERSJA</t>
        </is>
      </c>
    </row>
    <row r="134">
      <c r="A134" s="53" t="n">
        <v>34</v>
      </c>
      <c r="B134" s="53" t="n">
        <v>1</v>
      </c>
      <c r="C134" s="54" t="n">
        <v>5</v>
      </c>
      <c r="D134" s="54" t="n">
        <v>5</v>
      </c>
      <c r="E134" s="54" t="n">
        <v>1</v>
      </c>
      <c r="F134" s="54" t="n">
        <v>1</v>
      </c>
      <c r="G134" s="54" t="inlineStr">
        <is>
          <t>RYNKOWA</t>
        </is>
      </c>
      <c r="H134" s="54" t="inlineStr">
        <is>
          <t>ZYSK</t>
        </is>
      </c>
    </row>
    <row r="135">
      <c r="A135" s="53" t="n">
        <v>34</v>
      </c>
      <c r="B135" s="53" t="n">
        <v>2</v>
      </c>
      <c r="C135" s="54" t="n">
        <v>20</v>
      </c>
      <c r="D135" s="54" t="n">
        <v>25</v>
      </c>
      <c r="E135" s="54" t="n">
        <v>1</v>
      </c>
      <c r="F135" s="54" t="n">
        <v>1</v>
      </c>
      <c r="G135" s="54" t="inlineStr">
        <is>
          <t>RYNKOWA</t>
        </is>
      </c>
      <c r="H135" s="54" t="inlineStr">
        <is>
          <t>VISIBILITY</t>
        </is>
      </c>
    </row>
    <row r="136">
      <c r="A136" s="53" t="n">
        <v>34</v>
      </c>
      <c r="B136" s="53" t="n">
        <v>3</v>
      </c>
      <c r="C136" s="54" t="n">
        <v>8</v>
      </c>
      <c r="D136" s="54" t="n">
        <v>10</v>
      </c>
      <c r="E136" s="54" t="n">
        <v>1</v>
      </c>
      <c r="F136" s="54" t="n">
        <v>1</v>
      </c>
      <c r="G136" s="54" t="inlineStr">
        <is>
          <t>RYNKOWA</t>
        </is>
      </c>
      <c r="H136" s="54" t="inlineStr">
        <is>
          <t>UDZIAŁ W RYNKU</t>
        </is>
      </c>
    </row>
    <row r="137">
      <c r="A137" s="53" t="n">
        <v>34</v>
      </c>
      <c r="B137" s="53" t="n">
        <v>4</v>
      </c>
      <c r="C137" s="54" t="n">
        <v>35</v>
      </c>
      <c r="D137" s="54" t="n">
        <v>40</v>
      </c>
      <c r="E137" s="54" t="n">
        <v>1</v>
      </c>
      <c r="F137" s="54" t="n">
        <v>1</v>
      </c>
      <c r="G137" s="54" t="inlineStr">
        <is>
          <t>RYNKOWA</t>
        </is>
      </c>
      <c r="H137" s="54" t="inlineStr">
        <is>
          <t>KONWERSJA</t>
        </is>
      </c>
    </row>
    <row r="138">
      <c r="A138" s="53" t="n">
        <v>35</v>
      </c>
      <c r="B138" s="53" t="n">
        <v>1</v>
      </c>
      <c r="C138" s="54" t="n">
        <v>40</v>
      </c>
      <c r="D138" s="54" t="n">
        <v>45</v>
      </c>
      <c r="E138" s="54" t="n">
        <v>1</v>
      </c>
      <c r="F138" s="54" t="n">
        <v>1</v>
      </c>
      <c r="G138" s="54" t="inlineStr">
        <is>
          <t>RYNKOWA</t>
        </is>
      </c>
      <c r="H138" s="54" t="inlineStr">
        <is>
          <t>ZYSK</t>
        </is>
      </c>
    </row>
    <row r="139">
      <c r="A139" s="53" t="n">
        <v>35</v>
      </c>
      <c r="B139" s="53" t="n">
        <v>2</v>
      </c>
      <c r="C139" s="54" t="n">
        <v>3</v>
      </c>
      <c r="D139" s="54" t="n">
        <v>3</v>
      </c>
      <c r="E139" s="54" t="n">
        <v>1</v>
      </c>
      <c r="F139" s="54" t="n">
        <v>1</v>
      </c>
      <c r="G139" s="54" t="inlineStr">
        <is>
          <t>RYNKOWA</t>
        </is>
      </c>
      <c r="H139" s="54" t="inlineStr">
        <is>
          <t>VISIBILITY</t>
        </is>
      </c>
    </row>
    <row r="140">
      <c r="A140" s="53" t="n">
        <v>35</v>
      </c>
      <c r="B140" s="53" t="n">
        <v>3</v>
      </c>
      <c r="C140" s="54" t="n">
        <v>5</v>
      </c>
      <c r="D140" s="54" t="n">
        <v>8</v>
      </c>
      <c r="E140" s="54" t="n">
        <v>1</v>
      </c>
      <c r="F140" s="54" t="n">
        <v>1</v>
      </c>
      <c r="G140" s="54" t="inlineStr">
        <is>
          <t>RYNKOWA</t>
        </is>
      </c>
      <c r="H140" s="54" t="inlineStr">
        <is>
          <t>UDZIAŁ W RYNKU</t>
        </is>
      </c>
    </row>
    <row r="141">
      <c r="A141" s="53" t="n">
        <v>35</v>
      </c>
      <c r="B141" s="53" t="n">
        <v>4</v>
      </c>
      <c r="C141" s="54" t="n">
        <v>10</v>
      </c>
      <c r="D141" s="54" t="n">
        <v>12</v>
      </c>
      <c r="E141" s="54" t="n">
        <v>1</v>
      </c>
      <c r="F141" s="54" t="n">
        <v>1</v>
      </c>
      <c r="G141" s="54" t="inlineStr">
        <is>
          <t>RYNKOWA</t>
        </is>
      </c>
      <c r="H141" s="54" t="inlineStr">
        <is>
          <t>KONWERSJA</t>
        </is>
      </c>
    </row>
    <row r="142">
      <c r="A142" s="53" t="n">
        <v>36</v>
      </c>
      <c r="B142" s="53" t="n">
        <v>1</v>
      </c>
      <c r="C142" s="54" t="n">
        <v>50</v>
      </c>
      <c r="D142" s="54" t="n">
        <v>55</v>
      </c>
      <c r="E142" s="54" t="n">
        <v>1</v>
      </c>
      <c r="F142" s="54" t="n">
        <v>1</v>
      </c>
      <c r="G142" s="54" t="inlineStr">
        <is>
          <t>RYNKOWA</t>
        </is>
      </c>
      <c r="H142" s="54" t="inlineStr">
        <is>
          <t>ZYSK</t>
        </is>
      </c>
    </row>
    <row r="143">
      <c r="A143" s="53" t="n">
        <v>36</v>
      </c>
      <c r="B143" s="53" t="n">
        <v>2</v>
      </c>
      <c r="C143" s="54" t="n">
        <v>5</v>
      </c>
      <c r="D143" s="54" t="n">
        <v>5</v>
      </c>
      <c r="E143" s="54" t="n">
        <v>1</v>
      </c>
      <c r="F143" s="54" t="n">
        <v>1</v>
      </c>
      <c r="G143" s="54" t="inlineStr">
        <is>
          <t>RYNKOWA</t>
        </is>
      </c>
      <c r="H143" s="54" t="inlineStr">
        <is>
          <t>VISIBILITY</t>
        </is>
      </c>
    </row>
    <row r="144">
      <c r="A144" s="53" t="n">
        <v>36</v>
      </c>
      <c r="B144" s="53" t="n">
        <v>3</v>
      </c>
      <c r="C144" s="54" t="n">
        <v>15</v>
      </c>
      <c r="D144" s="54" t="n">
        <v>18</v>
      </c>
      <c r="E144" s="54" t="n">
        <v>1</v>
      </c>
      <c r="F144" s="54" t="n">
        <v>1</v>
      </c>
      <c r="G144" s="54" t="inlineStr">
        <is>
          <t>RYNKOWA</t>
        </is>
      </c>
      <c r="H144" s="54" t="inlineStr">
        <is>
          <t>UDZIAŁ W RYNKU</t>
        </is>
      </c>
    </row>
    <row r="145">
      <c r="A145" s="53" t="n">
        <v>36</v>
      </c>
      <c r="B145" s="53" t="n">
        <v>4</v>
      </c>
      <c r="C145" s="54" t="n">
        <v>8</v>
      </c>
      <c r="D145" s="54" t="n">
        <v>10</v>
      </c>
      <c r="E145" s="54" t="n">
        <v>1</v>
      </c>
      <c r="F145" s="54" t="n">
        <v>1</v>
      </c>
      <c r="G145" s="54" t="inlineStr">
        <is>
          <t>RYNKOWA</t>
        </is>
      </c>
      <c r="H145" s="54" t="inlineStr">
        <is>
          <t>KONWERSJA</t>
        </is>
      </c>
    </row>
    <row r="146">
      <c r="A146" s="53" t="n">
        <v>37</v>
      </c>
      <c r="B146" s="53" t="n">
        <v>1</v>
      </c>
      <c r="C146" s="54" t="n">
        <v>35</v>
      </c>
      <c r="D146" s="54" t="n">
        <v>40</v>
      </c>
      <c r="E146" s="54" t="n">
        <v>1</v>
      </c>
      <c r="F146" s="54" t="n">
        <v>1</v>
      </c>
      <c r="G146" s="54" t="inlineStr">
        <is>
          <t>RYNKOWA</t>
        </is>
      </c>
      <c r="H146" s="54" t="inlineStr">
        <is>
          <t>ZYSK</t>
        </is>
      </c>
    </row>
    <row r="147">
      <c r="A147" s="53" t="n">
        <v>37</v>
      </c>
      <c r="B147" s="53" t="n">
        <v>2</v>
      </c>
      <c r="C147" s="54" t="n">
        <v>3</v>
      </c>
      <c r="D147" s="54" t="n">
        <v>3</v>
      </c>
      <c r="E147" s="54" t="n">
        <v>1</v>
      </c>
      <c r="F147" s="54" t="n">
        <v>1</v>
      </c>
      <c r="G147" s="54" t="inlineStr">
        <is>
          <t>RYNKOWA</t>
        </is>
      </c>
      <c r="H147" s="54" t="inlineStr">
        <is>
          <t>VISIBILITY</t>
        </is>
      </c>
    </row>
    <row r="148">
      <c r="A148" s="53" t="n">
        <v>37</v>
      </c>
      <c r="B148" s="53" t="n">
        <v>3</v>
      </c>
      <c r="C148" s="54" t="n">
        <v>3</v>
      </c>
      <c r="D148" s="54" t="n">
        <v>3</v>
      </c>
      <c r="E148" s="54" t="n">
        <v>1</v>
      </c>
      <c r="F148" s="54" t="n">
        <v>1</v>
      </c>
      <c r="G148" s="54" t="inlineStr">
        <is>
          <t>RYNKOWA</t>
        </is>
      </c>
      <c r="H148" s="54" t="inlineStr">
        <is>
          <t>UDZIAŁ W RYNKU</t>
        </is>
      </c>
    </row>
    <row r="149">
      <c r="A149" s="53" t="n">
        <v>37</v>
      </c>
      <c r="B149" s="53" t="n">
        <v>4</v>
      </c>
      <c r="C149" s="54" t="n">
        <v>3</v>
      </c>
      <c r="D149" s="54" t="n">
        <v>3</v>
      </c>
      <c r="E149" s="54" t="n">
        <v>1</v>
      </c>
      <c r="F149" s="54" t="n">
        <v>1</v>
      </c>
      <c r="G149" s="54" t="inlineStr">
        <is>
          <t>RYNKOWA</t>
        </is>
      </c>
      <c r="H149" s="54" t="inlineStr">
        <is>
          <t>KONWERSJA</t>
        </is>
      </c>
    </row>
    <row r="150">
      <c r="A150" s="53" t="n">
        <v>38</v>
      </c>
      <c r="B150" s="53" t="n">
        <v>1</v>
      </c>
      <c r="C150" s="54" t="n">
        <v>5</v>
      </c>
      <c r="D150" s="54" t="n">
        <v>5</v>
      </c>
      <c r="E150" s="54" t="n">
        <v>1</v>
      </c>
      <c r="F150" s="54" t="n">
        <v>1</v>
      </c>
      <c r="G150" s="54" t="inlineStr">
        <is>
          <t>RYNKOWA</t>
        </is>
      </c>
      <c r="H150" s="54" t="inlineStr">
        <is>
          <t>ZYSK</t>
        </is>
      </c>
    </row>
    <row r="151">
      <c r="A151" s="53" t="n">
        <v>38</v>
      </c>
      <c r="B151" s="53" t="n">
        <v>2</v>
      </c>
      <c r="C151" s="54" t="n">
        <v>10</v>
      </c>
      <c r="D151" s="54" t="n">
        <v>12</v>
      </c>
      <c r="E151" s="54" t="n">
        <v>1</v>
      </c>
      <c r="F151" s="54" t="n">
        <v>1</v>
      </c>
      <c r="G151" s="54" t="inlineStr">
        <is>
          <t>RYNKOWA</t>
        </is>
      </c>
      <c r="H151" s="54" t="inlineStr">
        <is>
          <t>VISIBILITY</t>
        </is>
      </c>
    </row>
    <row r="152">
      <c r="A152" s="53" t="n">
        <v>38</v>
      </c>
      <c r="B152" s="53" t="n">
        <v>3</v>
      </c>
      <c r="C152" s="54" t="n">
        <v>20</v>
      </c>
      <c r="D152" s="54" t="n">
        <v>25</v>
      </c>
      <c r="E152" s="54" t="n">
        <v>1</v>
      </c>
      <c r="F152" s="54" t="n">
        <v>1</v>
      </c>
      <c r="G152" s="54" t="inlineStr">
        <is>
          <t>RYNKOWA</t>
        </is>
      </c>
      <c r="H152" s="54" t="inlineStr">
        <is>
          <t>UDZIAŁ W RYNKU</t>
        </is>
      </c>
    </row>
    <row r="153">
      <c r="A153" s="53" t="n">
        <v>38</v>
      </c>
      <c r="B153" s="53" t="n">
        <v>4</v>
      </c>
      <c r="C153" s="54" t="n">
        <v>25</v>
      </c>
      <c r="D153" s="54" t="n">
        <v>30</v>
      </c>
      <c r="E153" s="54" t="n">
        <v>1</v>
      </c>
      <c r="F153" s="54" t="n">
        <v>1</v>
      </c>
      <c r="G153" s="54" t="inlineStr">
        <is>
          <t>RYNKOWA</t>
        </is>
      </c>
      <c r="H153" s="54" t="inlineStr">
        <is>
          <t>KONWERSJA</t>
        </is>
      </c>
    </row>
    <row r="154">
      <c r="A154" s="53" t="n">
        <v>39</v>
      </c>
      <c r="B154" s="53" t="n">
        <v>1</v>
      </c>
      <c r="C154" s="54" t="n">
        <v>10</v>
      </c>
      <c r="D154" s="54" t="n">
        <v>12</v>
      </c>
      <c r="E154" s="54" t="n">
        <v>1</v>
      </c>
      <c r="F154" s="54" t="n">
        <v>1</v>
      </c>
      <c r="G154" s="54" t="inlineStr">
        <is>
          <t>RYNKOWA</t>
        </is>
      </c>
      <c r="H154" s="54" t="inlineStr">
        <is>
          <t>ZYSK</t>
        </is>
      </c>
    </row>
    <row r="155">
      <c r="A155" s="53" t="n">
        <v>39</v>
      </c>
      <c r="B155" s="53" t="n">
        <v>2</v>
      </c>
      <c r="C155" s="54" t="n">
        <v>20</v>
      </c>
      <c r="D155" s="54" t="n">
        <v>25</v>
      </c>
      <c r="E155" s="54" t="n">
        <v>1</v>
      </c>
      <c r="F155" s="54" t="n">
        <v>1</v>
      </c>
      <c r="G155" s="54" t="inlineStr">
        <is>
          <t>RYNKOWA</t>
        </is>
      </c>
      <c r="H155" s="54" t="inlineStr">
        <is>
          <t>VISIBILITY</t>
        </is>
      </c>
    </row>
    <row r="156">
      <c r="A156" s="53" t="n">
        <v>39</v>
      </c>
      <c r="B156" s="53" t="n">
        <v>3</v>
      </c>
      <c r="C156" s="54" t="n">
        <v>45</v>
      </c>
      <c r="D156" s="54" t="n">
        <v>50</v>
      </c>
      <c r="E156" s="54" t="n">
        <v>1</v>
      </c>
      <c r="F156" s="54" t="n">
        <v>1</v>
      </c>
      <c r="G156" s="54" t="inlineStr">
        <is>
          <t>RYNKOWA</t>
        </is>
      </c>
      <c r="H156" s="54" t="inlineStr">
        <is>
          <t>UDZIAŁ W RYNKU</t>
        </is>
      </c>
    </row>
    <row r="157">
      <c r="A157" s="53" t="n">
        <v>39</v>
      </c>
      <c r="B157" s="53" t="n">
        <v>4</v>
      </c>
      <c r="C157" s="54" t="n">
        <v>5</v>
      </c>
      <c r="D157" s="54" t="n">
        <v>8</v>
      </c>
      <c r="E157" s="54" t="n">
        <v>1</v>
      </c>
      <c r="F157" s="54" t="n">
        <v>1</v>
      </c>
      <c r="G157" s="54" t="inlineStr">
        <is>
          <t>RYNKOWA</t>
        </is>
      </c>
      <c r="H157" s="54" t="inlineStr">
        <is>
          <t>KONWERSJA</t>
        </is>
      </c>
    </row>
    <row r="158">
      <c r="A158" s="53" t="n">
        <v>40</v>
      </c>
      <c r="B158" s="53" t="n">
        <v>1</v>
      </c>
      <c r="C158" s="54" t="n">
        <v>15</v>
      </c>
      <c r="D158" s="54" t="n">
        <v>18</v>
      </c>
      <c r="E158" s="54" t="n">
        <v>1</v>
      </c>
      <c r="F158" s="54" t="n">
        <v>1</v>
      </c>
      <c r="G158" s="54" t="inlineStr">
        <is>
          <t>RYNKOWA</t>
        </is>
      </c>
      <c r="H158" s="54" t="inlineStr">
        <is>
          <t>ZYSK</t>
        </is>
      </c>
    </row>
    <row r="159">
      <c r="A159" s="53" t="n">
        <v>40</v>
      </c>
      <c r="B159" s="53" t="n">
        <v>2</v>
      </c>
      <c r="C159" s="54" t="n">
        <v>25</v>
      </c>
      <c r="D159" s="54" t="n">
        <v>30</v>
      </c>
      <c r="E159" s="54" t="n">
        <v>1</v>
      </c>
      <c r="F159" s="54" t="n">
        <v>1</v>
      </c>
      <c r="G159" s="54" t="inlineStr">
        <is>
          <t>RYNKOWA</t>
        </is>
      </c>
      <c r="H159" s="54" t="inlineStr">
        <is>
          <t>VISIBILITY</t>
        </is>
      </c>
    </row>
    <row r="160">
      <c r="A160" s="53" t="n">
        <v>40</v>
      </c>
      <c r="B160" s="53" t="n">
        <v>3</v>
      </c>
      <c r="C160" s="54" t="n">
        <v>20</v>
      </c>
      <c r="D160" s="54" t="n">
        <v>25</v>
      </c>
      <c r="E160" s="54" t="n">
        <v>1</v>
      </c>
      <c r="F160" s="54" t="n">
        <v>1</v>
      </c>
      <c r="G160" s="54" t="inlineStr">
        <is>
          <t>RYNKOWA</t>
        </is>
      </c>
      <c r="H160" s="54" t="inlineStr">
        <is>
          <t>UDZIAŁ W RYNKU</t>
        </is>
      </c>
    </row>
    <row r="161">
      <c r="A161" s="53" t="n">
        <v>40</v>
      </c>
      <c r="B161" s="53" t="n">
        <v>4</v>
      </c>
      <c r="C161" s="54" t="n">
        <v>8</v>
      </c>
      <c r="D161" s="54" t="n">
        <v>10</v>
      </c>
      <c r="E161" s="54" t="n">
        <v>1</v>
      </c>
      <c r="F161" s="54" t="n">
        <v>1</v>
      </c>
      <c r="G161" s="54" t="inlineStr">
        <is>
          <t>RYNKOWA</t>
        </is>
      </c>
      <c r="H161" s="54" t="inlineStr">
        <is>
          <t>KONWERSJA</t>
        </is>
      </c>
    </row>
    <row r="162">
      <c r="A162" s="53" t="n">
        <v>41</v>
      </c>
      <c r="B162" s="53" t="n">
        <v>1</v>
      </c>
      <c r="C162" s="54" t="n">
        <v>20</v>
      </c>
      <c r="D162" s="54" t="n">
        <v>25</v>
      </c>
      <c r="E162" s="54" t="n">
        <v>1</v>
      </c>
      <c r="F162" s="54" t="n">
        <v>1</v>
      </c>
      <c r="G162" s="54" t="inlineStr">
        <is>
          <t>RYNKOWA</t>
        </is>
      </c>
      <c r="H162" s="54" t="inlineStr">
        <is>
          <t>ZYSK</t>
        </is>
      </c>
    </row>
    <row r="163">
      <c r="A163" s="53" t="n">
        <v>41</v>
      </c>
      <c r="B163" s="53" t="n">
        <v>2</v>
      </c>
      <c r="C163" s="54" t="n">
        <v>5</v>
      </c>
      <c r="D163" s="54" t="n">
        <v>8</v>
      </c>
      <c r="E163" s="54" t="n">
        <v>1</v>
      </c>
      <c r="F163" s="54" t="n">
        <v>1</v>
      </c>
      <c r="G163" s="54" t="inlineStr">
        <is>
          <t>RYNKOWA</t>
        </is>
      </c>
      <c r="H163" s="54" t="inlineStr">
        <is>
          <t>VISIBILITY</t>
        </is>
      </c>
    </row>
    <row r="164">
      <c r="A164" s="53" t="n">
        <v>41</v>
      </c>
      <c r="B164" s="53" t="n">
        <v>3</v>
      </c>
      <c r="C164" s="54" t="n">
        <v>15</v>
      </c>
      <c r="D164" s="54" t="n">
        <v>18</v>
      </c>
      <c r="E164" s="54" t="n">
        <v>1</v>
      </c>
      <c r="F164" s="54" t="n">
        <v>1</v>
      </c>
      <c r="G164" s="54" t="inlineStr">
        <is>
          <t>RYNKOWA</t>
        </is>
      </c>
      <c r="H164" s="54" t="inlineStr">
        <is>
          <t>UDZIAŁ W RYNKU</t>
        </is>
      </c>
    </row>
    <row r="165">
      <c r="A165" s="53" t="n">
        <v>41</v>
      </c>
      <c r="B165" s="53" t="n">
        <v>4</v>
      </c>
      <c r="C165" s="54" t="n">
        <v>10</v>
      </c>
      <c r="D165" s="54" t="n">
        <v>12</v>
      </c>
      <c r="E165" s="54" t="n">
        <v>1</v>
      </c>
      <c r="F165" s="54" t="n">
        <v>1</v>
      </c>
      <c r="G165" s="54" t="inlineStr">
        <is>
          <t>RYNKOWA</t>
        </is>
      </c>
      <c r="H165" s="54" t="inlineStr">
        <is>
          <t>KONWERSJA</t>
        </is>
      </c>
    </row>
    <row r="166">
      <c r="A166" s="53" t="n">
        <v>42</v>
      </c>
      <c r="B166" s="53" t="n">
        <v>1</v>
      </c>
      <c r="C166" s="54" t="n">
        <v>20</v>
      </c>
      <c r="D166" s="54" t="n">
        <v>25</v>
      </c>
      <c r="E166" s="54" t="n">
        <v>1</v>
      </c>
      <c r="F166" s="54" t="n">
        <v>1</v>
      </c>
      <c r="G166" s="54" t="inlineStr">
        <is>
          <t>RYNKOWA</t>
        </is>
      </c>
      <c r="H166" s="54" t="inlineStr">
        <is>
          <t>ZYSK</t>
        </is>
      </c>
    </row>
    <row r="167">
      <c r="A167" s="53" t="n">
        <v>42</v>
      </c>
      <c r="B167" s="53" t="n">
        <v>2</v>
      </c>
      <c r="C167" s="54" t="n">
        <v>15</v>
      </c>
      <c r="D167" s="54" t="n">
        <v>18</v>
      </c>
      <c r="E167" s="54" t="n">
        <v>1</v>
      </c>
      <c r="F167" s="54" t="n">
        <v>1</v>
      </c>
      <c r="G167" s="54" t="inlineStr">
        <is>
          <t>RYNKOWA</t>
        </is>
      </c>
      <c r="H167" s="54" t="inlineStr">
        <is>
          <t>VISIBILITY</t>
        </is>
      </c>
    </row>
    <row r="168">
      <c r="A168" s="53" t="n">
        <v>42</v>
      </c>
      <c r="B168" s="53" t="n">
        <v>3</v>
      </c>
      <c r="C168" s="54" t="n">
        <v>5</v>
      </c>
      <c r="D168" s="54" t="n">
        <v>8</v>
      </c>
      <c r="E168" s="54" t="n">
        <v>1</v>
      </c>
      <c r="F168" s="54" t="n">
        <v>1</v>
      </c>
      <c r="G168" s="54" t="inlineStr">
        <is>
          <t>RYNKOWA</t>
        </is>
      </c>
      <c r="H168" s="54" t="inlineStr">
        <is>
          <t>UDZIAŁ W RYNKU</t>
        </is>
      </c>
    </row>
    <row r="169">
      <c r="A169" s="53" t="n">
        <v>42</v>
      </c>
      <c r="B169" s="53" t="n">
        <v>4</v>
      </c>
      <c r="C169" s="54" t="n">
        <v>12</v>
      </c>
      <c r="D169" s="54" t="n">
        <v>15</v>
      </c>
      <c r="E169" s="54" t="n">
        <v>1</v>
      </c>
      <c r="F169" s="54" t="n">
        <v>1</v>
      </c>
      <c r="G169" s="54" t="inlineStr">
        <is>
          <t>RYNKOWA</t>
        </is>
      </c>
      <c r="H169" s="54" t="inlineStr">
        <is>
          <t>KONWERSJA</t>
        </is>
      </c>
    </row>
    <row r="170">
      <c r="A170" s="53" t="n">
        <v>43</v>
      </c>
      <c r="B170" s="53" t="n">
        <v>1</v>
      </c>
      <c r="C170" s="54" t="n">
        <v>5</v>
      </c>
      <c r="D170" s="54" t="n">
        <v>8</v>
      </c>
      <c r="E170" s="54" t="n">
        <v>1</v>
      </c>
      <c r="F170" s="54" t="n">
        <v>1</v>
      </c>
      <c r="G170" s="54" t="inlineStr">
        <is>
          <t>RYNKOWA</t>
        </is>
      </c>
      <c r="H170" s="54" t="inlineStr">
        <is>
          <t>ZYSK</t>
        </is>
      </c>
    </row>
    <row r="171">
      <c r="A171" s="53" t="n">
        <v>43</v>
      </c>
      <c r="B171" s="53" t="n">
        <v>2</v>
      </c>
      <c r="C171" s="54" t="n">
        <v>20</v>
      </c>
      <c r="D171" s="54" t="n">
        <v>25</v>
      </c>
      <c r="E171" s="54" t="n">
        <v>1</v>
      </c>
      <c r="F171" s="54" t="n">
        <v>1</v>
      </c>
      <c r="G171" s="54" t="inlineStr">
        <is>
          <t>RYNKOWA</t>
        </is>
      </c>
      <c r="H171" s="54" t="inlineStr">
        <is>
          <t>VISIBILITY</t>
        </is>
      </c>
    </row>
    <row r="172">
      <c r="A172" s="53" t="n">
        <v>43</v>
      </c>
      <c r="B172" s="53" t="n">
        <v>3</v>
      </c>
      <c r="C172" s="54" t="n">
        <v>10</v>
      </c>
      <c r="D172" s="54" t="n">
        <v>12</v>
      </c>
      <c r="E172" s="54" t="n">
        <v>1</v>
      </c>
      <c r="F172" s="54" t="n">
        <v>1</v>
      </c>
      <c r="G172" s="54" t="inlineStr">
        <is>
          <t>RYNKOWA</t>
        </is>
      </c>
      <c r="H172" s="54" t="inlineStr">
        <is>
          <t>UDZIAŁ W RYNKU</t>
        </is>
      </c>
    </row>
    <row r="173">
      <c r="A173" s="53" t="n">
        <v>43</v>
      </c>
      <c r="B173" s="53" t="n">
        <v>4</v>
      </c>
      <c r="C173" s="54" t="n">
        <v>20</v>
      </c>
      <c r="D173" s="54" t="n">
        <v>25</v>
      </c>
      <c r="E173" s="54" t="n">
        <v>1</v>
      </c>
      <c r="F173" s="54" t="n">
        <v>1</v>
      </c>
      <c r="G173" s="54" t="inlineStr">
        <is>
          <t>RYNKOWA</t>
        </is>
      </c>
      <c r="H173" s="54" t="inlineStr">
        <is>
          <t>KONWERSJA</t>
        </is>
      </c>
    </row>
    <row r="174">
      <c r="A174" s="62" t="n"/>
      <c r="B174" s="62" t="n"/>
      <c r="C174" s="61" t="n"/>
      <c r="D174" s="61" t="n"/>
      <c r="E174" s="61" t="n"/>
      <c r="F174" s="61" t="n"/>
      <c r="G174" s="61" t="n"/>
      <c r="H174" s="61" t="n"/>
    </row>
    <row r="175">
      <c r="A175" s="92" t="inlineStr">
        <is>
          <t>Wagi POST (Mapa 2) są wartościami BAZOWYMI. Aplikacja stosuje mnożnik: MIN(2 ; 1 + kart_PRE_zagranych/22)</t>
        </is>
      </c>
    </row>
    <row r="176">
      <c r="A176" s="62" t="n"/>
      <c r="B176" s="62" t="n"/>
      <c r="C176" s="61" t="n"/>
      <c r="D176" s="61" t="n"/>
      <c r="E176" s="61" t="n"/>
      <c r="F176" s="61" t="n"/>
      <c r="G176" s="61" t="n"/>
      <c r="H176" s="61" t="n"/>
    </row>
    <row r="177">
      <c r="A177" s="62" t="n"/>
      <c r="B177" s="62" t="n"/>
      <c r="C177" s="61" t="n"/>
      <c r="D177" s="61" t="n"/>
      <c r="E177" s="61" t="n"/>
      <c r="F177" s="61" t="n"/>
      <c r="G177" s="61" t="n"/>
      <c r="H177" s="61" t="n"/>
    </row>
    <row r="178">
      <c r="A178" s="62" t="n"/>
      <c r="B178" s="62" t="n"/>
      <c r="C178" s="61" t="n"/>
      <c r="D178" s="61" t="n"/>
      <c r="E178" s="61" t="n"/>
      <c r="F178" s="61" t="n"/>
      <c r="G178" s="61" t="n"/>
      <c r="H178" s="61" t="n"/>
    </row>
    <row r="179">
      <c r="A179" s="62" t="n"/>
      <c r="B179" s="62" t="n"/>
      <c r="C179" s="61" t="n"/>
      <c r="D179" s="61" t="n"/>
      <c r="E179" s="61" t="n"/>
      <c r="F179" s="61" t="n"/>
      <c r="G179" s="61" t="n"/>
      <c r="H179" s="61" t="n"/>
    </row>
    <row r="180">
      <c r="A180" s="62" t="n"/>
      <c r="B180" s="62" t="n"/>
      <c r="C180" s="61" t="n"/>
      <c r="D180" s="61" t="n"/>
      <c r="E180" s="61" t="n"/>
      <c r="F180" s="61" t="n"/>
      <c r="G180" s="61" t="n"/>
      <c r="H180" s="61" t="n"/>
    </row>
    <row r="181">
      <c r="A181" s="62" t="n"/>
      <c r="B181" s="62" t="n"/>
      <c r="C181" s="61" t="n"/>
      <c r="D181" s="61" t="n"/>
      <c r="E181" s="61" t="n"/>
      <c r="F181" s="61" t="n"/>
      <c r="G181" s="61" t="n"/>
      <c r="H181" s="61" t="n"/>
    </row>
    <row r="182">
      <c r="A182" s="62" t="n"/>
      <c r="B182" s="62" t="n"/>
      <c r="C182" s="61" t="n"/>
      <c r="D182" s="61" t="n"/>
      <c r="E182" s="61" t="n"/>
      <c r="F182" s="61" t="n"/>
      <c r="G182" s="61" t="n"/>
      <c r="H182" s="61" t="n"/>
    </row>
    <row r="183">
      <c r="A183" s="62" t="n"/>
      <c r="B183" s="62" t="n"/>
      <c r="C183" s="61" t="n"/>
      <c r="D183" s="61" t="n"/>
      <c r="E183" s="61" t="n"/>
      <c r="F183" s="61" t="n"/>
      <c r="G183" s="61" t="n"/>
      <c r="H183" s="61" t="n"/>
    </row>
    <row r="184">
      <c r="A184" s="62" t="n"/>
      <c r="B184" s="62" t="n"/>
      <c r="C184" s="61" t="n"/>
      <c r="D184" s="61" t="n"/>
      <c r="E184" s="61" t="n"/>
      <c r="F184" s="61" t="n"/>
      <c r="G184" s="61" t="n"/>
      <c r="H184" s="61" t="n"/>
    </row>
    <row r="185">
      <c r="A185" s="62" t="n"/>
      <c r="B185" s="62" t="n"/>
      <c r="C185" s="61" t="n"/>
      <c r="D185" s="61" t="n"/>
      <c r="E185" s="61" t="n"/>
      <c r="F185" s="61" t="n"/>
      <c r="G185" s="61" t="n"/>
      <c r="H185" s="61" t="n"/>
    </row>
    <row r="186">
      <c r="A186" s="62" t="n"/>
      <c r="B186" s="62" t="n"/>
      <c r="C186" s="61" t="n"/>
      <c r="D186" s="61" t="n"/>
      <c r="E186" s="61" t="n"/>
      <c r="F186" s="61" t="n"/>
      <c r="G186" s="61" t="n"/>
      <c r="H186" s="61" t="n"/>
    </row>
    <row r="187">
      <c r="A187" s="62" t="n"/>
      <c r="B187" s="62" t="n"/>
      <c r="C187" s="61" t="n"/>
      <c r="D187" s="61" t="n"/>
      <c r="E187" s="61" t="n"/>
      <c r="F187" s="61" t="n"/>
      <c r="G187" s="61" t="n"/>
      <c r="H187" s="61" t="n"/>
    </row>
    <row r="188">
      <c r="A188" s="62" t="n"/>
      <c r="B188" s="62" t="n"/>
      <c r="C188" s="61" t="n"/>
      <c r="D188" s="61" t="n"/>
      <c r="E188" s="61" t="n"/>
      <c r="F188" s="61" t="n"/>
      <c r="G188" s="61" t="n"/>
      <c r="H188" s="61" t="n"/>
    </row>
    <row r="189">
      <c r="A189" s="62" t="n"/>
      <c r="B189" s="62" t="n"/>
      <c r="C189" s="61" t="n"/>
      <c r="D189" s="61" t="n"/>
      <c r="E189" s="61" t="n"/>
      <c r="F189" s="61" t="n"/>
      <c r="G189" s="61" t="n"/>
      <c r="H189" s="61" t="n"/>
    </row>
    <row r="190">
      <c r="A190" s="62" t="n"/>
      <c r="B190" s="62" t="n"/>
      <c r="C190" s="61" t="n"/>
      <c r="D190" s="61" t="n"/>
      <c r="E190" s="61" t="n"/>
      <c r="F190" s="61" t="n"/>
      <c r="G190" s="61" t="n"/>
      <c r="H190" s="61" t="n"/>
    </row>
    <row r="191">
      <c r="A191" s="62" t="n"/>
      <c r="B191" s="62" t="n"/>
      <c r="C191" s="61" t="n"/>
      <c r="D191" s="61" t="n"/>
      <c r="E191" s="61" t="n"/>
      <c r="F191" s="61" t="n"/>
      <c r="G191" s="61" t="n"/>
      <c r="H191" s="61" t="n"/>
    </row>
    <row r="192">
      <c r="A192" s="62" t="n"/>
      <c r="B192" s="62" t="n"/>
      <c r="C192" s="61" t="n"/>
      <c r="D192" s="61" t="n"/>
      <c r="E192" s="61" t="n"/>
      <c r="F192" s="61" t="n"/>
      <c r="G192" s="61" t="n"/>
      <c r="H192" s="61" t="n"/>
    </row>
    <row r="193">
      <c r="A193" s="62" t="n"/>
      <c r="B193" s="62" t="n"/>
      <c r="C193" s="61" t="n"/>
      <c r="D193" s="61" t="n"/>
      <c r="E193" s="61" t="n"/>
      <c r="F193" s="61" t="n"/>
      <c r="G193" s="61" t="n"/>
      <c r="H193" s="61" t="n"/>
    </row>
    <row r="194">
      <c r="A194" s="62" t="n"/>
      <c r="B194" s="62" t="n"/>
      <c r="C194" s="61" t="n"/>
      <c r="D194" s="61" t="n"/>
      <c r="E194" s="61" t="n"/>
      <c r="F194" s="61" t="n"/>
      <c r="G194" s="61" t="n"/>
      <c r="H194" s="61" t="n"/>
    </row>
    <row r="195">
      <c r="A195" s="62" t="n"/>
      <c r="B195" s="62" t="n"/>
      <c r="C195" s="61" t="n"/>
      <c r="D195" s="61" t="n"/>
      <c r="E195" s="61" t="n"/>
      <c r="F195" s="61" t="n"/>
      <c r="G195" s="61" t="n"/>
      <c r="H195" s="61" t="n"/>
    </row>
    <row r="196">
      <c r="A196" s="62" t="n"/>
      <c r="B196" s="62" t="n"/>
      <c r="C196" s="61" t="n"/>
      <c r="D196" s="61" t="n"/>
      <c r="E196" s="61" t="n"/>
      <c r="F196" s="61" t="n"/>
      <c r="G196" s="61" t="n"/>
      <c r="H196" s="61" t="n"/>
    </row>
    <row r="197">
      <c r="A197" s="62" t="n"/>
      <c r="B197" s="62" t="n"/>
      <c r="C197" s="61" t="n"/>
      <c r="D197" s="61" t="n"/>
      <c r="E197" s="61" t="n"/>
      <c r="F197" s="61" t="n"/>
      <c r="G197" s="61" t="n"/>
      <c r="H197" s="61" t="n"/>
    </row>
    <row r="198">
      <c r="A198" s="62" t="n"/>
      <c r="B198" s="62" t="n"/>
      <c r="C198" s="61" t="n"/>
      <c r="D198" s="61" t="n"/>
      <c r="E198" s="61" t="n"/>
      <c r="F198" s="61" t="n"/>
      <c r="G198" s="61" t="n"/>
      <c r="H198" s="61" t="n"/>
    </row>
    <row r="199">
      <c r="A199" s="62" t="n"/>
      <c r="B199" s="62" t="n"/>
      <c r="C199" s="61" t="n"/>
      <c r="D199" s="61" t="n"/>
      <c r="E199" s="61" t="n"/>
      <c r="F199" s="61" t="n"/>
      <c r="G199" s="61" t="n"/>
      <c r="H199" s="61" t="n"/>
    </row>
    <row r="200">
      <c r="A200" s="62" t="n"/>
      <c r="B200" s="62" t="n"/>
      <c r="C200" s="61" t="n"/>
      <c r="D200" s="61" t="n"/>
      <c r="E200" s="61" t="n"/>
      <c r="F200" s="61" t="n"/>
      <c r="G200" s="61" t="n"/>
      <c r="H200" s="61" t="n"/>
    </row>
    <row r="201">
      <c r="A201" s="62" t="n"/>
      <c r="B201" s="62" t="n"/>
      <c r="C201" s="61" t="n"/>
      <c r="D201" s="61" t="n"/>
      <c r="E201" s="61" t="n"/>
      <c r="F201" s="61" t="n"/>
      <c r="G201" s="61" t="n"/>
      <c r="H201" s="61" t="n"/>
    </row>
    <row r="202">
      <c r="A202" s="62" t="n"/>
      <c r="B202" s="62" t="n"/>
      <c r="C202" s="61" t="n"/>
      <c r="D202" s="61" t="n"/>
      <c r="E202" s="61" t="n"/>
      <c r="F202" s="61" t="n"/>
      <c r="G202" s="61" t="n"/>
      <c r="H202" s="61" t="n"/>
    </row>
    <row r="203">
      <c r="A203" s="62" t="n"/>
      <c r="B203" s="62" t="n"/>
      <c r="C203" s="61" t="n"/>
      <c r="D203" s="61" t="n"/>
      <c r="E203" s="61" t="n"/>
      <c r="F203" s="61" t="n"/>
      <c r="G203" s="61" t="n"/>
      <c r="H203" s="61" t="n"/>
    </row>
    <row r="204">
      <c r="A204" s="62" t="n"/>
      <c r="B204" s="62" t="n"/>
      <c r="C204" s="61" t="n"/>
      <c r="D204" s="61" t="n"/>
      <c r="E204" s="61" t="n"/>
      <c r="F204" s="61" t="n"/>
      <c r="G204" s="61" t="n"/>
      <c r="H204" s="61" t="n"/>
    </row>
    <row r="205">
      <c r="A205" s="62" t="n"/>
      <c r="B205" s="62" t="n"/>
      <c r="C205" s="61" t="n"/>
      <c r="D205" s="61" t="n"/>
      <c r="E205" s="61" t="n"/>
      <c r="F205" s="61" t="n"/>
      <c r="G205" s="61" t="n"/>
      <c r="H205" s="61" t="n"/>
    </row>
    <row r="206">
      <c r="A206" s="62" t="n"/>
      <c r="B206" s="62" t="n"/>
      <c r="C206" s="61" t="n"/>
      <c r="D206" s="61" t="n"/>
      <c r="E206" s="61" t="n"/>
      <c r="F206" s="61" t="n"/>
      <c r="G206" s="61" t="n"/>
      <c r="H206" s="61" t="n"/>
    </row>
    <row r="207">
      <c r="A207" s="62" t="n"/>
      <c r="B207" s="62" t="n"/>
      <c r="C207" s="61" t="n"/>
      <c r="D207" s="61" t="n"/>
      <c r="E207" s="61" t="n"/>
      <c r="F207" s="61" t="n"/>
      <c r="G207" s="61" t="n"/>
      <c r="H207" s="61" t="n"/>
    </row>
    <row r="208">
      <c r="A208" s="62" t="n"/>
      <c r="B208" s="62" t="n"/>
      <c r="C208" s="61" t="n"/>
      <c r="D208" s="61" t="n"/>
      <c r="E208" s="61" t="n"/>
      <c r="F208" s="61" t="n"/>
      <c r="G208" s="61" t="n"/>
      <c r="H208" s="61" t="n"/>
    </row>
    <row r="209">
      <c r="A209" s="62" t="n"/>
      <c r="B209" s="62" t="n"/>
      <c r="C209" s="61" t="n"/>
      <c r="D209" s="61" t="n"/>
      <c r="E209" s="61" t="n"/>
      <c r="F209" s="61" t="n"/>
      <c r="G209" s="61" t="n"/>
      <c r="H209" s="61" t="n"/>
    </row>
    <row r="210">
      <c r="A210" s="62" t="n"/>
      <c r="B210" s="62" t="n"/>
      <c r="C210" s="61" t="n"/>
      <c r="D210" s="61" t="n"/>
      <c r="E210" s="61" t="n"/>
      <c r="F210" s="61" t="n"/>
      <c r="G210" s="61" t="n"/>
      <c r="H210" s="61" t="n"/>
    </row>
    <row r="211">
      <c r="A211" s="62" t="n"/>
      <c r="B211" s="62" t="n"/>
      <c r="C211" s="61" t="n"/>
      <c r="D211" s="61" t="n"/>
      <c r="E211" s="61" t="n"/>
      <c r="F211" s="61" t="n"/>
      <c r="G211" s="61" t="n"/>
      <c r="H211" s="61" t="n"/>
    </row>
    <row r="212">
      <c r="A212" s="62" t="n"/>
      <c r="B212" s="62" t="n"/>
      <c r="C212" s="61" t="n"/>
      <c r="D212" s="61" t="n"/>
      <c r="E212" s="61" t="n"/>
      <c r="F212" s="61" t="n"/>
      <c r="G212" s="61" t="n"/>
      <c r="H212" s="61" t="n"/>
    </row>
    <row r="213">
      <c r="A213" s="62" t="n"/>
      <c r="B213" s="62" t="n"/>
      <c r="C213" s="61" t="n"/>
      <c r="D213" s="61" t="n"/>
      <c r="E213" s="61" t="n"/>
      <c r="F213" s="61" t="n"/>
      <c r="G213" s="61" t="n"/>
      <c r="H213" s="61" t="n"/>
    </row>
    <row r="214">
      <c r="A214" s="62" t="n"/>
      <c r="B214" s="62" t="n"/>
      <c r="C214" s="61" t="n"/>
      <c r="D214" s="61" t="n"/>
      <c r="E214" s="61" t="n"/>
      <c r="F214" s="61" t="n"/>
      <c r="G214" s="61" t="n"/>
      <c r="H214" s="61" t="n"/>
    </row>
    <row r="215">
      <c r="A215" s="62" t="n"/>
      <c r="B215" s="62" t="n"/>
      <c r="C215" s="61" t="n"/>
      <c r="D215" s="61" t="n"/>
      <c r="E215" s="61" t="n"/>
      <c r="F215" s="61" t="n"/>
      <c r="G215" s="61" t="n"/>
      <c r="H215" s="61" t="n"/>
    </row>
    <row r="216">
      <c r="A216" s="62" t="n"/>
      <c r="B216" s="62" t="n"/>
      <c r="C216" s="61" t="n"/>
      <c r="D216" s="61" t="n"/>
      <c r="E216" s="61" t="n"/>
      <c r="F216" s="61" t="n"/>
      <c r="G216" s="61" t="n"/>
      <c r="H216" s="61" t="n"/>
    </row>
    <row r="217">
      <c r="A217" s="62" t="n"/>
      <c r="B217" s="62" t="n"/>
      <c r="C217" s="61" t="n"/>
      <c r="D217" s="61" t="n"/>
      <c r="E217" s="61" t="n"/>
      <c r="F217" s="61" t="n"/>
      <c r="G217" s="61" t="n"/>
      <c r="H217" s="61" t="n"/>
    </row>
    <row r="218">
      <c r="A218" s="62" t="n"/>
      <c r="B218" s="62" t="n"/>
      <c r="C218" s="61" t="n"/>
      <c r="D218" s="61" t="n"/>
      <c r="E218" s="61" t="n"/>
      <c r="F218" s="61" t="n"/>
      <c r="G218" s="61" t="n"/>
      <c r="H218" s="61" t="n"/>
    </row>
    <row r="219">
      <c r="A219" s="62" t="n"/>
      <c r="B219" s="62" t="n"/>
      <c r="C219" s="61" t="n"/>
      <c r="D219" s="61" t="n"/>
      <c r="E219" s="61" t="n"/>
      <c r="F219" s="61" t="n"/>
      <c r="G219" s="61" t="n"/>
      <c r="H219" s="61" t="n"/>
    </row>
    <row r="220">
      <c r="A220" s="62" t="n"/>
      <c r="B220" s="62" t="n"/>
      <c r="C220" s="61" t="n"/>
      <c r="D220" s="61" t="n"/>
      <c r="E220" s="61" t="n"/>
      <c r="F220" s="61" t="n"/>
      <c r="G220" s="61" t="n"/>
      <c r="H220" s="61" t="n"/>
    </row>
    <row r="221">
      <c r="A221" s="62" t="n"/>
      <c r="B221" s="62" t="n"/>
      <c r="C221" s="61" t="n"/>
      <c r="D221" s="61" t="n"/>
      <c r="E221" s="61" t="n"/>
      <c r="F221" s="61" t="n"/>
      <c r="G221" s="61" t="n"/>
      <c r="H221" s="61" t="n"/>
    </row>
    <row r="222">
      <c r="A222" s="62" t="n"/>
      <c r="B222" s="62" t="n"/>
      <c r="C222" s="61" t="n"/>
      <c r="D222" s="61" t="n"/>
      <c r="E222" s="61" t="n"/>
      <c r="F222" s="61" t="n"/>
      <c r="G222" s="61" t="n"/>
      <c r="H222" s="61" t="n"/>
    </row>
    <row r="223">
      <c r="A223" s="62" t="n"/>
      <c r="B223" s="62" t="n"/>
      <c r="C223" s="61" t="n"/>
      <c r="D223" s="61" t="n"/>
      <c r="E223" s="61" t="n"/>
      <c r="F223" s="61" t="n"/>
      <c r="G223" s="61" t="n"/>
      <c r="H223" s="61" t="n"/>
    </row>
    <row r="224">
      <c r="A224" s="62" t="n"/>
      <c r="B224" s="62" t="n"/>
      <c r="C224" s="61" t="n"/>
      <c r="D224" s="61" t="n"/>
      <c r="E224" s="61" t="n"/>
      <c r="F224" s="61" t="n"/>
      <c r="G224" s="61" t="n"/>
      <c r="H224" s="61" t="n"/>
    </row>
    <row r="225">
      <c r="A225" s="62" t="n"/>
      <c r="B225" s="62" t="n"/>
      <c r="C225" s="61" t="n"/>
      <c r="D225" s="61" t="n"/>
      <c r="E225" s="61" t="n"/>
      <c r="F225" s="61" t="n"/>
      <c r="G225" s="61" t="n"/>
      <c r="H225" s="61" t="n"/>
    </row>
    <row r="226">
      <c r="A226" s="62" t="n"/>
      <c r="B226" s="62" t="n"/>
      <c r="C226" s="61" t="n"/>
      <c r="D226" s="61" t="n"/>
      <c r="E226" s="61" t="n"/>
      <c r="F226" s="61" t="n"/>
      <c r="G226" s="61" t="n"/>
      <c r="H226" s="61" t="n"/>
    </row>
    <row r="227">
      <c r="A227" s="62" t="n"/>
      <c r="B227" s="62" t="n"/>
      <c r="C227" s="61" t="n"/>
      <c r="D227" s="61" t="n"/>
      <c r="E227" s="61" t="n"/>
      <c r="F227" s="61" t="n"/>
      <c r="G227" s="61" t="n"/>
      <c r="H227" s="61" t="n"/>
    </row>
    <row r="228">
      <c r="A228" s="62" t="n"/>
      <c r="B228" s="62" t="n"/>
      <c r="C228" s="61" t="n"/>
      <c r="D228" s="61" t="n"/>
      <c r="E228" s="61" t="n"/>
      <c r="F228" s="61" t="n"/>
      <c r="G228" s="61" t="n"/>
      <c r="H228" s="61" t="n"/>
    </row>
    <row r="229">
      <c r="A229" s="62" t="n"/>
      <c r="B229" s="62" t="n"/>
      <c r="C229" s="61" t="n"/>
      <c r="D229" s="61" t="n"/>
      <c r="E229" s="61" t="n"/>
      <c r="F229" s="61" t="n"/>
      <c r="G229" s="61" t="n"/>
      <c r="H229" s="61" t="n"/>
    </row>
    <row r="230">
      <c r="A230" s="62" t="n"/>
      <c r="B230" s="62" t="n"/>
      <c r="C230" s="61" t="n"/>
      <c r="D230" s="61" t="n"/>
      <c r="E230" s="61" t="n"/>
      <c r="F230" s="61" t="n"/>
      <c r="G230" s="61" t="n"/>
      <c r="H230" s="61" t="n"/>
    </row>
    <row r="231">
      <c r="A231" s="62" t="n"/>
      <c r="B231" s="62" t="n"/>
      <c r="C231" s="61" t="n"/>
      <c r="D231" s="61" t="n"/>
      <c r="E231" s="61" t="n"/>
      <c r="F231" s="61" t="n"/>
      <c r="G231" s="61" t="n"/>
      <c r="H231" s="61" t="n"/>
    </row>
    <row r="232">
      <c r="A232" s="62" t="n"/>
      <c r="B232" s="62" t="n"/>
      <c r="C232" s="61" t="n"/>
      <c r="D232" s="61" t="n"/>
      <c r="E232" s="61" t="n"/>
      <c r="F232" s="61" t="n"/>
      <c r="G232" s="61" t="n"/>
      <c r="H232" s="61" t="n"/>
    </row>
    <row r="233">
      <c r="A233" s="62" t="n"/>
      <c r="B233" s="62" t="n"/>
      <c r="C233" s="61" t="n"/>
      <c r="D233" s="61" t="n"/>
      <c r="E233" s="61" t="n"/>
      <c r="F233" s="61" t="n"/>
      <c r="G233" s="61" t="n"/>
      <c r="H233" s="61" t="n"/>
    </row>
    <row r="234">
      <c r="A234" s="62" t="n"/>
      <c r="B234" s="62" t="n"/>
      <c r="C234" s="61" t="n"/>
      <c r="D234" s="61" t="n"/>
      <c r="E234" s="61" t="n"/>
      <c r="F234" s="61" t="n"/>
      <c r="G234" s="61" t="n"/>
      <c r="H234" s="61" t="n"/>
    </row>
    <row r="235">
      <c r="A235" s="62" t="n"/>
      <c r="B235" s="62" t="n"/>
      <c r="C235" s="61" t="n"/>
      <c r="D235" s="61" t="n"/>
      <c r="E235" s="61" t="n"/>
      <c r="F235" s="61" t="n"/>
      <c r="G235" s="61" t="n"/>
      <c r="H235" s="61" t="n"/>
    </row>
    <row r="236">
      <c r="A236" s="62" t="n"/>
      <c r="B236" s="62" t="n"/>
      <c r="C236" s="61" t="n"/>
      <c r="D236" s="61" t="n"/>
      <c r="E236" s="61" t="n"/>
      <c r="F236" s="61" t="n"/>
      <c r="G236" s="61" t="n"/>
      <c r="H236" s="61" t="n"/>
    </row>
    <row r="237">
      <c r="A237" s="62" t="n"/>
      <c r="B237" s="62" t="n"/>
      <c r="C237" s="61" t="n"/>
      <c r="D237" s="61" t="n"/>
      <c r="E237" s="61" t="n"/>
      <c r="F237" s="61" t="n"/>
      <c r="G237" s="61" t="n"/>
      <c r="H237" s="61" t="n"/>
    </row>
    <row r="238">
      <c r="A238" s="62" t="n"/>
      <c r="B238" s="62" t="n"/>
      <c r="C238" s="61" t="n"/>
      <c r="D238" s="61" t="n"/>
      <c r="E238" s="61" t="n"/>
      <c r="F238" s="61" t="n"/>
      <c r="G238" s="61" t="n"/>
      <c r="H238" s="61" t="n"/>
    </row>
    <row r="239">
      <c r="A239" s="62" t="n"/>
      <c r="B239" s="62" t="n"/>
      <c r="C239" s="61" t="n"/>
      <c r="D239" s="61" t="n"/>
      <c r="E239" s="61" t="n"/>
      <c r="F239" s="61" t="n"/>
      <c r="G239" s="61" t="n"/>
      <c r="H239" s="61" t="n"/>
    </row>
    <row r="240">
      <c r="A240" s="62" t="n"/>
      <c r="B240" s="62" t="n"/>
      <c r="C240" s="61" t="n"/>
      <c r="D240" s="61" t="n"/>
      <c r="E240" s="61" t="n"/>
      <c r="F240" s="61" t="n"/>
      <c r="G240" s="61" t="n"/>
      <c r="H240" s="61" t="n"/>
    </row>
    <row r="241">
      <c r="A241" s="62" t="n"/>
      <c r="B241" s="62" t="n"/>
      <c r="C241" s="61" t="n"/>
      <c r="D241" s="61" t="n"/>
      <c r="E241" s="61" t="n"/>
      <c r="F241" s="61" t="n"/>
      <c r="G241" s="61" t="n"/>
      <c r="H241" s="61" t="n"/>
    </row>
    <row r="242">
      <c r="A242" s="62" t="n"/>
      <c r="B242" s="62" t="n"/>
      <c r="C242" s="61" t="n"/>
      <c r="D242" s="61" t="n"/>
      <c r="E242" s="61" t="n"/>
      <c r="F242" s="61" t="n"/>
      <c r="G242" s="61" t="n"/>
      <c r="H242" s="61" t="n"/>
    </row>
    <row r="243">
      <c r="A243" s="62" t="n"/>
      <c r="B243" s="62" t="n"/>
      <c r="C243" s="61" t="n"/>
      <c r="D243" s="61" t="n"/>
      <c r="E243" s="61" t="n"/>
      <c r="F243" s="61" t="n"/>
      <c r="G243" s="61" t="n"/>
      <c r="H243" s="61" t="n"/>
    </row>
    <row r="244">
      <c r="A244" s="62" t="n"/>
      <c r="B244" s="62" t="n"/>
      <c r="C244" s="61" t="n"/>
      <c r="D244" s="61" t="n"/>
      <c r="E244" s="61" t="n"/>
      <c r="F244" s="61" t="n"/>
      <c r="G244" s="61" t="n"/>
      <c r="H244" s="61" t="n"/>
    </row>
    <row r="245">
      <c r="A245" s="62" t="n"/>
      <c r="B245" s="62" t="n"/>
      <c r="C245" s="61" t="n"/>
      <c r="D245" s="61" t="n"/>
      <c r="E245" s="61" t="n"/>
      <c r="F245" s="61" t="n"/>
      <c r="G245" s="61" t="n"/>
      <c r="H245" s="61" t="n"/>
    </row>
    <row r="246">
      <c r="A246" s="62" t="n"/>
      <c r="B246" s="62" t="n"/>
      <c r="C246" s="61" t="n"/>
      <c r="D246" s="61" t="n"/>
      <c r="E246" s="61" t="n"/>
      <c r="F246" s="61" t="n"/>
      <c r="G246" s="61" t="n"/>
      <c r="H246" s="61" t="n"/>
    </row>
    <row r="247">
      <c r="A247" s="62" t="n"/>
      <c r="B247" s="62" t="n"/>
      <c r="C247" s="61" t="n"/>
      <c r="D247" s="61" t="n"/>
      <c r="E247" s="61" t="n"/>
      <c r="F247" s="61" t="n"/>
      <c r="G247" s="61" t="n"/>
      <c r="H247" s="61" t="n"/>
    </row>
    <row r="248">
      <c r="A248" s="62" t="n"/>
      <c r="B248" s="62" t="n"/>
      <c r="C248" s="61" t="n"/>
      <c r="D248" s="61" t="n"/>
      <c r="E248" s="61" t="n"/>
      <c r="F248" s="61" t="n"/>
      <c r="G248" s="61" t="n"/>
      <c r="H248" s="61" t="n"/>
    </row>
    <row r="249">
      <c r="A249" s="62" t="n"/>
      <c r="B249" s="62" t="n"/>
      <c r="C249" s="61" t="n"/>
      <c r="D249" s="61" t="n"/>
      <c r="E249" s="61" t="n"/>
      <c r="F249" s="61" t="n"/>
      <c r="G249" s="61" t="n"/>
      <c r="H249" s="61" t="n"/>
    </row>
    <row r="250">
      <c r="A250" s="62" t="n"/>
      <c r="B250" s="62" t="n"/>
      <c r="C250" s="61" t="n"/>
      <c r="D250" s="61" t="n"/>
      <c r="E250" s="61" t="n"/>
      <c r="F250" s="61" t="n"/>
      <c r="G250" s="61" t="n"/>
      <c r="H250" s="61" t="n"/>
    </row>
    <row r="251">
      <c r="A251" s="62" t="n"/>
      <c r="B251" s="62" t="n"/>
      <c r="C251" s="61" t="n"/>
      <c r="D251" s="61" t="n"/>
      <c r="E251" s="61" t="n"/>
      <c r="F251" s="61" t="n"/>
      <c r="G251" s="61" t="n"/>
      <c r="H251" s="61" t="n"/>
    </row>
    <row r="252">
      <c r="A252" s="62" t="n"/>
      <c r="B252" s="62" t="n"/>
      <c r="C252" s="61" t="n"/>
      <c r="D252" s="61" t="n"/>
      <c r="E252" s="61" t="n"/>
      <c r="F252" s="61" t="n"/>
      <c r="G252" s="61" t="n"/>
      <c r="H252" s="61" t="n"/>
    </row>
    <row r="253">
      <c r="A253" s="62" t="n"/>
      <c r="B253" s="62" t="n"/>
      <c r="C253" s="61" t="n"/>
      <c r="D253" s="61" t="n"/>
      <c r="E253" s="61" t="n"/>
      <c r="F253" s="61" t="n"/>
      <c r="G253" s="61" t="n"/>
      <c r="H253" s="61" t="n"/>
    </row>
    <row r="254">
      <c r="A254" s="62" t="n"/>
      <c r="B254" s="62" t="n"/>
      <c r="C254" s="61" t="n"/>
      <c r="D254" s="61" t="n"/>
      <c r="E254" s="61" t="n"/>
      <c r="F254" s="61" t="n"/>
      <c r="G254" s="61" t="n"/>
      <c r="H254" s="61" t="n"/>
    </row>
    <row r="255">
      <c r="A255" s="62" t="n"/>
      <c r="B255" s="62" t="n"/>
      <c r="C255" s="61" t="n"/>
      <c r="D255" s="61" t="n"/>
      <c r="E255" s="61" t="n"/>
      <c r="F255" s="61" t="n"/>
      <c r="G255" s="61" t="n"/>
      <c r="H255" s="61" t="n"/>
    </row>
    <row r="256">
      <c r="A256" s="62" t="n"/>
      <c r="B256" s="62" t="n"/>
      <c r="C256" s="61" t="n"/>
      <c r="D256" s="61" t="n"/>
      <c r="E256" s="61" t="n"/>
      <c r="F256" s="61" t="n"/>
      <c r="G256" s="61" t="n"/>
      <c r="H256" s="61" t="n"/>
    </row>
    <row r="257">
      <c r="A257" s="62" t="n"/>
      <c r="B257" s="62" t="n"/>
      <c r="C257" s="61" t="n"/>
      <c r="D257" s="61" t="n"/>
      <c r="E257" s="61" t="n"/>
      <c r="F257" s="61" t="n"/>
      <c r="G257" s="61" t="n"/>
      <c r="H257" s="61" t="n"/>
    </row>
    <row r="258">
      <c r="A258" s="62" t="n"/>
      <c r="B258" s="62" t="n"/>
      <c r="C258" s="61" t="n"/>
      <c r="D258" s="61" t="n"/>
      <c r="E258" s="61" t="n"/>
      <c r="F258" s="61" t="n"/>
      <c r="G258" s="61" t="n"/>
      <c r="H258" s="61" t="n"/>
    </row>
    <row r="259">
      <c r="A259" s="62" t="n"/>
      <c r="B259" s="62" t="n"/>
      <c r="C259" s="61" t="n"/>
      <c r="D259" s="61" t="n"/>
      <c r="E259" s="61" t="n"/>
      <c r="F259" s="61" t="n"/>
      <c r="G259" s="61" t="n"/>
      <c r="H259" s="61" t="n"/>
    </row>
    <row r="260">
      <c r="A260" s="62" t="n"/>
      <c r="B260" s="62" t="n"/>
      <c r="C260" s="61" t="n"/>
      <c r="D260" s="61" t="n"/>
      <c r="E260" s="61" t="n"/>
      <c r="F260" s="61" t="n"/>
      <c r="G260" s="61" t="n"/>
      <c r="H260" s="61" t="n"/>
    </row>
    <row r="261">
      <c r="A261" s="62" t="n"/>
      <c r="B261" s="62" t="n"/>
      <c r="C261" s="61" t="n"/>
      <c r="D261" s="61" t="n"/>
      <c r="E261" s="61" t="n"/>
      <c r="F261" s="61" t="n"/>
      <c r="G261" s="61" t="n"/>
      <c r="H261" s="61" t="n"/>
    </row>
    <row r="262">
      <c r="A262" s="62" t="n"/>
      <c r="B262" s="62" t="n"/>
      <c r="C262" s="61" t="n"/>
      <c r="D262" s="61" t="n"/>
      <c r="E262" s="61" t="n"/>
      <c r="F262" s="61" t="n"/>
      <c r="G262" s="61" t="n"/>
      <c r="H262" s="61" t="n"/>
    </row>
    <row r="263">
      <c r="A263" s="62" t="n"/>
      <c r="B263" s="62" t="n"/>
      <c r="C263" s="61" t="n"/>
      <c r="D263" s="61" t="n"/>
      <c r="E263" s="61" t="n"/>
      <c r="F263" s="61" t="n"/>
      <c r="G263" s="61" t="n"/>
      <c r="H263" s="61" t="n"/>
    </row>
    <row r="264">
      <c r="A264" s="62" t="n"/>
      <c r="B264" s="62" t="n"/>
      <c r="C264" s="61" t="n"/>
      <c r="D264" s="61" t="n"/>
      <c r="E264" s="61" t="n"/>
      <c r="F264" s="61" t="n"/>
      <c r="G264" s="61" t="n"/>
      <c r="H264" s="61" t="n"/>
    </row>
    <row r="265">
      <c r="A265" s="62" t="n"/>
      <c r="B265" s="62" t="n"/>
      <c r="C265" s="61" t="n"/>
      <c r="D265" s="61" t="n"/>
      <c r="E265" s="61" t="n"/>
      <c r="F265" s="61" t="n"/>
      <c r="G265" s="61" t="n"/>
      <c r="H265" s="61" t="n"/>
    </row>
    <row r="266">
      <c r="A266" s="62" t="n"/>
      <c r="B266" s="62" t="n"/>
      <c r="C266" s="61" t="n"/>
      <c r="D266" s="61" t="n"/>
      <c r="E266" s="61" t="n"/>
      <c r="F266" s="61" t="n"/>
      <c r="G266" s="61" t="n"/>
      <c r="H266" s="61" t="n"/>
    </row>
    <row r="267">
      <c r="A267" s="62" t="n"/>
      <c r="B267" s="62" t="n"/>
      <c r="C267" s="61" t="n"/>
      <c r="D267" s="61" t="n"/>
      <c r="E267" s="61" t="n"/>
      <c r="F267" s="61" t="n"/>
      <c r="G267" s="61" t="n"/>
      <c r="H267" s="61" t="n"/>
    </row>
    <row r="268">
      <c r="A268" s="62" t="n"/>
      <c r="B268" s="62" t="n"/>
      <c r="C268" s="61" t="n"/>
      <c r="D268" s="61" t="n"/>
      <c r="E268" s="61" t="n"/>
      <c r="F268" s="61" t="n"/>
      <c r="G268" s="61" t="n"/>
      <c r="H268" s="61" t="n"/>
    </row>
    <row r="269">
      <c r="A269" s="62" t="n"/>
      <c r="B269" s="62" t="n"/>
      <c r="C269" s="61" t="n"/>
      <c r="D269" s="61" t="n"/>
      <c r="E269" s="61" t="n"/>
      <c r="F269" s="61" t="n"/>
      <c r="G269" s="61" t="n"/>
      <c r="H269" s="61" t="n"/>
    </row>
    <row r="270">
      <c r="A270" s="62" t="n"/>
      <c r="B270" s="62" t="n"/>
      <c r="C270" s="61" t="n"/>
      <c r="D270" s="61" t="n"/>
      <c r="E270" s="61" t="n"/>
      <c r="F270" s="61" t="n"/>
      <c r="G270" s="61" t="n"/>
      <c r="H270" s="61" t="n"/>
    </row>
    <row r="271">
      <c r="A271" s="62" t="n"/>
      <c r="B271" s="62" t="n"/>
      <c r="C271" s="61" t="n"/>
      <c r="D271" s="61" t="n"/>
      <c r="E271" s="61" t="n"/>
      <c r="F271" s="61" t="n"/>
      <c r="G271" s="61" t="n"/>
      <c r="H271" s="61" t="n"/>
    </row>
    <row r="272">
      <c r="A272" s="62" t="n"/>
      <c r="B272" s="62" t="n"/>
      <c r="C272" s="61" t="n"/>
      <c r="D272" s="61" t="n"/>
      <c r="E272" s="61" t="n"/>
      <c r="F272" s="61" t="n"/>
      <c r="G272" s="61" t="n"/>
      <c r="H272" s="61" t="n"/>
    </row>
    <row r="273">
      <c r="A273" s="62" t="n"/>
      <c r="B273" s="62" t="n"/>
      <c r="C273" s="61" t="n"/>
      <c r="D273" s="61" t="n"/>
      <c r="E273" s="61" t="n"/>
      <c r="F273" s="61" t="n"/>
      <c r="G273" s="61" t="n"/>
      <c r="H273" s="61" t="n"/>
    </row>
    <row r="274">
      <c r="A274" s="62" t="n"/>
      <c r="B274" s="62" t="n"/>
      <c r="C274" s="61" t="n"/>
      <c r="D274" s="61" t="n"/>
      <c r="E274" s="61" t="n"/>
      <c r="F274" s="61" t="n"/>
      <c r="G274" s="61" t="n"/>
      <c r="H274" s="61" t="n"/>
    </row>
    <row r="275">
      <c r="A275" s="62" t="n"/>
      <c r="B275" s="62" t="n"/>
      <c r="C275" s="61" t="n"/>
      <c r="D275" s="61" t="n"/>
      <c r="E275" s="61" t="n"/>
      <c r="F275" s="61" t="n"/>
      <c r="G275" s="61" t="n"/>
      <c r="H275" s="61" t="n"/>
    </row>
    <row r="276">
      <c r="A276" s="62" t="n"/>
      <c r="B276" s="62" t="n"/>
      <c r="C276" s="61" t="n"/>
      <c r="D276" s="61" t="n"/>
      <c r="E276" s="61" t="n"/>
      <c r="F276" s="61" t="n"/>
      <c r="G276" s="61" t="n"/>
      <c r="H276" s="61" t="n"/>
    </row>
    <row r="277">
      <c r="A277" s="62" t="n"/>
      <c r="B277" s="62" t="n"/>
      <c r="C277" s="61" t="n"/>
      <c r="D277" s="61" t="n"/>
      <c r="E277" s="61" t="n"/>
      <c r="F277" s="61" t="n"/>
      <c r="G277" s="61" t="n"/>
      <c r="H277" s="61" t="n"/>
    </row>
    <row r="278">
      <c r="A278" s="62" t="n"/>
      <c r="B278" s="62" t="n"/>
      <c r="C278" s="61" t="n"/>
      <c r="D278" s="61" t="n"/>
      <c r="E278" s="61" t="n"/>
      <c r="F278" s="61" t="n"/>
      <c r="G278" s="61" t="n"/>
      <c r="H278" s="61" t="n"/>
    </row>
    <row r="279">
      <c r="A279" s="62" t="n"/>
      <c r="B279" s="62" t="n"/>
      <c r="C279" s="61" t="n"/>
      <c r="D279" s="61" t="n"/>
      <c r="E279" s="61" t="n"/>
      <c r="F279" s="61" t="n"/>
      <c r="G279" s="61" t="n"/>
      <c r="H279" s="61" t="n"/>
    </row>
    <row r="280">
      <c r="A280" s="62" t="n"/>
      <c r="B280" s="62" t="n"/>
      <c r="C280" s="61" t="n"/>
      <c r="D280" s="61" t="n"/>
      <c r="E280" s="61" t="n"/>
      <c r="F280" s="61" t="n"/>
      <c r="G280" s="61" t="n"/>
      <c r="H280" s="61" t="n"/>
    </row>
    <row r="281">
      <c r="A281" s="62" t="n"/>
      <c r="B281" s="62" t="n"/>
      <c r="C281" s="61" t="n"/>
      <c r="D281" s="61" t="n"/>
      <c r="E281" s="61" t="n"/>
      <c r="F281" s="61" t="n"/>
      <c r="G281" s="61" t="n"/>
      <c r="H281" s="61" t="n"/>
    </row>
    <row r="282">
      <c r="A282" s="62" t="n"/>
      <c r="B282" s="62" t="n"/>
      <c r="C282" s="61" t="n"/>
      <c r="D282" s="61" t="n"/>
      <c r="E282" s="61" t="n"/>
      <c r="F282" s="61" t="n"/>
      <c r="G282" s="61" t="n"/>
      <c r="H282" s="61" t="n"/>
    </row>
    <row r="283">
      <c r="A283" s="62" t="n"/>
      <c r="B283" s="62" t="n"/>
      <c r="C283" s="61" t="n"/>
      <c r="D283" s="61" t="n"/>
      <c r="E283" s="61" t="n"/>
      <c r="F283" s="61" t="n"/>
      <c r="G283" s="61" t="n"/>
      <c r="H283" s="61" t="n"/>
    </row>
    <row r="284">
      <c r="A284" s="62" t="n"/>
      <c r="B284" s="62" t="n"/>
      <c r="C284" s="61" t="n"/>
      <c r="D284" s="61" t="n"/>
      <c r="E284" s="61" t="n"/>
      <c r="F284" s="61" t="n"/>
      <c r="G284" s="61" t="n"/>
      <c r="H284" s="61" t="n"/>
    </row>
    <row r="285">
      <c r="A285" s="62" t="n"/>
      <c r="B285" s="62" t="n"/>
      <c r="C285" s="61" t="n"/>
      <c r="D285" s="61" t="n"/>
      <c r="E285" s="61" t="n"/>
      <c r="F285" s="61" t="n"/>
      <c r="G285" s="61" t="n"/>
      <c r="H285" s="61" t="n"/>
    </row>
    <row r="286">
      <c r="A286" s="62" t="n"/>
      <c r="B286" s="62" t="n"/>
      <c r="C286" s="61" t="n"/>
      <c r="D286" s="61" t="n"/>
      <c r="E286" s="61" t="n"/>
      <c r="F286" s="61" t="n"/>
      <c r="G286" s="61" t="n"/>
      <c r="H286" s="61" t="n"/>
    </row>
    <row r="287">
      <c r="A287" s="62" t="n"/>
      <c r="B287" s="62" t="n"/>
      <c r="C287" s="61" t="n"/>
      <c r="D287" s="61" t="n"/>
      <c r="E287" s="61" t="n"/>
      <c r="F287" s="61" t="n"/>
      <c r="G287" s="61" t="n"/>
      <c r="H287" s="61" t="n"/>
    </row>
    <row r="288">
      <c r="A288" s="62" t="n"/>
      <c r="B288" s="62" t="n"/>
      <c r="C288" s="61" t="n"/>
      <c r="D288" s="61" t="n"/>
      <c r="E288" s="61" t="n"/>
      <c r="F288" s="61" t="n"/>
      <c r="G288" s="61" t="n"/>
      <c r="H288" s="61" t="n"/>
    </row>
    <row r="289">
      <c r="A289" s="62" t="n"/>
      <c r="B289" s="62" t="n"/>
      <c r="C289" s="61" t="n"/>
      <c r="D289" s="61" t="n"/>
      <c r="E289" s="61" t="n"/>
      <c r="F289" s="61" t="n"/>
      <c r="G289" s="61" t="n"/>
      <c r="H289" s="61" t="n"/>
    </row>
    <row r="290">
      <c r="A290" s="62" t="n"/>
      <c r="B290" s="62" t="n"/>
      <c r="C290" s="61" t="n"/>
      <c r="D290" s="61" t="n"/>
      <c r="E290" s="61" t="n"/>
      <c r="F290" s="61" t="n"/>
      <c r="G290" s="61" t="n"/>
      <c r="H290" s="61" t="n"/>
    </row>
    <row r="291">
      <c r="A291" s="62" t="n"/>
      <c r="B291" s="62" t="n"/>
      <c r="C291" s="61" t="n"/>
      <c r="D291" s="61" t="n"/>
      <c r="E291" s="61" t="n"/>
      <c r="F291" s="61" t="n"/>
      <c r="G291" s="61" t="n"/>
      <c r="H291" s="61" t="n"/>
    </row>
    <row r="292">
      <c r="A292" s="62" t="n"/>
      <c r="B292" s="62" t="n"/>
      <c r="C292" s="61" t="n"/>
      <c r="D292" s="61" t="n"/>
      <c r="E292" s="61" t="n"/>
      <c r="F292" s="61" t="n"/>
      <c r="G292" s="61" t="n"/>
      <c r="H292" s="61" t="n"/>
    </row>
    <row r="293">
      <c r="A293" s="62" t="n"/>
      <c r="B293" s="62" t="n"/>
      <c r="C293" s="61" t="n"/>
      <c r="D293" s="61" t="n"/>
      <c r="E293" s="61" t="n"/>
      <c r="F293" s="61" t="n"/>
      <c r="G293" s="61" t="n"/>
      <c r="H293" s="61" t="n"/>
    </row>
    <row r="294">
      <c r="A294" s="62" t="n"/>
      <c r="B294" s="62" t="n"/>
      <c r="C294" s="61" t="n"/>
      <c r="D294" s="61" t="n"/>
      <c r="E294" s="61" t="n"/>
      <c r="F294" s="61" t="n"/>
      <c r="G294" s="61" t="n"/>
      <c r="H294" s="61" t="n"/>
    </row>
    <row r="295">
      <c r="A295" s="62" t="n"/>
      <c r="B295" s="62" t="n"/>
      <c r="C295" s="61" t="n"/>
      <c r="D295" s="61" t="n"/>
      <c r="E295" s="61" t="n"/>
      <c r="F295" s="61" t="n"/>
      <c r="G295" s="61" t="n"/>
      <c r="H295" s="61" t="n"/>
    </row>
    <row r="296">
      <c r="A296" s="62" t="n"/>
      <c r="B296" s="62" t="n"/>
      <c r="C296" s="61" t="n"/>
      <c r="D296" s="61" t="n"/>
      <c r="E296" s="61" t="n"/>
      <c r="F296" s="61" t="n"/>
      <c r="G296" s="61" t="n"/>
      <c r="H296" s="61" t="n"/>
    </row>
    <row r="297">
      <c r="A297" s="62" t="n"/>
      <c r="B297" s="62" t="n"/>
      <c r="C297" s="61" t="n"/>
      <c r="D297" s="61" t="n"/>
      <c r="E297" s="61" t="n"/>
      <c r="F297" s="61" t="n"/>
      <c r="G297" s="61" t="n"/>
      <c r="H297" s="61" t="n"/>
    </row>
    <row r="298">
      <c r="A298" s="62" t="n"/>
      <c r="B298" s="62" t="n"/>
      <c r="C298" s="61" t="n"/>
      <c r="D298" s="61" t="n"/>
      <c r="E298" s="61" t="n"/>
      <c r="F298" s="61" t="n"/>
      <c r="G298" s="61" t="n"/>
      <c r="H298" s="61" t="n"/>
    </row>
    <row r="299">
      <c r="A299" s="62" t="n"/>
      <c r="B299" s="62" t="n"/>
      <c r="C299" s="61" t="n"/>
      <c r="D299" s="61" t="n"/>
      <c r="E299" s="61" t="n"/>
      <c r="F299" s="61" t="n"/>
      <c r="G299" s="61" t="n"/>
      <c r="H299" s="61" t="n"/>
    </row>
    <row r="300">
      <c r="A300" s="62" t="n"/>
      <c r="B300" s="62" t="n"/>
      <c r="C300" s="61" t="n"/>
      <c r="D300" s="61" t="n"/>
      <c r="E300" s="61" t="n"/>
      <c r="F300" s="61" t="n"/>
      <c r="G300" s="61" t="n"/>
      <c r="H300" s="61" t="n"/>
    </row>
    <row r="301">
      <c r="A301" s="9" t="n"/>
      <c r="B301" s="3" t="n"/>
      <c r="C301" s="2" t="n"/>
      <c r="D301" s="2" t="n"/>
      <c r="E301" s="2" t="n"/>
      <c r="F301" s="2" t="n"/>
    </row>
    <row r="302">
      <c r="A302" s="9" t="n"/>
      <c r="B302" s="3" t="n"/>
      <c r="C302" s="2" t="n"/>
      <c r="D302" s="2" t="n"/>
      <c r="E302" s="2" t="n"/>
      <c r="F302" s="2" t="n"/>
    </row>
    <row r="303">
      <c r="A303" s="9" t="n"/>
      <c r="B303" s="3" t="n"/>
      <c r="C303" s="2" t="n"/>
      <c r="D303" s="2" t="n"/>
      <c r="E303" s="2" t="n"/>
      <c r="F303" s="2" t="n"/>
    </row>
    <row r="304">
      <c r="A304" s="9" t="n"/>
      <c r="B304" s="3" t="n"/>
      <c r="C304" s="2" t="n"/>
      <c r="D304" s="2" t="n"/>
      <c r="E304" s="2" t="n"/>
      <c r="F304" s="2" t="n"/>
    </row>
    <row r="305">
      <c r="A305" s="9" t="n"/>
      <c r="B305" s="3" t="n"/>
      <c r="C305" s="2" t="n"/>
      <c r="D305" s="2" t="n"/>
      <c r="E305" s="2" t="n"/>
      <c r="F305" s="2" t="n"/>
    </row>
    <row r="306">
      <c r="A306" s="9" t="n"/>
      <c r="B306" s="3" t="n"/>
      <c r="C306" s="2" t="n"/>
      <c r="D306" s="2" t="n"/>
      <c r="E306" s="2" t="n"/>
      <c r="F306" s="2" t="n"/>
    </row>
    <row r="307">
      <c r="A307" s="9" t="n"/>
      <c r="B307" s="3" t="n"/>
      <c r="C307" s="2" t="n"/>
      <c r="D307" s="2" t="n"/>
      <c r="E307" s="2" t="n"/>
      <c r="F307" s="2" t="n"/>
    </row>
    <row r="308">
      <c r="A308" s="9" t="n"/>
      <c r="B308" s="3" t="n"/>
      <c r="C308" s="2" t="n"/>
      <c r="D308" s="2" t="n"/>
      <c r="E308" s="2" t="n"/>
      <c r="F308" s="2" t="n"/>
    </row>
    <row r="309">
      <c r="A309" s="9" t="n"/>
      <c r="B309" s="3" t="n"/>
      <c r="C309" s="2" t="n"/>
      <c r="D309" s="2" t="n"/>
      <c r="E309" s="2" t="n"/>
      <c r="F309" s="2" t="n"/>
    </row>
    <row r="310">
      <c r="A310" s="9" t="n"/>
      <c r="B310" s="3" t="n"/>
      <c r="C310" s="2" t="n"/>
      <c r="D310" s="2" t="n"/>
      <c r="E310" s="2" t="n"/>
      <c r="F310" s="2" t="n"/>
    </row>
    <row r="311">
      <c r="A311" s="9" t="n"/>
      <c r="B311" s="3" t="n"/>
      <c r="C311" s="2" t="n"/>
      <c r="D311" s="2" t="n"/>
      <c r="E311" s="2" t="n"/>
      <c r="F311" s="2" t="n"/>
    </row>
    <row r="312">
      <c r="A312" s="9" t="n"/>
      <c r="B312" s="3" t="n"/>
      <c r="C312" s="2" t="n"/>
      <c r="D312" s="2" t="n"/>
      <c r="E312" s="2" t="n"/>
      <c r="F312" s="2" t="n"/>
    </row>
    <row r="313">
      <c r="A313" s="9" t="n"/>
      <c r="B313" s="3" t="n"/>
      <c r="C313" s="2" t="n"/>
      <c r="D313" s="2" t="n"/>
      <c r="E313" s="2" t="n"/>
      <c r="F313" s="2" t="n"/>
    </row>
    <row r="314">
      <c r="A314" s="9" t="n"/>
      <c r="B314" s="3" t="n"/>
      <c r="C314" s="2" t="n"/>
      <c r="D314" s="2" t="n"/>
      <c r="E314" s="2" t="n"/>
      <c r="F314" s="2" t="n"/>
    </row>
    <row r="315">
      <c r="A315" s="9" t="n"/>
      <c r="B315" s="3" t="n"/>
      <c r="C315" s="2" t="n"/>
      <c r="D315" s="2" t="n"/>
      <c r="E315" s="2" t="n"/>
      <c r="F315" s="2" t="n"/>
    </row>
    <row r="316">
      <c r="A316" s="9" t="n"/>
      <c r="B316" s="3" t="n"/>
      <c r="C316" s="2" t="n"/>
      <c r="D316" s="2" t="n"/>
      <c r="E316" s="2" t="n"/>
      <c r="F316" s="2" t="n"/>
    </row>
    <row r="317">
      <c r="A317" s="9" t="n"/>
      <c r="B317" s="3" t="n"/>
      <c r="C317" s="2" t="n"/>
      <c r="D317" s="2" t="n"/>
      <c r="E317" s="2" t="n"/>
      <c r="F317" s="2" t="n"/>
    </row>
    <row r="318">
      <c r="A318" s="9" t="n"/>
      <c r="B318" s="3" t="n"/>
      <c r="C318" s="2" t="n"/>
      <c r="D318" s="2" t="n"/>
      <c r="E318" s="2" t="n"/>
      <c r="F318" s="2" t="n"/>
    </row>
    <row r="319">
      <c r="A319" s="9" t="n"/>
      <c r="B319" s="3" t="n"/>
      <c r="C319" s="2" t="n"/>
      <c r="D319" s="2" t="n"/>
      <c r="E319" s="2" t="n"/>
      <c r="F319" s="2" t="n"/>
    </row>
    <row r="320">
      <c r="A320" s="9" t="n"/>
      <c r="B320" s="3" t="n"/>
      <c r="C320" s="2" t="n"/>
      <c r="D320" s="2" t="n"/>
      <c r="E320" s="2" t="n"/>
      <c r="F320" s="2" t="n"/>
    </row>
    <row r="321">
      <c r="A321" s="9" t="n"/>
      <c r="B321" s="3" t="n"/>
      <c r="C321" s="2" t="n"/>
      <c r="D321" s="2" t="n"/>
      <c r="E321" s="2" t="n"/>
      <c r="F321" s="2" t="n"/>
    </row>
    <row r="322">
      <c r="A322" s="9" t="n"/>
      <c r="B322" s="3" t="n"/>
      <c r="C322" s="2" t="n"/>
      <c r="D322" s="2" t="n"/>
      <c r="E322" s="2" t="n"/>
      <c r="F322" s="2" t="n"/>
    </row>
    <row r="323">
      <c r="A323" s="9" t="n"/>
      <c r="B323" s="3" t="n"/>
      <c r="C323" s="2" t="n"/>
      <c r="D323" s="2" t="n"/>
      <c r="E323" s="2" t="n"/>
      <c r="F323" s="2" t="n"/>
    </row>
    <row r="324">
      <c r="A324" s="9" t="n"/>
      <c r="B324" s="3" t="n"/>
      <c r="C324" s="2" t="n"/>
      <c r="D324" s="2" t="n"/>
      <c r="E324" s="2" t="n"/>
      <c r="F324" s="2" t="n"/>
    </row>
    <row r="325">
      <c r="A325" s="9" t="n"/>
      <c r="B325" s="3" t="n"/>
      <c r="C325" s="2" t="n"/>
      <c r="D325" s="2" t="n"/>
      <c r="E325" s="2" t="n"/>
      <c r="F325" s="2" t="n"/>
    </row>
    <row r="326">
      <c r="A326" s="9" t="n"/>
      <c r="B326" s="3" t="n"/>
      <c r="C326" s="2" t="n"/>
      <c r="D326" s="2" t="n"/>
      <c r="E326" s="2" t="n"/>
      <c r="F326" s="2" t="n"/>
    </row>
    <row r="327">
      <c r="A327" s="9" t="n"/>
      <c r="B327" s="3" t="n"/>
      <c r="C327" s="2" t="n"/>
      <c r="D327" s="2" t="n"/>
      <c r="E327" s="2" t="n"/>
      <c r="F327" s="2" t="n"/>
    </row>
    <row r="328">
      <c r="A328" s="9" t="n"/>
      <c r="B328" s="3" t="n"/>
      <c r="C328" s="2" t="n"/>
      <c r="D328" s="2" t="n"/>
      <c r="E328" s="2" t="n"/>
      <c r="F328" s="2" t="n"/>
    </row>
    <row r="329">
      <c r="A329" s="9" t="n"/>
      <c r="B329" s="3" t="n"/>
      <c r="C329" s="2" t="n"/>
      <c r="D329" s="2" t="n"/>
      <c r="E329" s="2" t="n"/>
      <c r="F329" s="2" t="n"/>
    </row>
    <row r="330">
      <c r="A330" s="9" t="n"/>
      <c r="B330" s="3" t="n"/>
      <c r="C330" s="2" t="n"/>
      <c r="D330" s="2" t="n"/>
      <c r="E330" s="2" t="n"/>
      <c r="F330" s="2" t="n"/>
    </row>
    <row r="331">
      <c r="A331" s="9" t="n"/>
      <c r="B331" s="3" t="n"/>
      <c r="C331" s="2" t="n"/>
      <c r="D331" s="2" t="n"/>
      <c r="E331" s="2" t="n"/>
      <c r="F331" s="2" t="n"/>
    </row>
    <row r="332">
      <c r="A332" s="9" t="n"/>
      <c r="B332" s="3" t="n"/>
      <c r="C332" s="2" t="n"/>
      <c r="D332" s="2" t="n"/>
      <c r="E332" s="2" t="n"/>
      <c r="F332" s="2" t="n"/>
    </row>
    <row r="333">
      <c r="A333" s="9" t="n"/>
      <c r="B333" s="3" t="n"/>
      <c r="C333" s="2" t="n"/>
      <c r="D333" s="2" t="n"/>
      <c r="E333" s="2" t="n"/>
      <c r="F333" s="2" t="n"/>
    </row>
    <row r="334">
      <c r="A334" s="9" t="n"/>
      <c r="B334" s="3" t="n"/>
      <c r="C334" s="2" t="n"/>
      <c r="D334" s="2" t="n"/>
      <c r="E334" s="2" t="n"/>
      <c r="F334" s="2" t="n"/>
    </row>
    <row r="335">
      <c r="A335" s="9" t="n"/>
      <c r="B335" s="3" t="n"/>
      <c r="C335" s="2" t="n"/>
      <c r="D335" s="2" t="n"/>
      <c r="E335" s="2" t="n"/>
      <c r="F335" s="2" t="n"/>
    </row>
    <row r="336">
      <c r="A336" s="9" t="n"/>
      <c r="B336" s="3" t="n"/>
      <c r="C336" s="2" t="n"/>
      <c r="D336" s="2" t="n"/>
      <c r="E336" s="2" t="n"/>
      <c r="F336" s="2" t="n"/>
    </row>
    <row r="337">
      <c r="A337" s="9" t="n"/>
      <c r="B337" s="3" t="n"/>
      <c r="C337" s="2" t="n"/>
      <c r="D337" s="2" t="n"/>
      <c r="E337" s="2" t="n"/>
      <c r="F337" s="2" t="n"/>
    </row>
    <row r="338">
      <c r="A338" s="9" t="n"/>
      <c r="B338" s="3" t="n"/>
      <c r="C338" s="2" t="n"/>
      <c r="D338" s="2" t="n"/>
      <c r="E338" s="2" t="n"/>
      <c r="F338" s="2" t="n"/>
    </row>
    <row r="339">
      <c r="A339" s="9" t="n"/>
      <c r="B339" s="3" t="n"/>
      <c r="C339" s="2" t="n"/>
      <c r="D339" s="2" t="n"/>
      <c r="E339" s="2" t="n"/>
      <c r="F339" s="2" t="n"/>
    </row>
    <row r="340">
      <c r="A340" s="9" t="n"/>
      <c r="B340" s="3" t="n"/>
      <c r="C340" s="2" t="n"/>
      <c r="D340" s="2" t="n"/>
      <c r="E340" s="2" t="n"/>
      <c r="F340" s="2" t="n"/>
    </row>
    <row r="341">
      <c r="A341" s="9" t="n"/>
      <c r="B341" s="3" t="n"/>
      <c r="C341" s="2" t="n"/>
      <c r="D341" s="2" t="n"/>
      <c r="E341" s="2" t="n"/>
      <c r="F341" s="2" t="n"/>
    </row>
    <row r="342">
      <c r="A342" s="9" t="n"/>
      <c r="B342" s="3" t="n"/>
      <c r="C342" s="2" t="n"/>
      <c r="D342" s="2" t="n"/>
      <c r="E342" s="2" t="n"/>
      <c r="F342" s="2" t="n"/>
    </row>
    <row r="343">
      <c r="A343" s="9" t="n"/>
      <c r="B343" s="3" t="n"/>
      <c r="C343" s="2" t="n"/>
      <c r="D343" s="2" t="n"/>
      <c r="E343" s="2" t="n"/>
      <c r="F343" s="2" t="n"/>
    </row>
    <row r="344">
      <c r="A344" s="9" t="n"/>
      <c r="B344" s="3" t="n"/>
      <c r="C344" s="2" t="n"/>
      <c r="D344" s="2" t="n"/>
      <c r="E344" s="2" t="n"/>
      <c r="F344" s="2" t="n"/>
    </row>
    <row r="345">
      <c r="A345" s="9" t="n"/>
      <c r="B345" s="3" t="n"/>
      <c r="C345" s="2" t="n"/>
      <c r="D345" s="2" t="n"/>
      <c r="E345" s="2" t="n"/>
      <c r="F345" s="2" t="n"/>
    </row>
    <row r="346">
      <c r="A346" s="9" t="n"/>
      <c r="B346" s="3" t="n"/>
      <c r="C346" s="2" t="n"/>
      <c r="D346" s="2" t="n"/>
      <c r="E346" s="2" t="n"/>
      <c r="F346" s="2" t="n"/>
    </row>
    <row r="347">
      <c r="A347" s="9" t="n"/>
      <c r="B347" s="3" t="n"/>
      <c r="C347" s="2" t="n"/>
      <c r="D347" s="2" t="n"/>
      <c r="E347" s="2" t="n"/>
      <c r="F347" s="2" t="n"/>
    </row>
    <row r="348">
      <c r="A348" s="9" t="n"/>
      <c r="B348" s="3" t="n"/>
      <c r="C348" s="2" t="n"/>
      <c r="D348" s="2" t="n"/>
      <c r="E348" s="2" t="n"/>
      <c r="F348" s="2" t="n"/>
    </row>
    <row r="349">
      <c r="A349" s="9" t="n"/>
      <c r="B349" s="3" t="n"/>
      <c r="C349" s="2" t="n"/>
      <c r="D349" s="2" t="n"/>
      <c r="E349" s="2" t="n"/>
      <c r="F349" s="2" t="n"/>
    </row>
    <row r="350">
      <c r="A350" s="9" t="n"/>
      <c r="B350" s="3" t="n"/>
      <c r="C350" s="2" t="n"/>
      <c r="D350" s="2" t="n"/>
      <c r="E350" s="2" t="n"/>
      <c r="F350" s="2" t="n"/>
    </row>
    <row r="351">
      <c r="A351" s="9" t="n"/>
      <c r="B351" s="3" t="n"/>
      <c r="C351" s="2" t="n"/>
      <c r="D351" s="2" t="n"/>
      <c r="E351" s="2" t="n"/>
      <c r="F351" s="2" t="n"/>
    </row>
    <row r="352">
      <c r="A352" s="9" t="n"/>
      <c r="B352" s="3" t="n"/>
      <c r="C352" s="2" t="n"/>
      <c r="D352" s="2" t="n"/>
      <c r="E352" s="2" t="n"/>
      <c r="F352" s="2" t="n"/>
    </row>
    <row r="353">
      <c r="A353" s="9" t="n"/>
      <c r="B353" s="3" t="n"/>
      <c r="C353" s="2" t="n"/>
      <c r="D353" s="2" t="n"/>
      <c r="E353" s="2" t="n"/>
      <c r="F353" s="2" t="n"/>
    </row>
    <row r="354">
      <c r="A354" s="9" t="n"/>
      <c r="B354" s="3" t="n"/>
      <c r="C354" s="2" t="n"/>
      <c r="D354" s="2" t="n"/>
      <c r="E354" s="2" t="n"/>
      <c r="F354" s="2" t="n"/>
    </row>
    <row r="355">
      <c r="A355" s="9" t="n"/>
      <c r="B355" s="3" t="n"/>
      <c r="C355" s="2" t="n"/>
      <c r="D355" s="2" t="n"/>
      <c r="E355" s="2" t="n"/>
      <c r="F355" s="2" t="n"/>
    </row>
    <row r="356">
      <c r="A356" s="9" t="n"/>
      <c r="B356" s="3" t="n"/>
      <c r="C356" s="2" t="n"/>
      <c r="D356" s="2" t="n"/>
      <c r="E356" s="2" t="n"/>
      <c r="F356" s="2" t="n"/>
    </row>
    <row r="357">
      <c r="A357" s="9" t="n"/>
      <c r="B357" s="3" t="n"/>
      <c r="C357" s="2" t="n"/>
      <c r="D357" s="2" t="n"/>
      <c r="E357" s="2" t="n"/>
      <c r="F357" s="2" t="n"/>
    </row>
    <row r="358">
      <c r="A358" s="9" t="n"/>
      <c r="B358" s="3" t="n"/>
      <c r="C358" s="2" t="n"/>
      <c r="D358" s="2" t="n"/>
      <c r="E358" s="2" t="n"/>
      <c r="F358" s="2" t="n"/>
    </row>
    <row r="359">
      <c r="A359" s="9" t="n"/>
      <c r="B359" s="3" t="n"/>
      <c r="C359" s="2" t="n"/>
      <c r="D359" s="2" t="n"/>
      <c r="E359" s="2" t="n"/>
      <c r="F359" s="2" t="n"/>
    </row>
    <row r="360">
      <c r="A360" s="9" t="n"/>
      <c r="B360" s="3" t="n"/>
      <c r="C360" s="2" t="n"/>
      <c r="D360" s="2" t="n"/>
      <c r="E360" s="2" t="n"/>
      <c r="F360" s="2" t="n"/>
    </row>
    <row r="361">
      <c r="A361" s="9" t="n"/>
      <c r="B361" s="3" t="n"/>
      <c r="C361" s="2" t="n"/>
      <c r="D361" s="2" t="n"/>
      <c r="E361" s="2" t="n"/>
      <c r="F361" s="2" t="n"/>
    </row>
    <row r="362">
      <c r="A362" s="9" t="n"/>
      <c r="B362" s="3" t="n"/>
      <c r="C362" s="2" t="n"/>
      <c r="D362" s="2" t="n"/>
      <c r="E362" s="2" t="n"/>
      <c r="F362" s="2" t="n"/>
    </row>
    <row r="363">
      <c r="A363" s="9" t="n"/>
      <c r="B363" s="3" t="n"/>
      <c r="C363" s="2" t="n"/>
      <c r="D363" s="2" t="n"/>
      <c r="E363" s="2" t="n"/>
      <c r="F363" s="2" t="n"/>
    </row>
    <row r="364">
      <c r="A364" s="9" t="n"/>
      <c r="B364" s="3" t="n"/>
      <c r="C364" s="2" t="n"/>
      <c r="D364" s="2" t="n"/>
      <c r="E364" s="2" t="n"/>
      <c r="F364" s="2" t="n"/>
    </row>
    <row r="365">
      <c r="A365" s="9" t="n"/>
      <c r="B365" s="3" t="n"/>
      <c r="C365" s="2" t="n"/>
      <c r="D365" s="2" t="n"/>
      <c r="E365" s="2" t="n"/>
      <c r="F365" s="2" t="n"/>
    </row>
    <row r="366">
      <c r="A366" s="9" t="n"/>
      <c r="B366" s="3" t="n"/>
      <c r="C366" s="2" t="n"/>
      <c r="D366" s="2" t="n"/>
      <c r="E366" s="2" t="n"/>
      <c r="F366" s="2" t="n"/>
    </row>
    <row r="367">
      <c r="A367" s="9" t="n"/>
      <c r="B367" s="3" t="n"/>
      <c r="C367" s="2" t="n"/>
      <c r="D367" s="2" t="n"/>
      <c r="E367" s="2" t="n"/>
      <c r="F367" s="2" t="n"/>
    </row>
    <row r="368">
      <c r="A368" s="9" t="n"/>
      <c r="B368" s="3" t="n"/>
      <c r="C368" s="2" t="n"/>
      <c r="D368" s="2" t="n"/>
      <c r="E368" s="2" t="n"/>
      <c r="F368" s="2" t="n"/>
    </row>
    <row r="369">
      <c r="A369" s="9" t="n"/>
      <c r="B369" s="3" t="n"/>
      <c r="C369" s="2" t="n"/>
      <c r="D369" s="2" t="n"/>
      <c r="E369" s="2" t="n"/>
      <c r="F369" s="2" t="n"/>
    </row>
    <row r="370">
      <c r="A370" s="9" t="n"/>
      <c r="B370" s="3" t="n"/>
      <c r="C370" s="2" t="n"/>
      <c r="D370" s="2" t="n"/>
      <c r="E370" s="2" t="n"/>
      <c r="F370" s="2" t="n"/>
    </row>
    <row r="371">
      <c r="A371" s="9" t="n"/>
      <c r="B371" s="3" t="n"/>
      <c r="C371" s="2" t="n"/>
      <c r="D371" s="2" t="n"/>
      <c r="E371" s="2" t="n"/>
      <c r="F371" s="2" t="n"/>
    </row>
    <row r="372">
      <c r="A372" s="9" t="n"/>
      <c r="B372" s="3" t="n"/>
      <c r="C372" s="2" t="n"/>
      <c r="D372" s="2" t="n"/>
      <c r="E372" s="2" t="n"/>
      <c r="F372" s="2" t="n"/>
    </row>
    <row r="373">
      <c r="A373" s="9" t="n"/>
      <c r="B373" s="3" t="n"/>
      <c r="C373" s="2" t="n"/>
      <c r="D373" s="2" t="n"/>
      <c r="E373" s="2" t="n"/>
      <c r="F373" s="2" t="n"/>
    </row>
    <row r="374">
      <c r="A374" s="9" t="n"/>
      <c r="B374" s="3" t="n"/>
      <c r="C374" s="2" t="n"/>
      <c r="D374" s="2" t="n"/>
      <c r="E374" s="2" t="n"/>
      <c r="F374" s="2" t="n"/>
    </row>
    <row r="375">
      <c r="A375" s="9" t="n"/>
      <c r="B375" s="3" t="n"/>
      <c r="C375" s="2" t="n"/>
      <c r="D375" s="2" t="n"/>
      <c r="E375" s="2" t="n"/>
      <c r="F375" s="2" t="n"/>
    </row>
    <row r="376">
      <c r="A376" s="9" t="n"/>
      <c r="B376" s="3" t="n"/>
      <c r="C376" s="2" t="n"/>
      <c r="D376" s="2" t="n"/>
      <c r="E376" s="2" t="n"/>
      <c r="F376" s="2" t="n"/>
    </row>
    <row r="377">
      <c r="A377" s="9" t="n"/>
      <c r="B377" s="3" t="n"/>
      <c r="C377" s="2" t="n"/>
      <c r="D377" s="2" t="n"/>
      <c r="E377" s="2" t="n"/>
      <c r="F377" s="2" t="n"/>
    </row>
    <row r="378">
      <c r="A378" s="9" t="n"/>
      <c r="B378" s="3" t="n"/>
      <c r="C378" s="2" t="n"/>
      <c r="D378" s="2" t="n"/>
      <c r="E378" s="2" t="n"/>
      <c r="F378" s="2" t="n"/>
    </row>
    <row r="379">
      <c r="A379" s="9" t="n"/>
      <c r="B379" s="3" t="n"/>
      <c r="C379" s="2" t="n"/>
      <c r="D379" s="2" t="n"/>
      <c r="E379" s="2" t="n"/>
      <c r="F379" s="2" t="n"/>
    </row>
    <row r="380">
      <c r="A380" s="9" t="n"/>
      <c r="B380" s="3" t="n"/>
      <c r="C380" s="2" t="n"/>
      <c r="D380" s="2" t="n"/>
      <c r="E380" s="2" t="n"/>
      <c r="F380" s="2" t="n"/>
    </row>
    <row r="381">
      <c r="A381" s="9" t="n"/>
      <c r="B381" s="3" t="n"/>
      <c r="C381" s="2" t="n"/>
      <c r="D381" s="2" t="n"/>
      <c r="E381" s="2" t="n"/>
      <c r="F381" s="2" t="n"/>
    </row>
    <row r="382">
      <c r="A382" s="9" t="n"/>
      <c r="B382" s="3" t="n"/>
      <c r="C382" s="2" t="n"/>
      <c r="D382" s="2" t="n"/>
      <c r="E382" s="2" t="n"/>
      <c r="F382" s="2" t="n"/>
    </row>
    <row r="383">
      <c r="A383" s="9" t="n"/>
      <c r="B383" s="3" t="n"/>
      <c r="C383" s="2" t="n"/>
      <c r="D383" s="2" t="n"/>
      <c r="E383" s="2" t="n"/>
      <c r="F383" s="2" t="n"/>
    </row>
    <row r="384">
      <c r="A384" s="9" t="n"/>
      <c r="B384" s="3" t="n"/>
      <c r="C384" s="2" t="n"/>
      <c r="D384" s="2" t="n"/>
      <c r="E384" s="2" t="n"/>
      <c r="F384" s="2" t="n"/>
    </row>
    <row r="385">
      <c r="A385" s="9" t="n"/>
      <c r="B385" s="3" t="n"/>
      <c r="C385" s="2" t="n"/>
      <c r="D385" s="2" t="n"/>
      <c r="E385" s="2" t="n"/>
      <c r="F385" s="2" t="n"/>
    </row>
    <row r="386">
      <c r="A386" s="9" t="n"/>
      <c r="B386" s="3" t="n"/>
      <c r="C386" s="2" t="n"/>
      <c r="D386" s="2" t="n"/>
      <c r="E386" s="2" t="n"/>
      <c r="F386" s="2" t="n"/>
    </row>
    <row r="387">
      <c r="A387" s="9" t="n"/>
      <c r="B387" s="3" t="n"/>
      <c r="C387" s="2" t="n"/>
      <c r="D387" s="2" t="n"/>
      <c r="E387" s="2" t="n"/>
      <c r="F387" s="2" t="n"/>
    </row>
    <row r="388">
      <c r="A388" s="9" t="n"/>
      <c r="B388" s="3" t="n"/>
      <c r="C388" s="2" t="n"/>
      <c r="D388" s="2" t="n"/>
      <c r="E388" s="2" t="n"/>
      <c r="F388" s="2" t="n"/>
    </row>
    <row r="389">
      <c r="A389" s="9" t="n"/>
      <c r="B389" s="3" t="n"/>
      <c r="C389" s="2" t="n"/>
      <c r="D389" s="2" t="n"/>
      <c r="E389" s="2" t="n"/>
      <c r="F389" s="2" t="n"/>
    </row>
    <row r="390">
      <c r="A390" s="9" t="n"/>
      <c r="B390" s="3" t="n"/>
      <c r="C390" s="2" t="n"/>
      <c r="D390" s="2" t="n"/>
      <c r="E390" s="2" t="n"/>
      <c r="F390" s="2" t="n"/>
    </row>
    <row r="391">
      <c r="A391" s="9" t="n"/>
      <c r="B391" s="3" t="n"/>
      <c r="C391" s="2" t="n"/>
      <c r="D391" s="2" t="n"/>
      <c r="E391" s="2" t="n"/>
      <c r="F391" s="2" t="n"/>
    </row>
    <row r="392">
      <c r="A392" s="9" t="n"/>
      <c r="B392" s="3" t="n"/>
      <c r="C392" s="2" t="n"/>
      <c r="D392" s="2" t="n"/>
      <c r="E392" s="2" t="n"/>
      <c r="F392" s="2" t="n"/>
    </row>
    <row r="393">
      <c r="A393" s="9" t="n"/>
      <c r="B393" s="3" t="n"/>
      <c r="C393" s="2" t="n"/>
      <c r="D393" s="2" t="n"/>
      <c r="E393" s="2" t="n"/>
      <c r="F393" s="2" t="n"/>
    </row>
    <row r="394">
      <c r="A394" s="9" t="n"/>
      <c r="B394" s="3" t="n"/>
      <c r="C394" s="2" t="n"/>
      <c r="D394" s="2" t="n"/>
      <c r="E394" s="2" t="n"/>
      <c r="F394" s="2" t="n"/>
    </row>
    <row r="395">
      <c r="A395" s="9" t="n"/>
      <c r="B395" s="3" t="n"/>
      <c r="C395" s="2" t="n"/>
      <c r="D395" s="2" t="n"/>
      <c r="E395" s="2" t="n"/>
      <c r="F395" s="2" t="n"/>
    </row>
    <row r="396">
      <c r="A396" s="9" t="n"/>
      <c r="B396" s="3" t="n"/>
      <c r="C396" s="2" t="n"/>
      <c r="D396" s="2" t="n"/>
      <c r="E396" s="2" t="n"/>
      <c r="F396" s="2" t="n"/>
    </row>
    <row r="397">
      <c r="A397" s="9" t="n"/>
      <c r="B397" s="3" t="n"/>
      <c r="C397" s="2" t="n"/>
      <c r="D397" s="2" t="n"/>
      <c r="E397" s="2" t="n"/>
      <c r="F397" s="2" t="n"/>
    </row>
    <row r="398">
      <c r="A398" s="9" t="n"/>
      <c r="B398" s="3" t="n"/>
      <c r="C398" s="2" t="n"/>
      <c r="D398" s="2" t="n"/>
      <c r="E398" s="2" t="n"/>
      <c r="F398" s="2" t="n"/>
    </row>
    <row r="399">
      <c r="A399" s="9" t="n"/>
      <c r="B399" s="3" t="n"/>
      <c r="C399" s="2" t="n"/>
      <c r="D399" s="2" t="n"/>
      <c r="E399" s="2" t="n"/>
      <c r="F399" s="2" t="n"/>
    </row>
    <row r="400">
      <c r="A400" s="9" t="n"/>
      <c r="B400" s="3" t="n"/>
      <c r="C400" s="2" t="n"/>
      <c r="D400" s="2" t="n"/>
      <c r="E400" s="2" t="n"/>
      <c r="F400" s="2" t="n"/>
    </row>
    <row r="401">
      <c r="A401" s="9" t="n"/>
      <c r="B401" s="3" t="n"/>
      <c r="C401" s="2" t="n"/>
      <c r="D401" s="2" t="n"/>
      <c r="E401" s="2" t="n"/>
      <c r="F401" s="2" t="n"/>
    </row>
    <row r="402">
      <c r="A402" s="9" t="n"/>
      <c r="B402" s="3" t="n"/>
      <c r="C402" s="2" t="n"/>
      <c r="D402" s="2" t="n"/>
      <c r="E402" s="2" t="n"/>
      <c r="F402" s="2" t="n"/>
    </row>
    <row r="403">
      <c r="A403" s="9" t="n"/>
      <c r="B403" s="3" t="n"/>
      <c r="C403" s="2" t="n"/>
      <c r="D403" s="2" t="n"/>
      <c r="E403" s="2" t="n"/>
      <c r="F403" s="2" t="n"/>
    </row>
    <row r="404">
      <c r="A404" s="9" t="n"/>
      <c r="B404" s="3" t="n"/>
      <c r="C404" s="2" t="n"/>
      <c r="D404" s="2" t="n"/>
      <c r="E404" s="2" t="n"/>
      <c r="F404" s="2" t="n"/>
    </row>
    <row r="405">
      <c r="A405" s="9" t="n"/>
      <c r="B405" s="3" t="n"/>
      <c r="C405" s="2" t="n"/>
      <c r="D405" s="2" t="n"/>
      <c r="E405" s="2" t="n"/>
      <c r="F405" s="2" t="n"/>
    </row>
    <row r="406">
      <c r="A406" s="9" t="n"/>
      <c r="B406" s="3" t="n"/>
      <c r="C406" s="2" t="n"/>
      <c r="D406" s="2" t="n"/>
      <c r="E406" s="2" t="n"/>
      <c r="F406" s="2" t="n"/>
    </row>
    <row r="407">
      <c r="A407" s="9" t="n"/>
      <c r="B407" s="3" t="n"/>
      <c r="C407" s="2" t="n"/>
      <c r="D407" s="2" t="n"/>
      <c r="E407" s="2" t="n"/>
      <c r="F407" s="2" t="n"/>
    </row>
    <row r="408">
      <c r="A408" s="9" t="n"/>
      <c r="B408" s="3" t="n"/>
      <c r="C408" s="2" t="n"/>
      <c r="D408" s="2" t="n"/>
      <c r="E408" s="2" t="n"/>
      <c r="F408" s="2" t="n"/>
    </row>
    <row r="409">
      <c r="A409" s="9" t="n"/>
      <c r="B409" s="3" t="n"/>
      <c r="C409" s="2" t="n"/>
      <c r="D409" s="2" t="n"/>
      <c r="E409" s="2" t="n"/>
      <c r="F409" s="2" t="n"/>
    </row>
    <row r="410">
      <c r="A410" s="9" t="n"/>
      <c r="B410" s="3" t="n"/>
      <c r="C410" s="2" t="n"/>
      <c r="D410" s="2" t="n"/>
      <c r="E410" s="2" t="n"/>
      <c r="F410" s="2" t="n"/>
    </row>
    <row r="411">
      <c r="A411" s="9" t="n"/>
      <c r="B411" s="3" t="n"/>
      <c r="C411" s="2" t="n"/>
      <c r="D411" s="2" t="n"/>
      <c r="E411" s="2" t="n"/>
      <c r="F411" s="2" t="n"/>
    </row>
    <row r="412">
      <c r="A412" s="9" t="n"/>
      <c r="B412" s="3" t="n"/>
      <c r="C412" s="2" t="n"/>
      <c r="D412" s="2" t="n"/>
      <c r="E412" s="2" t="n"/>
      <c r="F412" s="2" t="n"/>
    </row>
    <row r="413">
      <c r="A413" s="9" t="n"/>
      <c r="B413" s="3" t="n"/>
      <c r="C413" s="2" t="n"/>
      <c r="D413" s="2" t="n"/>
      <c r="E413" s="2" t="n"/>
      <c r="F413" s="2" t="n"/>
    </row>
    <row r="414">
      <c r="A414" s="9" t="n"/>
      <c r="B414" s="3" t="n"/>
      <c r="C414" s="2" t="n"/>
      <c r="D414" s="2" t="n"/>
      <c r="E414" s="2" t="n"/>
      <c r="F414" s="2" t="n"/>
    </row>
    <row r="415">
      <c r="A415" s="9" t="n"/>
      <c r="B415" s="3" t="n"/>
      <c r="C415" s="2" t="n"/>
      <c r="D415" s="2" t="n"/>
      <c r="E415" s="2" t="n"/>
      <c r="F415" s="2" t="n"/>
    </row>
    <row r="416">
      <c r="A416" s="9" t="n"/>
      <c r="B416" s="3" t="n"/>
      <c r="C416" s="2" t="n"/>
      <c r="D416" s="2" t="n"/>
      <c r="E416" s="2" t="n"/>
      <c r="F416" s="2" t="n"/>
    </row>
    <row r="417">
      <c r="A417" s="9" t="n"/>
      <c r="B417" s="3" t="n"/>
      <c r="C417" s="2" t="n"/>
      <c r="D417" s="2" t="n"/>
      <c r="E417" s="2" t="n"/>
      <c r="F417" s="2" t="n"/>
    </row>
    <row r="418">
      <c r="A418" s="9" t="n"/>
      <c r="B418" s="3" t="n"/>
      <c r="C418" s="2" t="n"/>
      <c r="D418" s="2" t="n"/>
      <c r="E418" s="2" t="n"/>
      <c r="F418" s="2" t="n"/>
    </row>
    <row r="419">
      <c r="A419" s="9" t="n"/>
      <c r="B419" s="3" t="n"/>
      <c r="C419" s="2" t="n"/>
      <c r="D419" s="2" t="n"/>
      <c r="E419" s="2" t="n"/>
      <c r="F419" s="2" t="n"/>
    </row>
    <row r="420">
      <c r="A420" s="9" t="n"/>
      <c r="B420" s="3" t="n"/>
      <c r="C420" s="2" t="n"/>
      <c r="D420" s="2" t="n"/>
      <c r="E420" s="2" t="n"/>
      <c r="F420" s="2" t="n"/>
    </row>
    <row r="421">
      <c r="A421" s="9" t="n"/>
      <c r="B421" s="3" t="n"/>
      <c r="C421" s="2" t="n"/>
      <c r="D421" s="2" t="n"/>
      <c r="E421" s="2" t="n"/>
      <c r="F421" s="2" t="n"/>
    </row>
    <row r="422">
      <c r="A422" s="9" t="n"/>
      <c r="B422" s="3" t="n"/>
      <c r="C422" s="2" t="n"/>
      <c r="D422" s="2" t="n"/>
      <c r="E422" s="2" t="n"/>
      <c r="F422" s="2" t="n"/>
    </row>
    <row r="423">
      <c r="A423" s="9" t="n"/>
      <c r="B423" s="3" t="n"/>
      <c r="C423" s="2" t="n"/>
      <c r="D423" s="2" t="n"/>
      <c r="E423" s="2" t="n"/>
      <c r="F423" s="2" t="n"/>
    </row>
    <row r="424">
      <c r="A424" s="9" t="n"/>
      <c r="B424" s="3" t="n"/>
      <c r="C424" s="2" t="n"/>
      <c r="D424" s="2" t="n"/>
      <c r="E424" s="2" t="n"/>
      <c r="F424" s="2" t="n"/>
    </row>
    <row r="425">
      <c r="A425" s="9" t="n"/>
      <c r="B425" s="3" t="n"/>
      <c r="C425" s="2" t="n"/>
      <c r="D425" s="2" t="n"/>
      <c r="E425" s="2" t="n"/>
      <c r="F425" s="2" t="n"/>
    </row>
    <row r="426">
      <c r="A426" s="9" t="n"/>
      <c r="B426" s="3" t="n"/>
      <c r="C426" s="2" t="n"/>
      <c r="D426" s="2" t="n"/>
      <c r="E426" s="2" t="n"/>
      <c r="F426" s="2" t="n"/>
    </row>
    <row r="427">
      <c r="A427" s="9" t="n"/>
      <c r="B427" s="3" t="n"/>
      <c r="C427" s="2" t="n"/>
      <c r="D427" s="2" t="n"/>
      <c r="E427" s="2" t="n"/>
      <c r="F427" s="2" t="n"/>
    </row>
    <row r="428">
      <c r="A428" s="9" t="n"/>
      <c r="B428" s="3" t="n"/>
      <c r="C428" s="2" t="n"/>
      <c r="D428" s="2" t="n"/>
      <c r="E428" s="2" t="n"/>
      <c r="F428" s="2" t="n"/>
    </row>
    <row r="429">
      <c r="A429" s="9" t="n"/>
      <c r="B429" s="3" t="n"/>
      <c r="C429" s="2" t="n"/>
      <c r="D429" s="2" t="n"/>
      <c r="E429" s="2" t="n"/>
      <c r="F429" s="2" t="n"/>
    </row>
    <row r="430">
      <c r="A430" s="9" t="n"/>
      <c r="B430" s="3" t="n"/>
      <c r="C430" s="2" t="n"/>
      <c r="D430" s="2" t="n"/>
      <c r="E430" s="2" t="n"/>
      <c r="F430" s="2" t="n"/>
    </row>
    <row r="431">
      <c r="A431" s="9" t="n"/>
      <c r="B431" s="3" t="n"/>
      <c r="C431" s="2" t="n"/>
      <c r="D431" s="2" t="n"/>
      <c r="E431" s="2" t="n"/>
      <c r="F431" s="2" t="n"/>
    </row>
    <row r="432">
      <c r="A432" s="9" t="n"/>
      <c r="B432" s="3" t="n"/>
      <c r="C432" s="2" t="n"/>
      <c r="D432" s="2" t="n"/>
      <c r="E432" s="2" t="n"/>
      <c r="F432" s="2" t="n"/>
    </row>
    <row r="433">
      <c r="A433" s="9" t="n"/>
      <c r="B433" s="3" t="n"/>
      <c r="C433" s="2" t="n"/>
      <c r="D433" s="2" t="n"/>
      <c r="E433" s="2" t="n"/>
      <c r="F433" s="2" t="n"/>
    </row>
    <row r="434">
      <c r="A434" s="9" t="n"/>
      <c r="B434" s="3" t="n"/>
      <c r="C434" s="2" t="n"/>
      <c r="D434" s="2" t="n"/>
      <c r="E434" s="2" t="n"/>
      <c r="F434" s="2" t="n"/>
    </row>
    <row r="435">
      <c r="A435" s="9" t="n"/>
      <c r="B435" s="3" t="n"/>
      <c r="C435" s="2" t="n"/>
      <c r="D435" s="2" t="n"/>
      <c r="E435" s="2" t="n"/>
      <c r="F435" s="2" t="n"/>
    </row>
    <row r="436">
      <c r="A436" s="9" t="n"/>
      <c r="B436" s="3" t="n"/>
      <c r="C436" s="2" t="n"/>
      <c r="D436" s="2" t="n"/>
      <c r="E436" s="2" t="n"/>
      <c r="F436" s="2" t="n"/>
    </row>
    <row r="437">
      <c r="A437" s="9" t="n"/>
      <c r="B437" s="3" t="n"/>
      <c r="C437" s="2" t="n"/>
      <c r="D437" s="2" t="n"/>
      <c r="E437" s="2" t="n"/>
      <c r="F437" s="2" t="n"/>
    </row>
    <row r="438">
      <c r="A438" s="9" t="n"/>
      <c r="B438" s="3" t="n"/>
      <c r="C438" s="2" t="n"/>
      <c r="D438" s="2" t="n"/>
      <c r="E438" s="2" t="n"/>
      <c r="F438" s="2" t="n"/>
    </row>
    <row r="439">
      <c r="A439" s="9" t="n"/>
      <c r="B439" s="3" t="n"/>
      <c r="C439" s="2" t="n"/>
      <c r="D439" s="2" t="n"/>
      <c r="E439" s="2" t="n"/>
      <c r="F439" s="2" t="n"/>
    </row>
    <row r="440">
      <c r="A440" s="9" t="n"/>
      <c r="B440" s="3" t="n"/>
      <c r="C440" s="2" t="n"/>
      <c r="D440" s="2" t="n"/>
      <c r="E440" s="2" t="n"/>
      <c r="F440" s="2" t="n"/>
    </row>
    <row r="441">
      <c r="A441" s="9" t="n"/>
      <c r="B441" s="3" t="n"/>
      <c r="C441" s="2" t="n"/>
      <c r="D441" s="2" t="n"/>
      <c r="E441" s="2" t="n"/>
      <c r="F441" s="2" t="n"/>
    </row>
    <row r="442">
      <c r="A442" s="9" t="n"/>
      <c r="B442" s="3" t="n"/>
      <c r="C442" s="2" t="n"/>
      <c r="D442" s="2" t="n"/>
      <c r="E442" s="2" t="n"/>
      <c r="F442" s="2" t="n"/>
    </row>
    <row r="443">
      <c r="A443" s="9" t="n"/>
      <c r="B443" s="3" t="n"/>
      <c r="C443" s="2" t="n"/>
      <c r="D443" s="2" t="n"/>
      <c r="E443" s="2" t="n"/>
      <c r="F443" s="2" t="n"/>
    </row>
    <row r="444">
      <c r="A444" s="9" t="n"/>
      <c r="B444" s="3" t="n"/>
      <c r="C444" s="2" t="n"/>
      <c r="D444" s="2" t="n"/>
      <c r="E444" s="2" t="n"/>
      <c r="F444" s="2" t="n"/>
    </row>
    <row r="445">
      <c r="A445" s="9" t="n"/>
      <c r="B445" s="3" t="n"/>
      <c r="C445" s="2" t="n"/>
      <c r="D445" s="2" t="n"/>
      <c r="E445" s="2" t="n"/>
      <c r="F445" s="2" t="n"/>
    </row>
    <row r="446">
      <c r="A446" s="9" t="n"/>
      <c r="B446" s="3" t="n"/>
      <c r="C446" s="2" t="n"/>
      <c r="D446" s="2" t="n"/>
      <c r="E446" s="2" t="n"/>
      <c r="F446" s="2" t="n"/>
    </row>
    <row r="447">
      <c r="A447" s="9" t="n"/>
      <c r="B447" s="3" t="n"/>
      <c r="C447" s="2" t="n"/>
      <c r="D447" s="2" t="n"/>
      <c r="E447" s="2" t="n"/>
      <c r="F447" s="2" t="n"/>
    </row>
    <row r="448">
      <c r="A448" s="9" t="n"/>
      <c r="B448" s="3" t="n"/>
      <c r="C448" s="2" t="n"/>
      <c r="D448" s="2" t="n"/>
      <c r="E448" s="2" t="n"/>
      <c r="F448" s="2" t="n"/>
    </row>
    <row r="449">
      <c r="A449" s="9" t="n"/>
      <c r="B449" s="3" t="n"/>
      <c r="C449" s="2" t="n"/>
      <c r="D449" s="2" t="n"/>
      <c r="E449" s="2" t="n"/>
      <c r="F449" s="2" t="n"/>
    </row>
    <row r="450">
      <c r="A450" s="9" t="n"/>
      <c r="B450" s="3" t="n"/>
      <c r="C450" s="2" t="n"/>
      <c r="D450" s="2" t="n"/>
      <c r="E450" s="2" t="n"/>
      <c r="F450" s="2" t="n"/>
    </row>
    <row r="451">
      <c r="A451" s="9" t="n"/>
      <c r="B451" s="3" t="n"/>
      <c r="C451" s="2" t="n"/>
      <c r="D451" s="2" t="n"/>
      <c r="E451" s="2" t="n"/>
      <c r="F451" s="2" t="n"/>
    </row>
    <row r="452">
      <c r="A452" s="9" t="n"/>
      <c r="B452" s="3" t="n"/>
      <c r="C452" s="2" t="n"/>
      <c r="D452" s="2" t="n"/>
      <c r="E452" s="2" t="n"/>
      <c r="F452" s="2" t="n"/>
    </row>
    <row r="453">
      <c r="A453" s="9" t="n"/>
      <c r="B453" s="3" t="n"/>
      <c r="C453" s="2" t="n"/>
      <c r="D453" s="2" t="n"/>
      <c r="E453" s="2" t="n"/>
      <c r="F453" s="2" t="n"/>
    </row>
    <row r="454">
      <c r="A454" s="9" t="n"/>
      <c r="B454" s="3" t="n"/>
      <c r="C454" s="2" t="n"/>
      <c r="D454" s="2" t="n"/>
      <c r="E454" s="2" t="n"/>
      <c r="F454" s="2" t="n"/>
    </row>
    <row r="455">
      <c r="A455" s="9" t="n"/>
      <c r="B455" s="3" t="n"/>
      <c r="C455" s="2" t="n"/>
      <c r="D455" s="2" t="n"/>
      <c r="E455" s="2" t="n"/>
      <c r="F455" s="2" t="n"/>
    </row>
    <row r="456">
      <c r="A456" s="9" t="n"/>
      <c r="B456" s="3" t="n"/>
      <c r="C456" s="2" t="n"/>
      <c r="D456" s="2" t="n"/>
      <c r="E456" s="2" t="n"/>
      <c r="F456" s="2" t="n"/>
    </row>
    <row r="457">
      <c r="A457" s="9" t="n"/>
      <c r="B457" s="3" t="n"/>
      <c r="C457" s="2" t="n"/>
      <c r="D457" s="2" t="n"/>
      <c r="E457" s="2" t="n"/>
      <c r="F457" s="2" t="n"/>
    </row>
    <row r="458">
      <c r="A458" s="9" t="n"/>
      <c r="B458" s="3" t="n"/>
      <c r="C458" s="2" t="n"/>
      <c r="D458" s="2" t="n"/>
      <c r="E458" s="2" t="n"/>
      <c r="F458" s="2" t="n"/>
    </row>
    <row r="459">
      <c r="A459" s="9" t="n"/>
      <c r="B459" s="3" t="n"/>
      <c r="C459" s="2" t="n"/>
      <c r="D459" s="2" t="n"/>
      <c r="E459" s="2" t="n"/>
      <c r="F459" s="2" t="n"/>
    </row>
    <row r="460">
      <c r="A460" s="9" t="n"/>
      <c r="B460" s="3" t="n"/>
      <c r="C460" s="2" t="n"/>
      <c r="D460" s="2" t="n"/>
      <c r="E460" s="2" t="n"/>
      <c r="F460" s="2" t="n"/>
    </row>
    <row r="461">
      <c r="A461" s="9" t="n"/>
      <c r="B461" s="3" t="n"/>
      <c r="C461" s="2" t="n"/>
      <c r="D461" s="2" t="n"/>
      <c r="E461" s="2" t="n"/>
      <c r="F461" s="2" t="n"/>
    </row>
    <row r="462">
      <c r="A462" s="9" t="n"/>
      <c r="B462" s="3" t="n"/>
      <c r="C462" s="2" t="n"/>
      <c r="D462" s="2" t="n"/>
      <c r="E462" s="2" t="n"/>
      <c r="F462" s="2" t="n"/>
    </row>
    <row r="463">
      <c r="A463" s="9" t="n"/>
      <c r="B463" s="3" t="n"/>
      <c r="C463" s="2" t="n"/>
      <c r="D463" s="2" t="n"/>
      <c r="E463" s="2" t="n"/>
      <c r="F463" s="2" t="n"/>
    </row>
    <row r="464">
      <c r="A464" s="9" t="n"/>
      <c r="B464" s="3" t="n"/>
      <c r="C464" s="2" t="n"/>
      <c r="D464" s="2" t="n"/>
      <c r="E464" s="2" t="n"/>
      <c r="F464" s="2" t="n"/>
    </row>
    <row r="465">
      <c r="A465" s="9" t="n"/>
      <c r="B465" s="3" t="n"/>
      <c r="C465" s="2" t="n"/>
      <c r="D465" s="2" t="n"/>
      <c r="E465" s="2" t="n"/>
      <c r="F465" s="2" t="n"/>
    </row>
    <row r="466">
      <c r="A466" s="9" t="n"/>
      <c r="B466" s="3" t="n"/>
      <c r="C466" s="2" t="n"/>
      <c r="D466" s="2" t="n"/>
      <c r="E466" s="2" t="n"/>
      <c r="F466" s="2" t="n"/>
    </row>
    <row r="467">
      <c r="A467" s="9" t="n"/>
      <c r="B467" s="3" t="n"/>
      <c r="C467" s="2" t="n"/>
      <c r="D467" s="2" t="n"/>
      <c r="E467" s="2" t="n"/>
      <c r="F467" s="2" t="n"/>
    </row>
    <row r="468">
      <c r="A468" s="9" t="n"/>
      <c r="B468" s="3" t="n"/>
      <c r="C468" s="2" t="n"/>
      <c r="D468" s="2" t="n"/>
      <c r="E468" s="2" t="n"/>
      <c r="F468" s="2" t="n"/>
    </row>
    <row r="469">
      <c r="A469" s="9" t="n"/>
      <c r="B469" s="3" t="n"/>
      <c r="C469" s="2" t="n"/>
      <c r="D469" s="2" t="n"/>
      <c r="E469" s="2" t="n"/>
      <c r="F469" s="2" t="n"/>
    </row>
    <row r="470">
      <c r="A470" s="9" t="n"/>
      <c r="B470" s="3" t="n"/>
      <c r="C470" s="2" t="n"/>
      <c r="D470" s="2" t="n"/>
      <c r="E470" s="2" t="n"/>
      <c r="F470" s="2" t="n"/>
    </row>
    <row r="471">
      <c r="A471" s="9" t="n"/>
      <c r="B471" s="3" t="n"/>
      <c r="C471" s="2" t="n"/>
      <c r="D471" s="2" t="n"/>
      <c r="E471" s="2" t="n"/>
      <c r="F471" s="2" t="n"/>
    </row>
    <row r="472">
      <c r="A472" s="9" t="n"/>
      <c r="B472" s="3" t="n"/>
      <c r="C472" s="2" t="n"/>
      <c r="D472" s="2" t="n"/>
      <c r="E472" s="2" t="n"/>
      <c r="F472" s="2" t="n"/>
    </row>
    <row r="473">
      <c r="A473" s="9" t="n"/>
      <c r="B473" s="3" t="n"/>
      <c r="C473" s="2" t="n"/>
      <c r="D473" s="2" t="n"/>
      <c r="E473" s="2" t="n"/>
      <c r="F473" s="2" t="n"/>
    </row>
    <row r="474">
      <c r="A474" s="9" t="n"/>
      <c r="B474" s="3" t="n"/>
      <c r="C474" s="2" t="n"/>
      <c r="D474" s="2" t="n"/>
      <c r="E474" s="2" t="n"/>
      <c r="F474" s="2" t="n"/>
    </row>
    <row r="475">
      <c r="A475" s="9" t="n"/>
      <c r="B475" s="3" t="n"/>
      <c r="C475" s="2" t="n"/>
      <c r="D475" s="2" t="n"/>
      <c r="E475" s="2" t="n"/>
      <c r="F475" s="2" t="n"/>
    </row>
    <row r="476">
      <c r="A476" s="9" t="n"/>
      <c r="B476" s="3" t="n"/>
      <c r="C476" s="2" t="n"/>
      <c r="D476" s="2" t="n"/>
      <c r="E476" s="2" t="n"/>
      <c r="F476" s="2" t="n"/>
    </row>
    <row r="477">
      <c r="A477" s="9" t="n"/>
      <c r="B477" s="3" t="n"/>
      <c r="C477" s="2" t="n"/>
      <c r="D477" s="2" t="n"/>
      <c r="E477" s="2" t="n"/>
      <c r="F477" s="2" t="n"/>
    </row>
    <row r="478">
      <c r="A478" s="9" t="n"/>
      <c r="B478" s="3" t="n"/>
      <c r="C478" s="2" t="n"/>
      <c r="D478" s="2" t="n"/>
      <c r="E478" s="2" t="n"/>
      <c r="F478" s="2" t="n"/>
    </row>
    <row r="479">
      <c r="A479" s="9" t="n"/>
      <c r="B479" s="3" t="n"/>
      <c r="C479" s="2" t="n"/>
      <c r="D479" s="2" t="n"/>
      <c r="E479" s="2" t="n"/>
      <c r="F479" s="2" t="n"/>
    </row>
    <row r="480">
      <c r="A480" s="9" t="n"/>
      <c r="B480" s="3" t="n"/>
      <c r="C480" s="2" t="n"/>
      <c r="D480" s="2" t="n"/>
      <c r="E480" s="2" t="n"/>
      <c r="F480" s="2" t="n"/>
    </row>
    <row r="481">
      <c r="A481" s="9" t="n"/>
      <c r="B481" s="3" t="n"/>
      <c r="C481" s="2" t="n"/>
      <c r="D481" s="2" t="n"/>
      <c r="E481" s="2" t="n"/>
      <c r="F481" s="2" t="n"/>
    </row>
    <row r="482">
      <c r="A482" s="9" t="n"/>
      <c r="B482" s="3" t="n"/>
      <c r="C482" s="2" t="n"/>
      <c r="D482" s="2" t="n"/>
      <c r="E482" s="2" t="n"/>
      <c r="F482" s="2" t="n"/>
    </row>
    <row r="483">
      <c r="A483" s="9" t="n"/>
      <c r="B483" s="3" t="n"/>
      <c r="C483" s="2" t="n"/>
      <c r="D483" s="2" t="n"/>
      <c r="E483" s="2" t="n"/>
      <c r="F483" s="2" t="n"/>
    </row>
    <row r="484">
      <c r="A484" s="9" t="n"/>
      <c r="B484" s="3" t="n"/>
      <c r="C484" s="2" t="n"/>
      <c r="D484" s="2" t="n"/>
      <c r="E484" s="2" t="n"/>
      <c r="F484" s="2" t="n"/>
    </row>
    <row r="485">
      <c r="A485" s="9" t="n"/>
      <c r="B485" s="3" t="n"/>
      <c r="C485" s="2" t="n"/>
      <c r="D485" s="2" t="n"/>
      <c r="E485" s="2" t="n"/>
      <c r="F485" s="2" t="n"/>
    </row>
    <row r="486">
      <c r="A486" s="9" t="n"/>
      <c r="B486" s="3" t="n"/>
      <c r="C486" s="2" t="n"/>
      <c r="D486" s="2" t="n"/>
      <c r="E486" s="2" t="n"/>
      <c r="F486" s="2" t="n"/>
    </row>
    <row r="487">
      <c r="A487" s="9" t="n"/>
      <c r="B487" s="3" t="n"/>
      <c r="C487" s="2" t="n"/>
      <c r="D487" s="2" t="n"/>
      <c r="E487" s="2" t="n"/>
      <c r="F487" s="2" t="n"/>
    </row>
    <row r="488">
      <c r="A488" s="9" t="n"/>
      <c r="B488" s="3" t="n"/>
      <c r="C488" s="2" t="n"/>
      <c r="D488" s="2" t="n"/>
      <c r="E488" s="2" t="n"/>
      <c r="F488" s="2" t="n"/>
    </row>
    <row r="489">
      <c r="A489" s="9" t="n"/>
      <c r="B489" s="3" t="n"/>
      <c r="C489" s="2" t="n"/>
      <c r="D489" s="2" t="n"/>
      <c r="E489" s="2" t="n"/>
      <c r="F489" s="2" t="n"/>
    </row>
    <row r="490">
      <c r="A490" s="9" t="n"/>
      <c r="B490" s="3" t="n"/>
      <c r="C490" s="2" t="n"/>
      <c r="D490" s="2" t="n"/>
      <c r="E490" s="2" t="n"/>
      <c r="F490" s="2" t="n"/>
    </row>
    <row r="491">
      <c r="A491" s="9" t="n"/>
      <c r="B491" s="3" t="n"/>
      <c r="C491" s="2" t="n"/>
      <c r="D491" s="2" t="n"/>
      <c r="E491" s="2" t="n"/>
      <c r="F491" s="2" t="n"/>
    </row>
    <row r="492">
      <c r="A492" s="9" t="n"/>
      <c r="B492" s="3" t="n"/>
      <c r="C492" s="2" t="n"/>
      <c r="D492" s="2" t="n"/>
      <c r="E492" s="2" t="n"/>
      <c r="F492" s="2" t="n"/>
    </row>
    <row r="493">
      <c r="A493" s="9" t="n"/>
      <c r="B493" s="3" t="n"/>
      <c r="C493" s="2" t="n"/>
      <c r="D493" s="2" t="n"/>
      <c r="E493" s="2" t="n"/>
      <c r="F493" s="2" t="n"/>
    </row>
    <row r="494">
      <c r="A494" s="9" t="n"/>
      <c r="B494" s="3" t="n"/>
      <c r="C494" s="2" t="n"/>
      <c r="D494" s="2" t="n"/>
      <c r="E494" s="2" t="n"/>
      <c r="F494" s="2" t="n"/>
    </row>
    <row r="495">
      <c r="A495" s="9" t="n"/>
      <c r="B495" s="3" t="n"/>
      <c r="C495" s="2" t="n"/>
      <c r="D495" s="2" t="n"/>
      <c r="E495" s="2" t="n"/>
      <c r="F495" s="2" t="n"/>
    </row>
    <row r="496">
      <c r="A496" s="9" t="n"/>
      <c r="B496" s="3" t="n"/>
      <c r="C496" s="2" t="n"/>
      <c r="D496" s="2" t="n"/>
      <c r="E496" s="2" t="n"/>
      <c r="F496" s="2" t="n"/>
    </row>
    <row r="497">
      <c r="A497" s="9" t="n"/>
      <c r="B497" s="3" t="n"/>
      <c r="C497" s="2" t="n"/>
      <c r="D497" s="2" t="n"/>
      <c r="E497" s="2" t="n"/>
      <c r="F497" s="2" t="n"/>
    </row>
    <row r="498">
      <c r="A498" s="9" t="n"/>
      <c r="B498" s="3" t="n"/>
      <c r="C498" s="2" t="n"/>
      <c r="D498" s="2" t="n"/>
      <c r="E498" s="2" t="n"/>
      <c r="F498" s="2" t="n"/>
    </row>
    <row r="499">
      <c r="A499" s="9" t="n"/>
      <c r="B499" s="3" t="n"/>
      <c r="C499" s="2" t="n"/>
      <c r="D499" s="2" t="n"/>
      <c r="E499" s="2" t="n"/>
      <c r="F499" s="2" t="n"/>
    </row>
    <row r="500">
      <c r="A500" s="9" t="n"/>
      <c r="B500" s="3" t="n"/>
      <c r="C500" s="2" t="n"/>
      <c r="D500" s="2" t="n"/>
      <c r="E500" s="2" t="n"/>
      <c r="F500" s="2" t="n"/>
    </row>
    <row r="501">
      <c r="A501" s="9" t="n"/>
      <c r="B501" s="3" t="n"/>
      <c r="C501" s="2" t="n"/>
      <c r="D501" s="2" t="n"/>
      <c r="E501" s="2" t="n"/>
      <c r="F501" s="2" t="n"/>
    </row>
    <row r="502">
      <c r="A502" s="9" t="n"/>
      <c r="B502" s="3" t="n"/>
      <c r="C502" s="2" t="n"/>
      <c r="D502" s="2" t="n"/>
      <c r="E502" s="2" t="n"/>
      <c r="F502" s="2" t="n"/>
    </row>
    <row r="503">
      <c r="A503" s="9" t="n"/>
      <c r="B503" s="3" t="n"/>
      <c r="C503" s="2" t="n"/>
      <c r="D503" s="2" t="n"/>
      <c r="E503" s="2" t="n"/>
      <c r="F503" s="2" t="n"/>
    </row>
    <row r="504">
      <c r="A504" s="9" t="n"/>
      <c r="B504" s="3" t="n"/>
      <c r="C504" s="2" t="n"/>
      <c r="D504" s="2" t="n"/>
      <c r="E504" s="2" t="n"/>
      <c r="F504" s="2" t="n"/>
    </row>
    <row r="505">
      <c r="A505" s="9" t="n"/>
      <c r="B505" s="3" t="n"/>
      <c r="C505" s="2" t="n"/>
      <c r="D505" s="2" t="n"/>
      <c r="E505" s="2" t="n"/>
      <c r="F505" s="2" t="n"/>
    </row>
    <row r="506">
      <c r="A506" s="9" t="n"/>
      <c r="B506" s="3" t="n"/>
      <c r="C506" s="2" t="n"/>
      <c r="D506" s="2" t="n"/>
      <c r="E506" s="2" t="n"/>
      <c r="F506" s="2" t="n"/>
    </row>
    <row r="507">
      <c r="A507" s="9" t="n"/>
      <c r="B507" s="3" t="n"/>
      <c r="C507" s="2" t="n"/>
      <c r="D507" s="2" t="n"/>
      <c r="E507" s="2" t="n"/>
      <c r="F507" s="2" t="n"/>
    </row>
    <row r="508">
      <c r="A508" s="9" t="n"/>
      <c r="B508" s="3" t="n"/>
      <c r="C508" s="2" t="n"/>
      <c r="D508" s="2" t="n"/>
      <c r="E508" s="2" t="n"/>
      <c r="F508" s="2" t="n"/>
    </row>
    <row r="509">
      <c r="A509" s="9" t="n"/>
      <c r="B509" s="3" t="n"/>
      <c r="C509" s="2" t="n"/>
      <c r="D509" s="2" t="n"/>
      <c r="E509" s="2" t="n"/>
      <c r="F509" s="2" t="n"/>
    </row>
    <row r="510">
      <c r="A510" s="9" t="n"/>
      <c r="B510" s="3" t="n"/>
      <c r="C510" s="2" t="n"/>
      <c r="D510" s="2" t="n"/>
      <c r="E510" s="2" t="n"/>
      <c r="F510" s="2" t="n"/>
    </row>
    <row r="511">
      <c r="A511" s="9" t="n"/>
      <c r="B511" s="3" t="n"/>
      <c r="C511" s="2" t="n"/>
      <c r="D511" s="2" t="n"/>
      <c r="E511" s="2" t="n"/>
      <c r="F511" s="2" t="n"/>
    </row>
    <row r="512">
      <c r="A512" s="9" t="n"/>
      <c r="B512" s="3" t="n"/>
      <c r="C512" s="2" t="n"/>
      <c r="D512" s="2" t="n"/>
      <c r="E512" s="2" t="n"/>
      <c r="F512" s="2" t="n"/>
    </row>
    <row r="513">
      <c r="A513" s="9" t="n"/>
      <c r="B513" s="3" t="n"/>
      <c r="C513" s="2" t="n"/>
      <c r="D513" s="2" t="n"/>
      <c r="E513" s="2" t="n"/>
      <c r="F513" s="2" t="n"/>
    </row>
    <row r="514">
      <c r="A514" s="9" t="n"/>
      <c r="B514" s="3" t="n"/>
      <c r="C514" s="2" t="n"/>
      <c r="D514" s="2" t="n"/>
      <c r="E514" s="2" t="n"/>
      <c r="F514" s="2" t="n"/>
    </row>
    <row r="515">
      <c r="A515" s="9" t="n"/>
      <c r="B515" s="3" t="n"/>
      <c r="C515" s="2" t="n"/>
      <c r="D515" s="2" t="n"/>
      <c r="E515" s="2" t="n"/>
      <c r="F515" s="2" t="n"/>
    </row>
    <row r="516">
      <c r="A516" s="9" t="n"/>
      <c r="B516" s="3" t="n"/>
      <c r="C516" s="2" t="n"/>
      <c r="D516" s="2" t="n"/>
      <c r="E516" s="2" t="n"/>
      <c r="F516" s="2" t="n"/>
    </row>
    <row r="517">
      <c r="A517" s="9" t="n"/>
      <c r="B517" s="3" t="n"/>
      <c r="C517" s="2" t="n"/>
      <c r="D517" s="2" t="n"/>
      <c r="E517" s="2" t="n"/>
      <c r="F517" s="2" t="n"/>
    </row>
    <row r="518">
      <c r="A518" s="9" t="n"/>
      <c r="B518" s="3" t="n"/>
      <c r="C518" s="2" t="n"/>
      <c r="D518" s="2" t="n"/>
      <c r="E518" s="2" t="n"/>
      <c r="F518" s="2" t="n"/>
    </row>
    <row r="519">
      <c r="A519" s="9" t="n"/>
      <c r="B519" s="3" t="n"/>
      <c r="C519" s="2" t="n"/>
      <c r="D519" s="2" t="n"/>
      <c r="E519" s="2" t="n"/>
      <c r="F519" s="2" t="n"/>
    </row>
    <row r="520">
      <c r="A520" s="9" t="n"/>
      <c r="B520" s="3" t="n"/>
      <c r="C520" s="2" t="n"/>
      <c r="D520" s="2" t="n"/>
      <c r="E520" s="2" t="n"/>
      <c r="F520" s="2" t="n"/>
    </row>
    <row r="521">
      <c r="A521" s="9" t="n"/>
      <c r="B521" s="3" t="n"/>
      <c r="C521" s="2" t="n"/>
      <c r="D521" s="2" t="n"/>
      <c r="E521" s="2" t="n"/>
      <c r="F521" s="2" t="n"/>
    </row>
    <row r="522">
      <c r="A522" s="9" t="n"/>
      <c r="B522" s="3" t="n"/>
      <c r="C522" s="2" t="n"/>
      <c r="D522" s="2" t="n"/>
      <c r="E522" s="2" t="n"/>
      <c r="F522" s="2" t="n"/>
    </row>
    <row r="523">
      <c r="A523" s="9" t="n"/>
      <c r="B523" s="3" t="n"/>
      <c r="C523" s="2" t="n"/>
      <c r="D523" s="2" t="n"/>
      <c r="E523" s="2" t="n"/>
      <c r="F523" s="2" t="n"/>
    </row>
    <row r="524">
      <c r="A524" s="9" t="n"/>
      <c r="B524" s="3" t="n"/>
      <c r="C524" s="2" t="n"/>
      <c r="D524" s="2" t="n"/>
      <c r="E524" s="2" t="n"/>
      <c r="F524" s="2" t="n"/>
    </row>
    <row r="525">
      <c r="A525" s="9" t="n"/>
      <c r="B525" s="3" t="n"/>
      <c r="C525" s="2" t="n"/>
      <c r="D525" s="2" t="n"/>
      <c r="E525" s="2" t="n"/>
      <c r="F525" s="2" t="n"/>
    </row>
    <row r="526">
      <c r="A526" s="9" t="n"/>
      <c r="B526" s="3" t="n"/>
      <c r="C526" s="2" t="n"/>
      <c r="D526" s="2" t="n"/>
      <c r="E526" s="2" t="n"/>
      <c r="F526" s="2" t="n"/>
    </row>
    <row r="527">
      <c r="A527" s="9" t="n"/>
      <c r="B527" s="3" t="n"/>
      <c r="C527" s="2" t="n"/>
      <c r="D527" s="2" t="n"/>
      <c r="E527" s="2" t="n"/>
      <c r="F527" s="2" t="n"/>
    </row>
    <row r="528">
      <c r="A528" s="9" t="n"/>
      <c r="B528" s="3" t="n"/>
      <c r="C528" s="2" t="n"/>
      <c r="D528" s="2" t="n"/>
      <c r="E528" s="2" t="n"/>
      <c r="F528" s="2" t="n"/>
    </row>
    <row r="529">
      <c r="A529" s="9" t="n"/>
      <c r="B529" s="3" t="n"/>
      <c r="C529" s="2" t="n"/>
      <c r="D529" s="2" t="n"/>
      <c r="E529" s="2" t="n"/>
      <c r="F529" s="2" t="n"/>
    </row>
    <row r="530">
      <c r="A530" s="9" t="n"/>
      <c r="B530" s="3" t="n"/>
      <c r="C530" s="2" t="n"/>
      <c r="D530" s="2" t="n"/>
      <c r="E530" s="2" t="n"/>
      <c r="F530" s="2" t="n"/>
    </row>
    <row r="531">
      <c r="A531" s="9" t="n"/>
      <c r="B531" s="3" t="n"/>
      <c r="C531" s="2" t="n"/>
      <c r="D531" s="2" t="n"/>
      <c r="E531" s="2" t="n"/>
      <c r="F531" s="2" t="n"/>
    </row>
    <row r="532">
      <c r="A532" s="9" t="n"/>
      <c r="B532" s="3" t="n"/>
      <c r="C532" s="2" t="n"/>
      <c r="D532" s="2" t="n"/>
      <c r="E532" s="2" t="n"/>
      <c r="F532" s="2" t="n"/>
    </row>
    <row r="533">
      <c r="A533" s="9" t="n"/>
      <c r="B533" s="3" t="n"/>
      <c r="C533" s="2" t="n"/>
      <c r="D533" s="2" t="n"/>
      <c r="E533" s="2" t="n"/>
      <c r="F533" s="2" t="n"/>
    </row>
    <row r="534">
      <c r="A534" s="9" t="n"/>
      <c r="B534" s="3" t="n"/>
      <c r="C534" s="2" t="n"/>
      <c r="D534" s="2" t="n"/>
      <c r="E534" s="2" t="n"/>
      <c r="F534" s="2" t="n"/>
    </row>
    <row r="535">
      <c r="A535" s="9" t="n"/>
      <c r="B535" s="3" t="n"/>
      <c r="C535" s="2" t="n"/>
      <c r="D535" s="2" t="n"/>
      <c r="E535" s="2" t="n"/>
      <c r="F535" s="2" t="n"/>
    </row>
    <row r="536">
      <c r="A536" s="9" t="n"/>
      <c r="B536" s="3" t="n"/>
      <c r="C536" s="2" t="n"/>
      <c r="D536" s="2" t="n"/>
      <c r="E536" s="2" t="n"/>
      <c r="F536" s="2" t="n"/>
    </row>
    <row r="537">
      <c r="A537" s="9" t="n"/>
      <c r="B537" s="3" t="n"/>
      <c r="C537" s="2" t="n"/>
      <c r="D537" s="2" t="n"/>
      <c r="E537" s="2" t="n"/>
      <c r="F537" s="2" t="n"/>
    </row>
    <row r="538">
      <c r="A538" s="9" t="n"/>
      <c r="B538" s="3" t="n"/>
      <c r="C538" s="2" t="n"/>
      <c r="D538" s="2" t="n"/>
      <c r="E538" s="2" t="n"/>
      <c r="F538" s="2" t="n"/>
    </row>
    <row r="539">
      <c r="A539" s="9" t="n"/>
      <c r="B539" s="3" t="n"/>
      <c r="C539" s="2" t="n"/>
      <c r="D539" s="2" t="n"/>
      <c r="E539" s="2" t="n"/>
      <c r="F539" s="2" t="n"/>
    </row>
    <row r="540">
      <c r="A540" s="9" t="n"/>
      <c r="B540" s="3" t="n"/>
      <c r="C540" s="2" t="n"/>
      <c r="D540" s="2" t="n"/>
      <c r="E540" s="2" t="n"/>
      <c r="F540" s="2" t="n"/>
    </row>
    <row r="541">
      <c r="A541" s="9" t="n"/>
      <c r="B541" s="3" t="n"/>
      <c r="C541" s="2" t="n"/>
      <c r="D541" s="2" t="n"/>
      <c r="E541" s="2" t="n"/>
      <c r="F541" s="2" t="n"/>
    </row>
    <row r="542">
      <c r="A542" s="9" t="n"/>
      <c r="B542" s="3" t="n"/>
      <c r="C542" s="2" t="n"/>
      <c r="D542" s="2" t="n"/>
      <c r="E542" s="2" t="n"/>
      <c r="F542" s="2" t="n"/>
    </row>
    <row r="543">
      <c r="A543" s="9" t="n"/>
      <c r="B543" s="3" t="n"/>
      <c r="C543" s="2" t="n"/>
      <c r="D543" s="2" t="n"/>
      <c r="E543" s="2" t="n"/>
      <c r="F543" s="2" t="n"/>
    </row>
    <row r="544">
      <c r="A544" s="9" t="n"/>
      <c r="B544" s="3" t="n"/>
      <c r="C544" s="2" t="n"/>
      <c r="D544" s="2" t="n"/>
      <c r="E544" s="2" t="n"/>
      <c r="F544" s="2" t="n"/>
    </row>
    <row r="545">
      <c r="A545" s="9" t="n"/>
      <c r="B545" s="3" t="n"/>
      <c r="C545" s="2" t="n"/>
      <c r="D545" s="2" t="n"/>
      <c r="E545" s="2" t="n"/>
      <c r="F545" s="2" t="n"/>
    </row>
    <row r="546">
      <c r="A546" s="9" t="n"/>
      <c r="B546" s="3" t="n"/>
      <c r="C546" s="2" t="n"/>
      <c r="D546" s="2" t="n"/>
      <c r="E546" s="2" t="n"/>
      <c r="F546" s="2" t="n"/>
    </row>
    <row r="547">
      <c r="A547" s="9" t="n"/>
      <c r="B547" s="3" t="n"/>
      <c r="C547" s="2" t="n"/>
      <c r="D547" s="2" t="n"/>
      <c r="E547" s="2" t="n"/>
      <c r="F547" s="2" t="n"/>
    </row>
    <row r="548">
      <c r="A548" s="9" t="n"/>
      <c r="B548" s="3" t="n"/>
      <c r="C548" s="2" t="n"/>
      <c r="D548" s="2" t="n"/>
      <c r="E548" s="2" t="n"/>
      <c r="F548" s="2" t="n"/>
    </row>
    <row r="549">
      <c r="A549" s="9" t="n"/>
      <c r="B549" s="3" t="n"/>
      <c r="C549" s="2" t="n"/>
      <c r="D549" s="2" t="n"/>
      <c r="E549" s="2" t="n"/>
      <c r="F549" s="2" t="n"/>
    </row>
    <row r="550">
      <c r="A550" s="9" t="n"/>
      <c r="B550" s="3" t="n"/>
      <c r="C550" s="2" t="n"/>
      <c r="D550" s="2" t="n"/>
      <c r="E550" s="2" t="n"/>
      <c r="F550" s="2" t="n"/>
    </row>
    <row r="551">
      <c r="A551" s="9" t="n"/>
      <c r="B551" s="3" t="n"/>
      <c r="C551" s="2" t="n"/>
      <c r="D551" s="2" t="n"/>
      <c r="E551" s="2" t="n"/>
      <c r="F551" s="2" t="n"/>
    </row>
    <row r="552">
      <c r="A552" s="9" t="n"/>
      <c r="B552" s="3" t="n"/>
      <c r="C552" s="2" t="n"/>
      <c r="D552" s="2" t="n"/>
      <c r="E552" s="2" t="n"/>
      <c r="F552" s="2" t="n"/>
    </row>
    <row r="553">
      <c r="A553" s="9" t="n"/>
      <c r="B553" s="3" t="n"/>
      <c r="C553" s="2" t="n"/>
      <c r="D553" s="2" t="n"/>
      <c r="E553" s="2" t="n"/>
      <c r="F553" s="2" t="n"/>
    </row>
    <row r="554">
      <c r="A554" s="9" t="n"/>
      <c r="B554" s="3" t="n"/>
      <c r="C554" s="2" t="n"/>
      <c r="D554" s="2" t="n"/>
      <c r="E554" s="2" t="n"/>
      <c r="F554" s="2" t="n"/>
    </row>
    <row r="555">
      <c r="A555" s="9" t="n"/>
      <c r="B555" s="3" t="n"/>
      <c r="C555" s="2" t="n"/>
      <c r="D555" s="2" t="n"/>
      <c r="E555" s="2" t="n"/>
      <c r="F555" s="2" t="n"/>
    </row>
    <row r="556">
      <c r="A556" s="9" t="n"/>
      <c r="B556" s="3" t="n"/>
      <c r="C556" s="2" t="n"/>
      <c r="D556" s="2" t="n"/>
      <c r="E556" s="2" t="n"/>
      <c r="F556" s="2" t="n"/>
    </row>
    <row r="557">
      <c r="A557" s="9" t="n"/>
      <c r="B557" s="3" t="n"/>
      <c r="C557" s="2" t="n"/>
      <c r="D557" s="2" t="n"/>
      <c r="E557" s="2" t="n"/>
      <c r="F557" s="2" t="n"/>
    </row>
    <row r="558">
      <c r="A558" s="9" t="n"/>
      <c r="B558" s="3" t="n"/>
      <c r="C558" s="2" t="n"/>
      <c r="D558" s="2" t="n"/>
      <c r="E558" s="2" t="n"/>
      <c r="F558" s="2" t="n"/>
    </row>
    <row r="559">
      <c r="A559" s="9" t="n"/>
      <c r="B559" s="3" t="n"/>
      <c r="C559" s="2" t="n"/>
      <c r="D559" s="2" t="n"/>
      <c r="E559" s="2" t="n"/>
      <c r="F559" s="2" t="n"/>
    </row>
    <row r="560">
      <c r="A560" s="9" t="n"/>
      <c r="B560" s="3" t="n"/>
      <c r="C560" s="2" t="n"/>
      <c r="D560" s="2" t="n"/>
      <c r="E560" s="2" t="n"/>
      <c r="F560" s="2" t="n"/>
    </row>
    <row r="561">
      <c r="A561" s="9" t="n"/>
      <c r="B561" s="3" t="n"/>
      <c r="C561" s="2" t="n"/>
      <c r="D561" s="2" t="n"/>
      <c r="E561" s="2" t="n"/>
      <c r="F561" s="2" t="n"/>
    </row>
    <row r="562">
      <c r="A562" s="9" t="n"/>
      <c r="B562" s="3" t="n"/>
      <c r="C562" s="2" t="n"/>
      <c r="D562" s="2" t="n"/>
      <c r="E562" s="2" t="n"/>
      <c r="F562" s="2" t="n"/>
    </row>
    <row r="563">
      <c r="A563" s="9" t="n"/>
      <c r="B563" s="3" t="n"/>
      <c r="C563" s="2" t="n"/>
      <c r="D563" s="2" t="n"/>
      <c r="E563" s="2" t="n"/>
      <c r="F563" s="2" t="n"/>
    </row>
    <row r="564">
      <c r="A564" s="9" t="n"/>
      <c r="B564" s="3" t="n"/>
      <c r="C564" s="2" t="n"/>
      <c r="D564" s="2" t="n"/>
      <c r="E564" s="2" t="n"/>
      <c r="F564" s="2" t="n"/>
    </row>
    <row r="565">
      <c r="A565" s="9" t="n"/>
      <c r="B565" s="3" t="n"/>
      <c r="C565" s="2" t="n"/>
      <c r="D565" s="2" t="n"/>
      <c r="E565" s="2" t="n"/>
      <c r="F565" s="2" t="n"/>
    </row>
    <row r="566">
      <c r="A566" s="9" t="n"/>
      <c r="B566" s="3" t="n"/>
      <c r="C566" s="2" t="n"/>
      <c r="D566" s="2" t="n"/>
      <c r="E566" s="2" t="n"/>
      <c r="F566" s="2" t="n"/>
    </row>
    <row r="567">
      <c r="A567" s="9" t="n"/>
      <c r="B567" s="3" t="n"/>
      <c r="C567" s="2" t="n"/>
      <c r="D567" s="2" t="n"/>
      <c r="E567" s="2" t="n"/>
      <c r="F567" s="2" t="n"/>
    </row>
    <row r="568">
      <c r="A568" s="9" t="n"/>
      <c r="B568" s="3" t="n"/>
      <c r="C568" s="2" t="n"/>
      <c r="D568" s="2" t="n"/>
      <c r="E568" s="2" t="n"/>
      <c r="F568" s="2" t="n"/>
    </row>
    <row r="569">
      <c r="A569" s="9" t="n"/>
      <c r="B569" s="3" t="n"/>
      <c r="C569" s="2" t="n"/>
      <c r="D569" s="2" t="n"/>
      <c r="E569" s="2" t="n"/>
      <c r="F569" s="2" t="n"/>
    </row>
    <row r="570">
      <c r="A570" s="9" t="n"/>
      <c r="B570" s="3" t="n"/>
      <c r="C570" s="2" t="n"/>
      <c r="D570" s="2" t="n"/>
      <c r="E570" s="2" t="n"/>
      <c r="F570" s="2" t="n"/>
    </row>
    <row r="571">
      <c r="A571" s="9" t="n"/>
      <c r="B571" s="3" t="n"/>
      <c r="C571" s="2" t="n"/>
      <c r="D571" s="2" t="n"/>
      <c r="E571" s="2" t="n"/>
      <c r="F571" s="2" t="n"/>
    </row>
    <row r="572">
      <c r="A572" s="9" t="n"/>
      <c r="B572" s="3" t="n"/>
      <c r="C572" s="2" t="n"/>
      <c r="D572" s="2" t="n"/>
      <c r="E572" s="2" t="n"/>
      <c r="F572" s="2" t="n"/>
    </row>
    <row r="573">
      <c r="A573" s="9" t="n"/>
      <c r="B573" s="3" t="n"/>
      <c r="C573" s="2" t="n"/>
      <c r="D573" s="2" t="n"/>
      <c r="E573" s="2" t="n"/>
      <c r="F573" s="2" t="n"/>
    </row>
    <row r="574">
      <c r="A574" s="9" t="n"/>
      <c r="B574" s="3" t="n"/>
      <c r="C574" s="2" t="n"/>
      <c r="D574" s="2" t="n"/>
      <c r="E574" s="2" t="n"/>
      <c r="F574" s="2" t="n"/>
    </row>
    <row r="575">
      <c r="A575" s="9" t="n"/>
      <c r="B575" s="3" t="n"/>
      <c r="C575" s="2" t="n"/>
      <c r="D575" s="2" t="n"/>
      <c r="E575" s="2" t="n"/>
      <c r="F575" s="2" t="n"/>
    </row>
    <row r="576">
      <c r="A576" s="9" t="n"/>
      <c r="B576" s="3" t="n"/>
      <c r="C576" s="2" t="n"/>
      <c r="D576" s="2" t="n"/>
      <c r="E576" s="2" t="n"/>
      <c r="F576" s="2" t="n"/>
    </row>
    <row r="577">
      <c r="A577" s="9" t="n"/>
      <c r="B577" s="3" t="n"/>
      <c r="C577" s="2" t="n"/>
      <c r="D577" s="2" t="n"/>
      <c r="E577" s="2" t="n"/>
      <c r="F577" s="2" t="n"/>
    </row>
    <row r="578">
      <c r="A578" s="9" t="n"/>
      <c r="B578" s="3" t="n"/>
      <c r="C578" s="2" t="n"/>
      <c r="D578" s="2" t="n"/>
      <c r="E578" s="2" t="n"/>
      <c r="F578" s="2" t="n"/>
    </row>
    <row r="579">
      <c r="A579" s="9" t="n"/>
      <c r="B579" s="3" t="n"/>
      <c r="C579" s="2" t="n"/>
      <c r="D579" s="2" t="n"/>
      <c r="E579" s="2" t="n"/>
      <c r="F579" s="2" t="n"/>
    </row>
    <row r="580">
      <c r="A580" s="9" t="n"/>
      <c r="B580" s="3" t="n"/>
      <c r="C580" s="2" t="n"/>
      <c r="D580" s="2" t="n"/>
      <c r="E580" s="2" t="n"/>
      <c r="F580" s="2" t="n"/>
    </row>
    <row r="581">
      <c r="A581" s="9" t="n"/>
      <c r="B581" s="3" t="n"/>
      <c r="C581" s="2" t="n"/>
      <c r="D581" s="2" t="n"/>
      <c r="E581" s="2" t="n"/>
      <c r="F581" s="2" t="n"/>
    </row>
    <row r="582">
      <c r="A582" s="9" t="n"/>
      <c r="B582" s="3" t="n"/>
      <c r="C582" s="2" t="n"/>
      <c r="D582" s="2" t="n"/>
      <c r="E582" s="2" t="n"/>
      <c r="F582" s="2" t="n"/>
    </row>
    <row r="583">
      <c r="A583" s="9" t="n"/>
      <c r="B583" s="3" t="n"/>
      <c r="C583" s="2" t="n"/>
      <c r="D583" s="2" t="n"/>
      <c r="E583" s="2" t="n"/>
      <c r="F583" s="2" t="n"/>
    </row>
    <row r="584">
      <c r="A584" s="9" t="n"/>
      <c r="B584" s="3" t="n"/>
      <c r="C584" s="2" t="n"/>
      <c r="D584" s="2" t="n"/>
      <c r="E584" s="2" t="n"/>
      <c r="F584" s="2" t="n"/>
    </row>
    <row r="585">
      <c r="A585" s="9" t="n"/>
      <c r="B585" s="3" t="n"/>
      <c r="C585" s="2" t="n"/>
      <c r="D585" s="2" t="n"/>
      <c r="E585" s="2" t="n"/>
      <c r="F585" s="2" t="n"/>
    </row>
    <row r="586">
      <c r="A586" s="9" t="n"/>
      <c r="B586" s="3" t="n"/>
      <c r="C586" s="2" t="n"/>
      <c r="D586" s="2" t="n"/>
      <c r="E586" s="2" t="n"/>
      <c r="F586" s="2" t="n"/>
    </row>
    <row r="587">
      <c r="A587" s="9" t="n"/>
      <c r="B587" s="3" t="n"/>
      <c r="C587" s="2" t="n"/>
      <c r="D587" s="2" t="n"/>
      <c r="E587" s="2" t="n"/>
      <c r="F587" s="2" t="n"/>
    </row>
    <row r="588">
      <c r="A588" s="9" t="n"/>
      <c r="B588" s="3" t="n"/>
      <c r="C588" s="2" t="n"/>
      <c r="D588" s="2" t="n"/>
      <c r="E588" s="2" t="n"/>
      <c r="F588" s="2" t="n"/>
    </row>
    <row r="589">
      <c r="A589" s="9" t="n"/>
      <c r="B589" s="3" t="n"/>
      <c r="C589" s="2" t="n"/>
      <c r="D589" s="2" t="n"/>
      <c r="E589" s="2" t="n"/>
      <c r="F589" s="2" t="n"/>
    </row>
    <row r="590">
      <c r="A590" s="9" t="n"/>
      <c r="B590" s="3" t="n"/>
      <c r="C590" s="2" t="n"/>
      <c r="D590" s="2" t="n"/>
      <c r="E590" s="2" t="n"/>
      <c r="F590" s="2" t="n"/>
    </row>
    <row r="591">
      <c r="A591" s="9" t="n"/>
      <c r="B591" s="3" t="n"/>
      <c r="C591" s="2" t="n"/>
      <c r="D591" s="2" t="n"/>
      <c r="E591" s="2" t="n"/>
      <c r="F591" s="2" t="n"/>
    </row>
    <row r="592">
      <c r="A592" s="9" t="n"/>
      <c r="B592" s="3" t="n"/>
      <c r="C592" s="2" t="n"/>
      <c r="D592" s="2" t="n"/>
      <c r="E592" s="2" t="n"/>
      <c r="F592" s="2" t="n"/>
    </row>
    <row r="593">
      <c r="A593" s="9" t="n"/>
      <c r="B593" s="3" t="n"/>
      <c r="C593" s="2" t="n"/>
      <c r="D593" s="2" t="n"/>
      <c r="E593" s="2" t="n"/>
      <c r="F593" s="2" t="n"/>
    </row>
    <row r="594">
      <c r="A594" s="9" t="n"/>
      <c r="B594" s="3" t="n"/>
      <c r="C594" s="2" t="n"/>
      <c r="D594" s="2" t="n"/>
      <c r="E594" s="2" t="n"/>
      <c r="F594" s="2" t="n"/>
    </row>
    <row r="595">
      <c r="A595" s="9" t="n"/>
      <c r="B595" s="3" t="n"/>
      <c r="C595" s="2" t="n"/>
      <c r="D595" s="2" t="n"/>
      <c r="E595" s="2" t="n"/>
      <c r="F595" s="2" t="n"/>
    </row>
    <row r="596">
      <c r="A596" s="9" t="n"/>
      <c r="B596" s="3" t="n"/>
      <c r="C596" s="2" t="n"/>
      <c r="D596" s="2" t="n"/>
      <c r="E596" s="2" t="n"/>
      <c r="F596" s="2" t="n"/>
    </row>
    <row r="597">
      <c r="A597" s="9" t="n"/>
      <c r="B597" s="3" t="n"/>
      <c r="C597" s="2" t="n"/>
      <c r="D597" s="2" t="n"/>
      <c r="E597" s="2" t="n"/>
      <c r="F597" s="2" t="n"/>
    </row>
    <row r="598">
      <c r="A598" s="9" t="n"/>
      <c r="B598" s="3" t="n"/>
      <c r="C598" s="2" t="n"/>
      <c r="D598" s="2" t="n"/>
      <c r="E598" s="2" t="n"/>
      <c r="F598" s="2" t="n"/>
    </row>
    <row r="599">
      <c r="A599" s="9" t="n"/>
      <c r="B599" s="3" t="n"/>
      <c r="C599" s="2" t="n"/>
      <c r="D599" s="2" t="n"/>
      <c r="E599" s="2" t="n"/>
      <c r="F599" s="2" t="n"/>
    </row>
    <row r="600">
      <c r="A600" s="9" t="n"/>
      <c r="B600" s="3" t="n"/>
      <c r="C600" s="2" t="n"/>
      <c r="D600" s="2" t="n"/>
      <c r="E600" s="2" t="n"/>
      <c r="F600" s="2" t="n"/>
    </row>
    <row r="601">
      <c r="A601" s="9" t="n"/>
      <c r="B601" s="3" t="n"/>
      <c r="C601" s="2" t="n"/>
      <c r="D601" s="2" t="n"/>
      <c r="E601" s="2" t="n"/>
      <c r="F601" s="2" t="n"/>
    </row>
    <row r="602">
      <c r="A602" s="9" t="n"/>
      <c r="B602" s="3" t="n"/>
      <c r="C602" s="2" t="n"/>
      <c r="D602" s="2" t="n"/>
      <c r="E602" s="2" t="n"/>
      <c r="F602" s="2" t="n"/>
    </row>
    <row r="603">
      <c r="A603" s="9" t="n"/>
      <c r="B603" s="3" t="n"/>
      <c r="C603" s="2" t="n"/>
      <c r="D603" s="2" t="n"/>
      <c r="E603" s="2" t="n"/>
      <c r="F603" s="2" t="n"/>
    </row>
    <row r="604">
      <c r="A604" s="9" t="n"/>
      <c r="B604" s="3" t="n"/>
      <c r="C604" s="2" t="n"/>
      <c r="D604" s="2" t="n"/>
      <c r="E604" s="2" t="n"/>
      <c r="F604" s="2" t="n"/>
    </row>
    <row r="605">
      <c r="A605" s="9" t="n"/>
      <c r="B605" s="3" t="n"/>
      <c r="C605" s="2" t="n"/>
      <c r="D605" s="2" t="n"/>
      <c r="E605" s="2" t="n"/>
      <c r="F605" s="2" t="n"/>
    </row>
    <row r="606">
      <c r="A606" s="9" t="n"/>
      <c r="B606" s="3" t="n"/>
      <c r="C606" s="2" t="n"/>
      <c r="D606" s="2" t="n"/>
      <c r="E606" s="2" t="n"/>
      <c r="F606" s="2" t="n"/>
    </row>
    <row r="607">
      <c r="A607" s="9" t="n"/>
      <c r="B607" s="3" t="n"/>
      <c r="C607" s="2" t="n"/>
      <c r="D607" s="2" t="n"/>
      <c r="E607" s="2" t="n"/>
      <c r="F607" s="2" t="n"/>
    </row>
    <row r="608">
      <c r="A608" s="9" t="n"/>
      <c r="B608" s="3" t="n"/>
      <c r="C608" s="2" t="n"/>
      <c r="D608" s="2" t="n"/>
      <c r="E608" s="2" t="n"/>
      <c r="F608" s="2" t="n"/>
    </row>
    <row r="609">
      <c r="A609" s="9" t="n"/>
      <c r="B609" s="3" t="n"/>
      <c r="C609" s="2" t="n"/>
      <c r="D609" s="2" t="n"/>
      <c r="E609" s="2" t="n"/>
      <c r="F609" s="2" t="n"/>
    </row>
    <row r="610">
      <c r="A610" s="9" t="n"/>
      <c r="B610" s="3" t="n"/>
      <c r="C610" s="2" t="n"/>
      <c r="D610" s="2" t="n"/>
      <c r="E610" s="2" t="n"/>
      <c r="F610" s="2" t="n"/>
    </row>
    <row r="611">
      <c r="A611" s="9" t="n"/>
      <c r="B611" s="3" t="n"/>
      <c r="C611" s="2" t="n"/>
      <c r="D611" s="2" t="n"/>
      <c r="E611" s="2" t="n"/>
      <c r="F611" s="2" t="n"/>
    </row>
    <row r="612">
      <c r="A612" s="9" t="n"/>
      <c r="B612" s="3" t="n"/>
      <c r="C612" s="2" t="n"/>
      <c r="D612" s="2" t="n"/>
      <c r="E612" s="2" t="n"/>
      <c r="F612" s="2" t="n"/>
    </row>
    <row r="613">
      <c r="A613" s="9" t="n"/>
      <c r="B613" s="3" t="n"/>
      <c r="C613" s="2" t="n"/>
      <c r="D613" s="2" t="n"/>
      <c r="E613" s="2" t="n"/>
      <c r="F613" s="2" t="n"/>
    </row>
    <row r="614">
      <c r="A614" s="9" t="n"/>
      <c r="B614" s="3" t="n"/>
      <c r="C614" s="2" t="n"/>
      <c r="D614" s="2" t="n"/>
      <c r="E614" s="2" t="n"/>
      <c r="F614" s="2" t="n"/>
    </row>
    <row r="615">
      <c r="A615" s="9" t="n"/>
      <c r="B615" s="3" t="n"/>
      <c r="C615" s="2" t="n"/>
      <c r="D615" s="2" t="n"/>
      <c r="E615" s="2" t="n"/>
      <c r="F615" s="2" t="n"/>
    </row>
    <row r="616">
      <c r="A616" s="9" t="n"/>
      <c r="B616" s="3" t="n"/>
      <c r="C616" s="2" t="n"/>
      <c r="D616" s="2" t="n"/>
      <c r="E616" s="2" t="n"/>
      <c r="F616" s="2" t="n"/>
    </row>
    <row r="617">
      <c r="A617" s="9" t="n"/>
      <c r="B617" s="3" t="n"/>
      <c r="C617" s="2" t="n"/>
      <c r="D617" s="2" t="n"/>
      <c r="E617" s="2" t="n"/>
      <c r="F617" s="2" t="n"/>
    </row>
    <row r="618">
      <c r="A618" s="9" t="n"/>
      <c r="B618" s="3" t="n"/>
      <c r="C618" s="2" t="n"/>
      <c r="D618" s="2" t="n"/>
      <c r="E618" s="2" t="n"/>
      <c r="F618" s="2" t="n"/>
    </row>
    <row r="619">
      <c r="A619" s="9" t="n"/>
      <c r="B619" s="3" t="n"/>
      <c r="C619" s="2" t="n"/>
      <c r="D619" s="2" t="n"/>
      <c r="E619" s="2" t="n"/>
      <c r="F619" s="2" t="n"/>
    </row>
    <row r="620">
      <c r="A620" s="9" t="n"/>
      <c r="B620" s="3" t="n"/>
      <c r="C620" s="2" t="n"/>
      <c r="D620" s="2" t="n"/>
      <c r="E620" s="2" t="n"/>
      <c r="F620" s="2" t="n"/>
    </row>
    <row r="621">
      <c r="A621" s="9" t="n"/>
      <c r="B621" s="3" t="n"/>
      <c r="C621" s="2" t="n"/>
      <c r="D621" s="2" t="n"/>
      <c r="E621" s="2" t="n"/>
      <c r="F621" s="2" t="n"/>
    </row>
    <row r="622">
      <c r="A622" s="9" t="n"/>
      <c r="B622" s="3" t="n"/>
      <c r="C622" s="2" t="n"/>
      <c r="D622" s="2" t="n"/>
      <c r="E622" s="2" t="n"/>
      <c r="F622" s="2" t="n"/>
    </row>
    <row r="623">
      <c r="A623" s="9" t="n"/>
      <c r="B623" s="3" t="n"/>
      <c r="C623" s="2" t="n"/>
      <c r="D623" s="2" t="n"/>
      <c r="E623" s="2" t="n"/>
      <c r="F623" s="2" t="n"/>
    </row>
    <row r="624">
      <c r="A624" s="9" t="n"/>
      <c r="B624" s="3" t="n"/>
      <c r="C624" s="2" t="n"/>
      <c r="D624" s="2" t="n"/>
      <c r="E624" s="2" t="n"/>
      <c r="F624" s="2" t="n"/>
    </row>
    <row r="625">
      <c r="A625" s="9" t="n"/>
      <c r="B625" s="3" t="n"/>
      <c r="C625" s="2" t="n"/>
      <c r="D625" s="2" t="n"/>
      <c r="E625" s="2" t="n"/>
      <c r="F625" s="2" t="n"/>
    </row>
    <row r="626">
      <c r="A626" s="9" t="n"/>
      <c r="B626" s="3" t="n"/>
      <c r="C626" s="2" t="n"/>
      <c r="D626" s="2" t="n"/>
      <c r="E626" s="2" t="n"/>
      <c r="F626" s="2" t="n"/>
    </row>
    <row r="627">
      <c r="A627" s="9" t="n"/>
      <c r="B627" s="3" t="n"/>
      <c r="C627" s="2" t="n"/>
      <c r="D627" s="2" t="n"/>
      <c r="E627" s="2" t="n"/>
      <c r="F627" s="2" t="n"/>
    </row>
    <row r="628">
      <c r="A628" s="9" t="n"/>
      <c r="B628" s="3" t="n"/>
      <c r="C628" s="2" t="n"/>
      <c r="D628" s="2" t="n"/>
      <c r="E628" s="2" t="n"/>
      <c r="F628" s="2" t="n"/>
    </row>
    <row r="629">
      <c r="A629" s="9" t="n"/>
      <c r="B629" s="3" t="n"/>
      <c r="C629" s="2" t="n"/>
      <c r="D629" s="2" t="n"/>
      <c r="E629" s="2" t="n"/>
      <c r="F629" s="2" t="n"/>
    </row>
    <row r="630">
      <c r="A630" s="9" t="n"/>
      <c r="B630" s="3" t="n"/>
      <c r="C630" s="2" t="n"/>
      <c r="D630" s="2" t="n"/>
      <c r="E630" s="2" t="n"/>
      <c r="F630" s="2" t="n"/>
    </row>
    <row r="631">
      <c r="A631" s="9" t="n"/>
      <c r="B631" s="3" t="n"/>
      <c r="C631" s="2" t="n"/>
      <c r="D631" s="2" t="n"/>
      <c r="E631" s="2" t="n"/>
      <c r="F631" s="2" t="n"/>
    </row>
    <row r="632">
      <c r="A632" s="9" t="n"/>
      <c r="B632" s="3" t="n"/>
      <c r="C632" s="2" t="n"/>
      <c r="D632" s="2" t="n"/>
      <c r="E632" s="2" t="n"/>
      <c r="F632" s="2" t="n"/>
    </row>
    <row r="633">
      <c r="A633" s="9" t="n"/>
      <c r="B633" s="3" t="n"/>
      <c r="C633" s="2" t="n"/>
      <c r="D633" s="2" t="n"/>
      <c r="E633" s="2" t="n"/>
      <c r="F633" s="2" t="n"/>
    </row>
    <row r="634">
      <c r="A634" s="9" t="n"/>
      <c r="B634" s="3" t="n"/>
      <c r="C634" s="2" t="n"/>
      <c r="D634" s="2" t="n"/>
      <c r="E634" s="2" t="n"/>
      <c r="F634" s="2" t="n"/>
    </row>
    <row r="635">
      <c r="A635" s="9" t="n"/>
      <c r="B635" s="3" t="n"/>
      <c r="C635" s="2" t="n"/>
      <c r="D635" s="2" t="n"/>
      <c r="E635" s="2" t="n"/>
      <c r="F635" s="2" t="n"/>
    </row>
    <row r="636">
      <c r="A636" s="9" t="n"/>
      <c r="B636" s="3" t="n"/>
      <c r="C636" s="2" t="n"/>
      <c r="D636" s="2" t="n"/>
      <c r="E636" s="2" t="n"/>
      <c r="F636" s="2" t="n"/>
    </row>
    <row r="637">
      <c r="A637" s="9" t="n"/>
      <c r="B637" s="3" t="n"/>
      <c r="C637" s="2" t="n"/>
      <c r="D637" s="2" t="n"/>
      <c r="E637" s="2" t="n"/>
      <c r="F637" s="2" t="n"/>
    </row>
    <row r="638">
      <c r="A638" s="9" t="n"/>
      <c r="B638" s="3" t="n"/>
      <c r="C638" s="2" t="n"/>
      <c r="D638" s="2" t="n"/>
      <c r="E638" s="2" t="n"/>
      <c r="F638" s="2" t="n"/>
    </row>
    <row r="639">
      <c r="A639" s="9" t="n"/>
      <c r="B639" s="3" t="n"/>
      <c r="C639" s="2" t="n"/>
      <c r="D639" s="2" t="n"/>
      <c r="E639" s="2" t="n"/>
      <c r="F639" s="2" t="n"/>
    </row>
    <row r="640">
      <c r="A640" s="9" t="n"/>
      <c r="B640" s="3" t="n"/>
      <c r="C640" s="2" t="n"/>
      <c r="D640" s="2" t="n"/>
      <c r="E640" s="2" t="n"/>
      <c r="F640" s="2" t="n"/>
    </row>
    <row r="641">
      <c r="A641" s="9" t="n"/>
      <c r="B641" s="3" t="n"/>
      <c r="C641" s="2" t="n"/>
      <c r="D641" s="2" t="n"/>
      <c r="E641" s="2" t="n"/>
      <c r="F641" s="2" t="n"/>
    </row>
    <row r="642">
      <c r="A642" s="9" t="n"/>
      <c r="B642" s="3" t="n"/>
      <c r="C642" s="2" t="n"/>
      <c r="D642" s="2" t="n"/>
      <c r="E642" s="2" t="n"/>
      <c r="F642" s="2" t="n"/>
    </row>
    <row r="643">
      <c r="A643" s="9" t="n"/>
      <c r="B643" s="3" t="n"/>
      <c r="C643" s="2" t="n"/>
      <c r="D643" s="2" t="n"/>
      <c r="E643" s="2" t="n"/>
      <c r="F643" s="2" t="n"/>
    </row>
    <row r="644">
      <c r="A644" s="9" t="n"/>
      <c r="B644" s="3" t="n"/>
      <c r="C644" s="2" t="n"/>
      <c r="D644" s="2" t="n"/>
      <c r="E644" s="2" t="n"/>
      <c r="F644" s="2" t="n"/>
    </row>
    <row r="645">
      <c r="A645" s="9" t="n"/>
      <c r="B645" s="3" t="n"/>
      <c r="C645" s="2" t="n"/>
      <c r="D645" s="2" t="n"/>
      <c r="E645" s="2" t="n"/>
      <c r="F645" s="2" t="n"/>
    </row>
    <row r="646">
      <c r="A646" s="9" t="n"/>
      <c r="B646" s="3" t="n"/>
      <c r="C646" s="2" t="n"/>
      <c r="D646" s="2" t="n"/>
      <c r="E646" s="2" t="n"/>
      <c r="F646" s="2" t="n"/>
    </row>
    <row r="647">
      <c r="A647" s="9" t="n"/>
      <c r="B647" s="3" t="n"/>
      <c r="C647" s="2" t="n"/>
      <c r="D647" s="2" t="n"/>
      <c r="E647" s="2" t="n"/>
      <c r="F647" s="2" t="n"/>
    </row>
    <row r="648">
      <c r="A648" s="9" t="n"/>
      <c r="B648" s="3" t="n"/>
      <c r="C648" s="2" t="n"/>
      <c r="D648" s="2" t="n"/>
      <c r="E648" s="2" t="n"/>
      <c r="F648" s="2" t="n"/>
    </row>
    <row r="649">
      <c r="A649" s="9" t="n"/>
      <c r="B649" s="3" t="n"/>
      <c r="C649" s="2" t="n"/>
      <c r="D649" s="2" t="n"/>
      <c r="E649" s="2" t="n"/>
      <c r="F649" s="2" t="n"/>
    </row>
    <row r="650">
      <c r="A650" s="9" t="n"/>
      <c r="B650" s="3" t="n"/>
      <c r="C650" s="2" t="n"/>
      <c r="D650" s="2" t="n"/>
      <c r="E650" s="2" t="n"/>
      <c r="F650" s="2" t="n"/>
    </row>
    <row r="651">
      <c r="A651" s="9" t="n"/>
      <c r="B651" s="3" t="n"/>
      <c r="C651" s="2" t="n"/>
      <c r="D651" s="2" t="n"/>
      <c r="E651" s="2" t="n"/>
      <c r="F651" s="2" t="n"/>
    </row>
    <row r="652">
      <c r="A652" s="9" t="n"/>
      <c r="B652" s="3" t="n"/>
      <c r="C652" s="2" t="n"/>
      <c r="D652" s="2" t="n"/>
      <c r="E652" s="2" t="n"/>
      <c r="F652" s="2" t="n"/>
    </row>
    <row r="653">
      <c r="A653" s="9" t="n"/>
      <c r="B653" s="3" t="n"/>
      <c r="C653" s="2" t="n"/>
      <c r="D653" s="2" t="n"/>
      <c r="E653" s="2" t="n"/>
      <c r="F653" s="2" t="n"/>
    </row>
    <row r="654">
      <c r="A654" s="9" t="n"/>
      <c r="B654" s="3" t="n"/>
      <c r="C654" s="2" t="n"/>
      <c r="D654" s="2" t="n"/>
      <c r="E654" s="2" t="n"/>
      <c r="F654" s="2" t="n"/>
    </row>
    <row r="655">
      <c r="A655" s="9" t="n"/>
      <c r="B655" s="3" t="n"/>
      <c r="C655" s="2" t="n"/>
      <c r="D655" s="2" t="n"/>
      <c r="E655" s="2" t="n"/>
      <c r="F655" s="2" t="n"/>
    </row>
    <row r="656">
      <c r="A656" s="9" t="n"/>
      <c r="B656" s="3" t="n"/>
      <c r="C656" s="2" t="n"/>
      <c r="D656" s="2" t="n"/>
      <c r="E656" s="2" t="n"/>
      <c r="F656" s="2" t="n"/>
    </row>
    <row r="657">
      <c r="A657" s="9" t="n"/>
      <c r="B657" s="3" t="n"/>
      <c r="C657" s="2" t="n"/>
      <c r="D657" s="2" t="n"/>
      <c r="E657" s="2" t="n"/>
      <c r="F657" s="2" t="n"/>
    </row>
    <row r="658">
      <c r="A658" s="9" t="n"/>
      <c r="B658" s="3" t="n"/>
      <c r="C658" s="2" t="n"/>
      <c r="D658" s="2" t="n"/>
      <c r="E658" s="2" t="n"/>
      <c r="F658" s="2" t="n"/>
    </row>
    <row r="659">
      <c r="A659" s="9" t="n"/>
      <c r="B659" s="3" t="n"/>
      <c r="C659" s="2" t="n"/>
      <c r="D659" s="2" t="n"/>
      <c r="E659" s="2" t="n"/>
      <c r="F659" s="2" t="n"/>
    </row>
    <row r="660">
      <c r="A660" s="9" t="n"/>
      <c r="B660" s="3" t="n"/>
      <c r="C660" s="2" t="n"/>
      <c r="D660" s="2" t="n"/>
      <c r="E660" s="2" t="n"/>
      <c r="F660" s="2" t="n"/>
    </row>
    <row r="661">
      <c r="A661" s="9" t="n"/>
      <c r="B661" s="3" t="n"/>
      <c r="C661" s="2" t="n"/>
      <c r="D661" s="2" t="n"/>
      <c r="E661" s="2" t="n"/>
      <c r="F661" s="2" t="n"/>
    </row>
    <row r="662">
      <c r="A662" s="9" t="n"/>
      <c r="B662" s="3" t="n"/>
      <c r="C662" s="2" t="n"/>
      <c r="D662" s="2" t="n"/>
      <c r="E662" s="2" t="n"/>
      <c r="F662" s="2" t="n"/>
    </row>
    <row r="663">
      <c r="A663" s="9" t="n"/>
      <c r="B663" s="3" t="n"/>
      <c r="C663" s="2" t="n"/>
      <c r="D663" s="2" t="n"/>
      <c r="E663" s="2" t="n"/>
      <c r="F663" s="2" t="n"/>
    </row>
    <row r="664">
      <c r="A664" s="9" t="n"/>
      <c r="B664" s="3" t="n"/>
      <c r="C664" s="2" t="n"/>
      <c r="D664" s="2" t="n"/>
      <c r="E664" s="2" t="n"/>
      <c r="F664" s="2" t="n"/>
    </row>
    <row r="665">
      <c r="A665" s="9" t="n"/>
      <c r="B665" s="3" t="n"/>
      <c r="C665" s="2" t="n"/>
      <c r="D665" s="2" t="n"/>
      <c r="E665" s="2" t="n"/>
      <c r="F665" s="2" t="n"/>
    </row>
    <row r="666">
      <c r="A666" s="9" t="n"/>
      <c r="B666" s="3" t="n"/>
      <c r="C666" s="2" t="n"/>
      <c r="D666" s="2" t="n"/>
      <c r="E666" s="2" t="n"/>
      <c r="F666" s="2" t="n"/>
    </row>
    <row r="667">
      <c r="A667" s="9" t="n"/>
      <c r="B667" s="3" t="n"/>
      <c r="C667" s="2" t="n"/>
      <c r="D667" s="2" t="n"/>
      <c r="E667" s="2" t="n"/>
      <c r="F667" s="2" t="n"/>
    </row>
    <row r="668">
      <c r="A668" s="9" t="n"/>
      <c r="B668" s="3" t="n"/>
      <c r="C668" s="2" t="n"/>
      <c r="D668" s="2" t="n"/>
      <c r="E668" s="2" t="n"/>
      <c r="F668" s="2" t="n"/>
    </row>
    <row r="669">
      <c r="A669" s="9" t="n"/>
      <c r="B669" s="3" t="n"/>
      <c r="C669" s="2" t="n"/>
      <c r="D669" s="2" t="n"/>
      <c r="E669" s="2" t="n"/>
      <c r="F669" s="2" t="n"/>
    </row>
    <row r="670">
      <c r="A670" s="9" t="n"/>
      <c r="B670" s="3" t="n"/>
      <c r="C670" s="2" t="n"/>
      <c r="D670" s="2" t="n"/>
      <c r="E670" s="2" t="n"/>
      <c r="F670" s="2" t="n"/>
    </row>
    <row r="671">
      <c r="A671" s="9" t="n"/>
      <c r="B671" s="3" t="n"/>
      <c r="C671" s="2" t="n"/>
      <c r="D671" s="2" t="n"/>
      <c r="E671" s="2" t="n"/>
      <c r="F671" s="2" t="n"/>
    </row>
    <row r="672">
      <c r="A672" s="9" t="n"/>
      <c r="B672" s="3" t="n"/>
      <c r="C672" s="2" t="n"/>
      <c r="D672" s="2" t="n"/>
      <c r="E672" s="2" t="n"/>
      <c r="F672" s="2" t="n"/>
    </row>
    <row r="673">
      <c r="A673" s="9" t="n"/>
      <c r="B673" s="3" t="n"/>
      <c r="C673" s="2" t="n"/>
      <c r="D673" s="2" t="n"/>
      <c r="E673" s="2" t="n"/>
      <c r="F673" s="2" t="n"/>
    </row>
    <row r="674">
      <c r="A674" s="9" t="n"/>
      <c r="B674" s="3" t="n"/>
      <c r="C674" s="2" t="n"/>
      <c r="D674" s="2" t="n"/>
      <c r="E674" s="2" t="n"/>
      <c r="F674" s="2" t="n"/>
    </row>
    <row r="675">
      <c r="A675" s="9" t="n"/>
      <c r="B675" s="3" t="n"/>
      <c r="C675" s="2" t="n"/>
      <c r="D675" s="2" t="n"/>
      <c r="E675" s="2" t="n"/>
      <c r="F675" s="2" t="n"/>
    </row>
    <row r="676">
      <c r="A676" s="9" t="n"/>
      <c r="B676" s="3" t="n"/>
      <c r="C676" s="2" t="n"/>
      <c r="D676" s="2" t="n"/>
      <c r="E676" s="2" t="n"/>
      <c r="F676" s="2" t="n"/>
    </row>
    <row r="677">
      <c r="A677" s="9" t="n"/>
      <c r="B677" s="3" t="n"/>
      <c r="C677" s="2" t="n"/>
      <c r="D677" s="2" t="n"/>
      <c r="E677" s="2" t="n"/>
      <c r="F677" s="2" t="n"/>
    </row>
    <row r="678">
      <c r="A678" s="9" t="n"/>
      <c r="B678" s="3" t="n"/>
      <c r="C678" s="2" t="n"/>
      <c r="D678" s="2" t="n"/>
      <c r="E678" s="2" t="n"/>
      <c r="F678" s="2" t="n"/>
    </row>
    <row r="679">
      <c r="A679" s="9" t="n"/>
      <c r="B679" s="3" t="n"/>
      <c r="C679" s="2" t="n"/>
      <c r="D679" s="2" t="n"/>
      <c r="E679" s="2" t="n"/>
      <c r="F679" s="2" t="n"/>
    </row>
    <row r="680">
      <c r="A680" s="9" t="n"/>
      <c r="B680" s="3" t="n"/>
      <c r="C680" s="2" t="n"/>
      <c r="D680" s="2" t="n"/>
      <c r="E680" s="2" t="n"/>
      <c r="F680" s="2" t="n"/>
    </row>
    <row r="681">
      <c r="A681" s="9" t="n"/>
      <c r="B681" s="3" t="n"/>
      <c r="C681" s="2" t="n"/>
      <c r="D681" s="2" t="n"/>
      <c r="E681" s="2" t="n"/>
      <c r="F681" s="2" t="n"/>
    </row>
    <row r="682">
      <c r="A682" s="9" t="n"/>
      <c r="B682" s="3" t="n"/>
      <c r="C682" s="2" t="n"/>
      <c r="D682" s="2" t="n"/>
      <c r="E682" s="2" t="n"/>
      <c r="F682" s="2" t="n"/>
    </row>
    <row r="683">
      <c r="A683" s="9" t="n"/>
      <c r="B683" s="3" t="n"/>
      <c r="C683" s="2" t="n"/>
      <c r="D683" s="2" t="n"/>
      <c r="E683" s="2" t="n"/>
      <c r="F683" s="2" t="n"/>
    </row>
    <row r="684">
      <c r="A684" s="9" t="n"/>
      <c r="B684" s="3" t="n"/>
      <c r="C684" s="2" t="n"/>
      <c r="D684" s="2" t="n"/>
      <c r="E684" s="2" t="n"/>
      <c r="F684" s="2" t="n"/>
    </row>
    <row r="685">
      <c r="A685" s="9" t="n"/>
      <c r="B685" s="3" t="n"/>
      <c r="C685" s="2" t="n"/>
      <c r="D685" s="2" t="n"/>
      <c r="E685" s="2" t="n"/>
      <c r="F685" s="2" t="n"/>
    </row>
    <row r="686">
      <c r="A686" s="9" t="n"/>
      <c r="B686" s="3" t="n"/>
      <c r="C686" s="2" t="n"/>
      <c r="D686" s="2" t="n"/>
      <c r="E686" s="2" t="n"/>
      <c r="F686" s="2" t="n"/>
    </row>
    <row r="687">
      <c r="A687" s="9" t="n"/>
      <c r="B687" s="3" t="n"/>
      <c r="C687" s="2" t="n"/>
      <c r="D687" s="2" t="n"/>
      <c r="E687" s="2" t="n"/>
      <c r="F687" s="2" t="n"/>
    </row>
    <row r="688">
      <c r="A688" s="9" t="n"/>
      <c r="B688" s="3" t="n"/>
      <c r="C688" s="2" t="n"/>
      <c r="D688" s="2" t="n"/>
      <c r="E688" s="2" t="n"/>
      <c r="F688" s="2" t="n"/>
    </row>
    <row r="689">
      <c r="A689" s="9" t="n"/>
      <c r="B689" s="3" t="n"/>
      <c r="C689" s="2" t="n"/>
      <c r="D689" s="2" t="n"/>
      <c r="E689" s="2" t="n"/>
      <c r="F689" s="2" t="n"/>
    </row>
    <row r="690">
      <c r="A690" s="9" t="n"/>
      <c r="B690" s="3" t="n"/>
      <c r="C690" s="2" t="n"/>
      <c r="D690" s="2" t="n"/>
      <c r="E690" s="2" t="n"/>
      <c r="F690" s="2" t="n"/>
    </row>
    <row r="691">
      <c r="A691" s="9" t="n"/>
      <c r="B691" s="3" t="n"/>
      <c r="C691" s="2" t="n"/>
      <c r="D691" s="2" t="n"/>
      <c r="E691" s="2" t="n"/>
      <c r="F691" s="2" t="n"/>
    </row>
    <row r="692">
      <c r="A692" s="9" t="n"/>
      <c r="B692" s="3" t="n"/>
      <c r="C692" s="2" t="n"/>
      <c r="D692" s="2" t="n"/>
      <c r="E692" s="2" t="n"/>
      <c r="F692" s="2" t="n"/>
    </row>
    <row r="693">
      <c r="A693" s="9" t="n"/>
      <c r="B693" s="3" t="n"/>
      <c r="C693" s="2" t="n"/>
      <c r="D693" s="2" t="n"/>
      <c r="E693" s="2" t="n"/>
      <c r="F693" s="2" t="n"/>
    </row>
    <row r="694">
      <c r="A694" s="9" t="n"/>
      <c r="B694" s="3" t="n"/>
      <c r="C694" s="2" t="n"/>
      <c r="D694" s="2" t="n"/>
      <c r="E694" s="2" t="n"/>
      <c r="F694" s="2" t="n"/>
    </row>
    <row r="695">
      <c r="A695" s="9" t="n"/>
      <c r="B695" s="3" t="n"/>
      <c r="C695" s="2" t="n"/>
      <c r="D695" s="2" t="n"/>
      <c r="E695" s="2" t="n"/>
      <c r="F695" s="2" t="n"/>
    </row>
    <row r="696">
      <c r="A696" s="9" t="n"/>
      <c r="B696" s="3" t="n"/>
      <c r="C696" s="2" t="n"/>
      <c r="D696" s="2" t="n"/>
      <c r="E696" s="2" t="n"/>
      <c r="F696" s="2" t="n"/>
    </row>
    <row r="697">
      <c r="A697" s="9" t="n"/>
      <c r="B697" s="3" t="n"/>
      <c r="C697" s="2" t="n"/>
      <c r="D697" s="2" t="n"/>
      <c r="E697" s="2" t="n"/>
      <c r="F697" s="2" t="n"/>
    </row>
    <row r="698">
      <c r="A698" s="9" t="n"/>
      <c r="B698" s="3" t="n"/>
      <c r="C698" s="2" t="n"/>
      <c r="D698" s="2" t="n"/>
      <c r="E698" s="2" t="n"/>
      <c r="F698" s="2" t="n"/>
    </row>
    <row r="699">
      <c r="A699" s="9" t="n"/>
      <c r="B699" s="3" t="n"/>
      <c r="C699" s="2" t="n"/>
      <c r="D699" s="2" t="n"/>
      <c r="E699" s="2" t="n"/>
      <c r="F699" s="2" t="n"/>
    </row>
    <row r="700">
      <c r="A700" s="9" t="n"/>
      <c r="B700" s="3" t="n"/>
      <c r="C700" s="2" t="n"/>
      <c r="D700" s="2" t="n"/>
      <c r="E700" s="2" t="n"/>
      <c r="F700" s="2" t="n"/>
    </row>
    <row r="701">
      <c r="A701" s="9" t="n"/>
      <c r="B701" s="3" t="n"/>
      <c r="C701" s="2" t="n"/>
      <c r="D701" s="2" t="n"/>
      <c r="E701" s="2" t="n"/>
      <c r="F701" s="2" t="n"/>
    </row>
    <row r="702">
      <c r="A702" s="9" t="n"/>
      <c r="B702" s="3" t="n"/>
      <c r="C702" s="2" t="n"/>
      <c r="D702" s="2" t="n"/>
      <c r="E702" s="2" t="n"/>
      <c r="F702" s="2" t="n"/>
    </row>
    <row r="703">
      <c r="A703" s="9" t="n"/>
      <c r="B703" s="3" t="n"/>
      <c r="C703" s="2" t="n"/>
      <c r="D703" s="2" t="n"/>
      <c r="E703" s="2" t="n"/>
      <c r="F703" s="2" t="n"/>
    </row>
    <row r="704">
      <c r="A704" s="9" t="n"/>
      <c r="B704" s="3" t="n"/>
      <c r="C704" s="2" t="n"/>
      <c r="D704" s="2" t="n"/>
      <c r="E704" s="2" t="n"/>
      <c r="F704" s="2" t="n"/>
    </row>
    <row r="705">
      <c r="A705" s="9" t="n"/>
      <c r="B705" s="3" t="n"/>
      <c r="C705" s="2" t="n"/>
      <c r="D705" s="2" t="n"/>
      <c r="E705" s="2" t="n"/>
      <c r="F705" s="2" t="n"/>
    </row>
    <row r="706">
      <c r="A706" s="9" t="n"/>
      <c r="B706" s="3" t="n"/>
      <c r="C706" s="2" t="n"/>
      <c r="D706" s="2" t="n"/>
      <c r="E706" s="2" t="n"/>
      <c r="F706" s="2" t="n"/>
    </row>
    <row r="707">
      <c r="A707" s="9" t="n"/>
      <c r="B707" s="3" t="n"/>
      <c r="C707" s="2" t="n"/>
      <c r="D707" s="2" t="n"/>
      <c r="E707" s="2" t="n"/>
      <c r="F707" s="2" t="n"/>
    </row>
    <row r="708">
      <c r="A708" s="9" t="n"/>
      <c r="B708" s="3" t="n"/>
      <c r="C708" s="2" t="n"/>
      <c r="D708" s="2" t="n"/>
      <c r="E708" s="2" t="n"/>
      <c r="F708" s="2" t="n"/>
    </row>
    <row r="709">
      <c r="A709" s="9" t="n"/>
      <c r="B709" s="3" t="n"/>
      <c r="C709" s="2" t="n"/>
      <c r="D709" s="2" t="n"/>
      <c r="E709" s="2" t="n"/>
      <c r="F709" s="2" t="n"/>
    </row>
    <row r="710">
      <c r="A710" s="9" t="n"/>
      <c r="B710" s="3" t="n"/>
      <c r="C710" s="2" t="n"/>
      <c r="D710" s="2" t="n"/>
      <c r="E710" s="2" t="n"/>
      <c r="F710" s="2" t="n"/>
    </row>
    <row r="711">
      <c r="A711" s="9" t="n"/>
      <c r="B711" s="3" t="n"/>
      <c r="C711" s="2" t="n"/>
      <c r="D711" s="2" t="n"/>
      <c r="E711" s="2" t="n"/>
      <c r="F711" s="2" t="n"/>
    </row>
    <row r="712">
      <c r="A712" s="9" t="n"/>
      <c r="B712" s="3" t="n"/>
      <c r="C712" s="2" t="n"/>
      <c r="D712" s="2" t="n"/>
      <c r="E712" s="2" t="n"/>
      <c r="F712" s="2" t="n"/>
    </row>
    <row r="713">
      <c r="A713" s="9" t="n"/>
      <c r="B713" s="3" t="n"/>
      <c r="C713" s="2" t="n"/>
      <c r="D713" s="2" t="n"/>
      <c r="E713" s="2" t="n"/>
      <c r="F713" s="2" t="n"/>
    </row>
    <row r="714">
      <c r="A714" s="9" t="n"/>
      <c r="B714" s="3" t="n"/>
      <c r="C714" s="2" t="n"/>
      <c r="D714" s="2" t="n"/>
      <c r="E714" s="2" t="n"/>
      <c r="F714" s="2" t="n"/>
    </row>
    <row r="715">
      <c r="A715" s="9" t="n"/>
      <c r="B715" s="3" t="n"/>
      <c r="C715" s="2" t="n"/>
      <c r="D715" s="2" t="n"/>
      <c r="E715" s="2" t="n"/>
      <c r="F715" s="2" t="n"/>
    </row>
    <row r="716">
      <c r="A716" s="9" t="n"/>
      <c r="B716" s="3" t="n"/>
      <c r="C716" s="2" t="n"/>
      <c r="D716" s="2" t="n"/>
      <c r="E716" s="2" t="n"/>
      <c r="F716" s="2" t="n"/>
    </row>
    <row r="717">
      <c r="A717" s="9" t="n"/>
      <c r="B717" s="3" t="n"/>
      <c r="C717" s="2" t="n"/>
      <c r="D717" s="2" t="n"/>
      <c r="E717" s="2" t="n"/>
      <c r="F717" s="2" t="n"/>
    </row>
    <row r="718">
      <c r="A718" s="9" t="n"/>
      <c r="B718" s="3" t="n"/>
      <c r="C718" s="2" t="n"/>
      <c r="D718" s="2" t="n"/>
      <c r="E718" s="2" t="n"/>
      <c r="F718" s="2" t="n"/>
    </row>
    <row r="719">
      <c r="A719" s="9" t="n"/>
      <c r="B719" s="3" t="n"/>
      <c r="C719" s="2" t="n"/>
      <c r="D719" s="2" t="n"/>
      <c r="E719" s="2" t="n"/>
      <c r="F719" s="2" t="n"/>
    </row>
    <row r="720">
      <c r="A720" s="9" t="n"/>
      <c r="B720" s="3" t="n"/>
      <c r="C720" s="2" t="n"/>
      <c r="D720" s="2" t="n"/>
      <c r="E720" s="2" t="n"/>
      <c r="F720" s="2" t="n"/>
    </row>
    <row r="721">
      <c r="A721" s="9" t="n"/>
      <c r="B721" s="3" t="n"/>
      <c r="C721" s="2" t="n"/>
      <c r="D721" s="2" t="n"/>
      <c r="E721" s="2" t="n"/>
      <c r="F721" s="2" t="n"/>
    </row>
    <row r="722">
      <c r="A722" s="9" t="n"/>
      <c r="B722" s="3" t="n"/>
      <c r="C722" s="2" t="n"/>
      <c r="D722" s="2" t="n"/>
      <c r="E722" s="2" t="n"/>
      <c r="F722" s="2" t="n"/>
    </row>
    <row r="723">
      <c r="A723" s="9" t="n"/>
      <c r="B723" s="3" t="n"/>
      <c r="C723" s="2" t="n"/>
      <c r="D723" s="2" t="n"/>
      <c r="E723" s="2" t="n"/>
      <c r="F723" s="2" t="n"/>
    </row>
    <row r="724">
      <c r="A724" s="9" t="n"/>
      <c r="B724" s="3" t="n"/>
      <c r="C724" s="2" t="n"/>
      <c r="D724" s="2" t="n"/>
      <c r="E724" s="2" t="n"/>
      <c r="F724" s="2" t="n"/>
    </row>
    <row r="725">
      <c r="A725" s="9" t="n"/>
      <c r="B725" s="3" t="n"/>
      <c r="C725" s="2" t="n"/>
      <c r="D725" s="2" t="n"/>
      <c r="E725" s="2" t="n"/>
      <c r="F725" s="2" t="n"/>
    </row>
    <row r="726">
      <c r="A726" s="9" t="n"/>
      <c r="B726" s="3" t="n"/>
      <c r="C726" s="2" t="n"/>
      <c r="D726" s="2" t="n"/>
      <c r="E726" s="2" t="n"/>
      <c r="F726" s="2" t="n"/>
    </row>
    <row r="727">
      <c r="A727" s="9" t="n"/>
      <c r="B727" s="3" t="n"/>
      <c r="C727" s="2" t="n"/>
      <c r="D727" s="2" t="n"/>
      <c r="E727" s="2" t="n"/>
      <c r="F727" s="2" t="n"/>
    </row>
    <row r="728">
      <c r="A728" s="9" t="n"/>
      <c r="B728" s="3" t="n"/>
      <c r="C728" s="2" t="n"/>
      <c r="D728" s="2" t="n"/>
      <c r="E728" s="2" t="n"/>
      <c r="F728" s="2" t="n"/>
    </row>
    <row r="729">
      <c r="A729" s="9" t="n"/>
      <c r="B729" s="3" t="n"/>
      <c r="C729" s="2" t="n"/>
      <c r="D729" s="2" t="n"/>
      <c r="E729" s="2" t="n"/>
      <c r="F729" s="2" t="n"/>
    </row>
    <row r="730">
      <c r="A730" s="9" t="n"/>
      <c r="B730" s="3" t="n"/>
      <c r="C730" s="2" t="n"/>
      <c r="D730" s="2" t="n"/>
      <c r="E730" s="2" t="n"/>
      <c r="F730" s="2" t="n"/>
    </row>
    <row r="731">
      <c r="A731" s="9" t="n"/>
      <c r="B731" s="3" t="n"/>
      <c r="C731" s="2" t="n"/>
      <c r="D731" s="2" t="n"/>
      <c r="E731" s="2" t="n"/>
      <c r="F731" s="2" t="n"/>
    </row>
    <row r="732">
      <c r="A732" s="9" t="n"/>
      <c r="B732" s="3" t="n"/>
      <c r="C732" s="2" t="n"/>
      <c r="D732" s="2" t="n"/>
      <c r="E732" s="2" t="n"/>
      <c r="F732" s="2" t="n"/>
    </row>
    <row r="733">
      <c r="A733" s="9" t="n"/>
      <c r="B733" s="3" t="n"/>
      <c r="C733" s="2" t="n"/>
      <c r="D733" s="2" t="n"/>
      <c r="E733" s="2" t="n"/>
      <c r="F733" s="2" t="n"/>
    </row>
    <row r="734">
      <c r="A734" s="9" t="n"/>
      <c r="B734" s="3" t="n"/>
      <c r="C734" s="2" t="n"/>
      <c r="D734" s="2" t="n"/>
      <c r="E734" s="2" t="n"/>
      <c r="F734" s="2" t="n"/>
    </row>
    <row r="735">
      <c r="A735" s="9" t="n"/>
      <c r="B735" s="3" t="n"/>
      <c r="C735" s="2" t="n"/>
      <c r="D735" s="2" t="n"/>
      <c r="E735" s="2" t="n"/>
      <c r="F735" s="2" t="n"/>
    </row>
    <row r="736">
      <c r="A736" s="9" t="n"/>
      <c r="B736" s="3" t="n"/>
      <c r="C736" s="2" t="n"/>
      <c r="D736" s="2" t="n"/>
      <c r="E736" s="2" t="n"/>
      <c r="F736" s="2" t="n"/>
    </row>
    <row r="737">
      <c r="A737" s="9" t="n"/>
      <c r="B737" s="3" t="n"/>
      <c r="C737" s="2" t="n"/>
      <c r="D737" s="2" t="n"/>
      <c r="E737" s="2" t="n"/>
      <c r="F737" s="2" t="n"/>
    </row>
    <row r="738">
      <c r="A738" s="9" t="n"/>
      <c r="B738" s="3" t="n"/>
      <c r="C738" s="2" t="n"/>
      <c r="D738" s="2" t="n"/>
      <c r="E738" s="2" t="n"/>
      <c r="F738" s="2" t="n"/>
    </row>
    <row r="739">
      <c r="A739" s="9" t="n"/>
      <c r="B739" s="3" t="n"/>
      <c r="C739" s="2" t="n"/>
      <c r="D739" s="2" t="n"/>
      <c r="E739" s="2" t="n"/>
      <c r="F739" s="2" t="n"/>
    </row>
    <row r="740">
      <c r="A740" s="9" t="n"/>
      <c r="B740" s="3" t="n"/>
      <c r="C740" s="2" t="n"/>
      <c r="D740" s="2" t="n"/>
      <c r="E740" s="2" t="n"/>
      <c r="F740" s="2" t="n"/>
    </row>
    <row r="741">
      <c r="A741" s="9" t="n"/>
      <c r="B741" s="3" t="n"/>
      <c r="C741" s="2" t="n"/>
      <c r="D741" s="2" t="n"/>
      <c r="E741" s="2" t="n"/>
      <c r="F741" s="2" t="n"/>
    </row>
    <row r="742">
      <c r="A742" s="9" t="n"/>
      <c r="B742" s="3" t="n"/>
      <c r="C742" s="2" t="n"/>
      <c r="D742" s="2" t="n"/>
      <c r="E742" s="2" t="n"/>
      <c r="F742" s="2" t="n"/>
    </row>
    <row r="743">
      <c r="A743" s="9" t="n"/>
      <c r="B743" s="3" t="n"/>
      <c r="C743" s="2" t="n"/>
      <c r="D743" s="2" t="n"/>
      <c r="E743" s="2" t="n"/>
      <c r="F743" s="2" t="n"/>
    </row>
    <row r="744">
      <c r="A744" s="9" t="n"/>
      <c r="B744" s="3" t="n"/>
      <c r="C744" s="2" t="n"/>
      <c r="D744" s="2" t="n"/>
      <c r="E744" s="2" t="n"/>
      <c r="F744" s="2" t="n"/>
    </row>
    <row r="745">
      <c r="A745" s="9" t="n"/>
      <c r="B745" s="3" t="n"/>
      <c r="C745" s="2" t="n"/>
      <c r="D745" s="2" t="n"/>
      <c r="E745" s="2" t="n"/>
      <c r="F745" s="2" t="n"/>
    </row>
    <row r="746">
      <c r="A746" s="9" t="n"/>
      <c r="B746" s="3" t="n"/>
      <c r="C746" s="2" t="n"/>
      <c r="D746" s="2" t="n"/>
      <c r="E746" s="2" t="n"/>
      <c r="F746" s="2" t="n"/>
    </row>
    <row r="747">
      <c r="A747" s="9" t="n"/>
      <c r="B747" s="3" t="n"/>
      <c r="C747" s="2" t="n"/>
      <c r="D747" s="2" t="n"/>
      <c r="E747" s="2" t="n"/>
      <c r="F747" s="2" t="n"/>
    </row>
    <row r="748">
      <c r="A748" s="9" t="n"/>
      <c r="B748" s="3" t="n"/>
      <c r="C748" s="2" t="n"/>
      <c r="D748" s="2" t="n"/>
      <c r="E748" s="2" t="n"/>
      <c r="F748" s="2" t="n"/>
    </row>
    <row r="749">
      <c r="A749" s="9" t="n"/>
      <c r="B749" s="3" t="n"/>
      <c r="C749" s="2" t="n"/>
      <c r="D749" s="2" t="n"/>
      <c r="E749" s="2" t="n"/>
      <c r="F749" s="2" t="n"/>
    </row>
    <row r="750">
      <c r="A750" s="9" t="n"/>
      <c r="B750" s="3" t="n"/>
      <c r="C750" s="2" t="n"/>
      <c r="D750" s="2" t="n"/>
      <c r="E750" s="2" t="n"/>
      <c r="F750" s="2" t="n"/>
    </row>
    <row r="751">
      <c r="A751" s="9" t="n"/>
      <c r="B751" s="3" t="n"/>
      <c r="C751" s="2" t="n"/>
      <c r="D751" s="2" t="n"/>
      <c r="E751" s="2" t="n"/>
      <c r="F751" s="2" t="n"/>
    </row>
    <row r="752">
      <c r="A752" s="9" t="n"/>
      <c r="B752" s="3" t="n"/>
      <c r="C752" s="2" t="n"/>
      <c r="D752" s="2" t="n"/>
      <c r="E752" s="2" t="n"/>
      <c r="F752" s="2" t="n"/>
    </row>
    <row r="753">
      <c r="A753" s="9" t="n"/>
      <c r="B753" s="3" t="n"/>
      <c r="C753" s="2" t="n"/>
      <c r="D753" s="2" t="n"/>
      <c r="E753" s="2" t="n"/>
      <c r="F753" s="2" t="n"/>
    </row>
    <row r="754">
      <c r="A754" s="9" t="n"/>
      <c r="B754" s="3" t="n"/>
      <c r="C754" s="2" t="n"/>
      <c r="D754" s="2" t="n"/>
      <c r="E754" s="2" t="n"/>
      <c r="F754" s="2" t="n"/>
    </row>
    <row r="755">
      <c r="A755" s="9" t="n"/>
      <c r="B755" s="3" t="n"/>
      <c r="C755" s="2" t="n"/>
      <c r="D755" s="2" t="n"/>
      <c r="E755" s="2" t="n"/>
      <c r="F755" s="2" t="n"/>
    </row>
    <row r="756">
      <c r="A756" s="9" t="n"/>
      <c r="B756" s="3" t="n"/>
      <c r="C756" s="2" t="n"/>
      <c r="D756" s="2" t="n"/>
      <c r="E756" s="2" t="n"/>
      <c r="F756" s="2" t="n"/>
    </row>
    <row r="757">
      <c r="A757" s="9" t="n"/>
      <c r="B757" s="3" t="n"/>
      <c r="C757" s="2" t="n"/>
      <c r="D757" s="2" t="n"/>
      <c r="E757" s="2" t="n"/>
      <c r="F757" s="2" t="n"/>
    </row>
    <row r="758">
      <c r="A758" s="9" t="n"/>
      <c r="B758" s="3" t="n"/>
      <c r="C758" s="2" t="n"/>
      <c r="D758" s="2" t="n"/>
      <c r="E758" s="2" t="n"/>
      <c r="F758" s="2" t="n"/>
    </row>
    <row r="759">
      <c r="A759" s="9" t="n"/>
      <c r="B759" s="3" t="n"/>
      <c r="C759" s="2" t="n"/>
      <c r="D759" s="2" t="n"/>
      <c r="E759" s="2" t="n"/>
      <c r="F759" s="2" t="n"/>
    </row>
    <row r="760">
      <c r="A760" s="9" t="n"/>
      <c r="B760" s="3" t="n"/>
      <c r="C760" s="2" t="n"/>
      <c r="D760" s="2" t="n"/>
      <c r="E760" s="2" t="n"/>
      <c r="F760" s="2" t="n"/>
    </row>
    <row r="761">
      <c r="A761" s="9" t="n"/>
      <c r="B761" s="3" t="n"/>
      <c r="C761" s="2" t="n"/>
      <c r="D761" s="2" t="n"/>
      <c r="E761" s="2" t="n"/>
      <c r="F761" s="2" t="n"/>
    </row>
    <row r="762">
      <c r="A762" s="9" t="n"/>
      <c r="B762" s="3" t="n"/>
      <c r="C762" s="2" t="n"/>
      <c r="D762" s="2" t="n"/>
      <c r="E762" s="2" t="n"/>
      <c r="F762" s="2" t="n"/>
    </row>
    <row r="763">
      <c r="A763" s="9" t="n"/>
      <c r="B763" s="3" t="n"/>
      <c r="C763" s="2" t="n"/>
      <c r="D763" s="2" t="n"/>
      <c r="E763" s="2" t="n"/>
      <c r="F763" s="2" t="n"/>
    </row>
    <row r="764">
      <c r="A764" s="9" t="n"/>
      <c r="B764" s="3" t="n"/>
      <c r="C764" s="2" t="n"/>
      <c r="D764" s="2" t="n"/>
      <c r="E764" s="2" t="n"/>
      <c r="F764" s="2" t="n"/>
    </row>
    <row r="765">
      <c r="A765" s="9" t="n"/>
      <c r="B765" s="3" t="n"/>
      <c r="C765" s="2" t="n"/>
      <c r="D765" s="2" t="n"/>
      <c r="E765" s="2" t="n"/>
      <c r="F765" s="2" t="n"/>
    </row>
    <row r="766">
      <c r="A766" s="9" t="n"/>
      <c r="B766" s="3" t="n"/>
      <c r="C766" s="2" t="n"/>
      <c r="D766" s="2" t="n"/>
      <c r="E766" s="2" t="n"/>
      <c r="F766" s="2" t="n"/>
    </row>
    <row r="767">
      <c r="A767" s="9" t="n"/>
      <c r="B767" s="3" t="n"/>
      <c r="C767" s="2" t="n"/>
      <c r="D767" s="2" t="n"/>
      <c r="E767" s="2" t="n"/>
      <c r="F767" s="2" t="n"/>
    </row>
    <row r="768">
      <c r="A768" s="9" t="n"/>
      <c r="B768" s="3" t="n"/>
      <c r="C768" s="2" t="n"/>
      <c r="D768" s="2" t="n"/>
      <c r="E768" s="2" t="n"/>
      <c r="F768" s="2" t="n"/>
    </row>
    <row r="769">
      <c r="A769" s="9" t="n"/>
      <c r="B769" s="3" t="n"/>
      <c r="C769" s="2" t="n"/>
      <c r="D769" s="2" t="n"/>
      <c r="E769" s="2" t="n"/>
      <c r="F769" s="2" t="n"/>
    </row>
    <row r="770">
      <c r="A770" s="9" t="n"/>
      <c r="B770" s="3" t="n"/>
      <c r="C770" s="2" t="n"/>
      <c r="D770" s="2" t="n"/>
      <c r="E770" s="2" t="n"/>
      <c r="F770" s="2" t="n"/>
    </row>
    <row r="771">
      <c r="A771" s="9" t="n"/>
      <c r="B771" s="3" t="n"/>
      <c r="C771" s="2" t="n"/>
      <c r="D771" s="2" t="n"/>
      <c r="E771" s="2" t="n"/>
      <c r="F771" s="2" t="n"/>
    </row>
    <row r="772">
      <c r="A772" s="9" t="n"/>
      <c r="B772" s="3" t="n"/>
      <c r="C772" s="2" t="n"/>
      <c r="D772" s="2" t="n"/>
      <c r="E772" s="2" t="n"/>
      <c r="F772" s="2" t="n"/>
    </row>
    <row r="773">
      <c r="A773" s="9" t="n"/>
      <c r="B773" s="3" t="n"/>
      <c r="C773" s="2" t="n"/>
      <c r="D773" s="2" t="n"/>
      <c r="E773" s="2" t="n"/>
      <c r="F773" s="2" t="n"/>
    </row>
    <row r="774">
      <c r="A774" s="9" t="n"/>
      <c r="B774" s="3" t="n"/>
      <c r="C774" s="2" t="n"/>
      <c r="D774" s="2" t="n"/>
      <c r="E774" s="2" t="n"/>
      <c r="F774" s="2" t="n"/>
    </row>
    <row r="775">
      <c r="A775" s="9" t="n"/>
      <c r="B775" s="3" t="n"/>
      <c r="C775" s="2" t="n"/>
      <c r="D775" s="2" t="n"/>
      <c r="E775" s="2" t="n"/>
      <c r="F775" s="2" t="n"/>
    </row>
    <row r="776">
      <c r="A776" s="9" t="n"/>
      <c r="B776" s="3" t="n"/>
      <c r="C776" s="2" t="n"/>
      <c r="D776" s="2" t="n"/>
      <c r="E776" s="2" t="n"/>
      <c r="F776" s="2" t="n"/>
    </row>
    <row r="777">
      <c r="A777" s="9" t="n"/>
      <c r="B777" s="3" t="n"/>
      <c r="C777" s="2" t="n"/>
      <c r="D777" s="2" t="n"/>
      <c r="E777" s="2" t="n"/>
      <c r="F777" s="2" t="n"/>
    </row>
    <row r="778">
      <c r="A778" s="9" t="n"/>
      <c r="B778" s="3" t="n"/>
      <c r="C778" s="2" t="n"/>
      <c r="D778" s="2" t="n"/>
      <c r="E778" s="2" t="n"/>
      <c r="F778" s="2" t="n"/>
    </row>
    <row r="779">
      <c r="A779" s="9" t="n"/>
      <c r="B779" s="3" t="n"/>
      <c r="C779" s="2" t="n"/>
      <c r="D779" s="2" t="n"/>
      <c r="E779" s="2" t="n"/>
      <c r="F779" s="2" t="n"/>
    </row>
    <row r="780">
      <c r="A780" s="9" t="n"/>
      <c r="B780" s="3" t="n"/>
      <c r="C780" s="2" t="n"/>
      <c r="D780" s="2" t="n"/>
      <c r="E780" s="2" t="n"/>
      <c r="F780" s="2" t="n"/>
    </row>
    <row r="781">
      <c r="A781" s="9" t="n"/>
      <c r="B781" s="3" t="n"/>
      <c r="C781" s="2" t="n"/>
      <c r="D781" s="2" t="n"/>
      <c r="E781" s="2" t="n"/>
      <c r="F781" s="2" t="n"/>
    </row>
    <row r="782">
      <c r="A782" s="9" t="n"/>
      <c r="B782" s="3" t="n"/>
      <c r="C782" s="2" t="n"/>
      <c r="D782" s="2" t="n"/>
      <c r="E782" s="2" t="n"/>
      <c r="F782" s="2" t="n"/>
    </row>
    <row r="783">
      <c r="A783" s="9" t="n"/>
      <c r="B783" s="3" t="n"/>
      <c r="C783" s="2" t="n"/>
      <c r="D783" s="2" t="n"/>
      <c r="E783" s="2" t="n"/>
      <c r="F783" s="2" t="n"/>
    </row>
    <row r="784">
      <c r="A784" s="9" t="n"/>
      <c r="B784" s="3" t="n"/>
      <c r="C784" s="2" t="n"/>
      <c r="D784" s="2" t="n"/>
      <c r="E784" s="2" t="n"/>
      <c r="F784" s="2" t="n"/>
    </row>
    <row r="785">
      <c r="A785" s="9" t="n"/>
      <c r="B785" s="3" t="n"/>
      <c r="C785" s="2" t="n"/>
      <c r="D785" s="2" t="n"/>
      <c r="E785" s="2" t="n"/>
      <c r="F785" s="2" t="n"/>
    </row>
    <row r="786">
      <c r="A786" s="9" t="n"/>
      <c r="B786" s="3" t="n"/>
      <c r="C786" s="2" t="n"/>
      <c r="D786" s="2" t="n"/>
      <c r="E786" s="2" t="n"/>
      <c r="F786" s="2" t="n"/>
    </row>
    <row r="787">
      <c r="A787" s="9" t="n"/>
      <c r="B787" s="3" t="n"/>
      <c r="C787" s="2" t="n"/>
      <c r="D787" s="2" t="n"/>
      <c r="E787" s="2" t="n"/>
      <c r="F787" s="2" t="n"/>
    </row>
    <row r="788">
      <c r="A788" s="9" t="n"/>
      <c r="B788" s="3" t="n"/>
      <c r="C788" s="2" t="n"/>
      <c r="D788" s="2" t="n"/>
      <c r="E788" s="2" t="n"/>
      <c r="F788" s="2" t="n"/>
    </row>
    <row r="789">
      <c r="A789" s="9" t="n"/>
      <c r="B789" s="3" t="n"/>
      <c r="C789" s="2" t="n"/>
      <c r="D789" s="2" t="n"/>
      <c r="E789" s="2" t="n"/>
      <c r="F789" s="2" t="n"/>
    </row>
    <row r="790">
      <c r="A790" s="9" t="n"/>
      <c r="B790" s="3" t="n"/>
      <c r="C790" s="2" t="n"/>
      <c r="D790" s="2" t="n"/>
      <c r="E790" s="2" t="n"/>
      <c r="F790" s="2" t="n"/>
    </row>
    <row r="791">
      <c r="A791" s="9" t="n"/>
      <c r="B791" s="3" t="n"/>
      <c r="C791" s="2" t="n"/>
      <c r="D791" s="2" t="n"/>
      <c r="E791" s="2" t="n"/>
      <c r="F791" s="2" t="n"/>
    </row>
    <row r="792">
      <c r="A792" s="9" t="n"/>
      <c r="B792" s="3" t="n"/>
      <c r="C792" s="2" t="n"/>
      <c r="D792" s="2" t="n"/>
      <c r="E792" s="2" t="n"/>
      <c r="F792" s="2" t="n"/>
    </row>
    <row r="793">
      <c r="A793" s="9" t="n"/>
      <c r="B793" s="3" t="n"/>
      <c r="C793" s="2" t="n"/>
      <c r="D793" s="2" t="n"/>
      <c r="E793" s="2" t="n"/>
      <c r="F793" s="2" t="n"/>
    </row>
    <row r="794">
      <c r="A794" s="9" t="n"/>
      <c r="B794" s="3" t="n"/>
      <c r="C794" s="2" t="n"/>
      <c r="D794" s="2" t="n"/>
      <c r="E794" s="2" t="n"/>
      <c r="F794" s="2" t="n"/>
    </row>
    <row r="795">
      <c r="A795" s="9" t="n"/>
      <c r="B795" s="3" t="n"/>
      <c r="C795" s="2" t="n"/>
      <c r="D795" s="2" t="n"/>
      <c r="E795" s="2" t="n"/>
      <c r="F795" s="2" t="n"/>
    </row>
    <row r="796">
      <c r="A796" s="9" t="n"/>
      <c r="B796" s="3" t="n"/>
      <c r="C796" s="2" t="n"/>
      <c r="D796" s="2" t="n"/>
      <c r="E796" s="2" t="n"/>
      <c r="F796" s="2" t="n"/>
    </row>
    <row r="797">
      <c r="A797" s="9" t="n"/>
      <c r="B797" s="3" t="n"/>
      <c r="C797" s="2" t="n"/>
      <c r="D797" s="2" t="n"/>
      <c r="E797" s="2" t="n"/>
      <c r="F797" s="2" t="n"/>
    </row>
    <row r="798">
      <c r="A798" s="9" t="n"/>
      <c r="B798" s="3" t="n"/>
      <c r="C798" s="2" t="n"/>
      <c r="D798" s="2" t="n"/>
      <c r="E798" s="2" t="n"/>
      <c r="F798" s="2" t="n"/>
    </row>
    <row r="799">
      <c r="A799" s="9" t="n"/>
      <c r="B799" s="3" t="n"/>
      <c r="C799" s="2" t="n"/>
      <c r="D799" s="2" t="n"/>
      <c r="E799" s="2" t="n"/>
      <c r="F799" s="2" t="n"/>
    </row>
    <row r="800">
      <c r="A800" s="9" t="n"/>
      <c r="B800" s="3" t="n"/>
      <c r="C800" s="2" t="n"/>
      <c r="D800" s="2" t="n"/>
      <c r="E800" s="2" t="n"/>
      <c r="F800" s="2" t="n"/>
    </row>
    <row r="801">
      <c r="A801" s="9" t="n"/>
      <c r="B801" s="3" t="n"/>
      <c r="C801" s="2" t="n"/>
      <c r="D801" s="2" t="n"/>
      <c r="E801" s="2" t="n"/>
      <c r="F801" s="2" t="n"/>
    </row>
    <row r="802">
      <c r="A802" s="9" t="n"/>
      <c r="B802" s="3" t="n"/>
      <c r="C802" s="2" t="n"/>
      <c r="D802" s="2" t="n"/>
      <c r="E802" s="2" t="n"/>
      <c r="F802" s="2" t="n"/>
    </row>
    <row r="803">
      <c r="A803" s="9" t="n"/>
      <c r="B803" s="3" t="n"/>
      <c r="C803" s="2" t="n"/>
      <c r="D803" s="2" t="n"/>
      <c r="E803" s="2" t="n"/>
      <c r="F803" s="2" t="n"/>
    </row>
    <row r="804">
      <c r="A804" s="9" t="n"/>
      <c r="B804" s="3" t="n"/>
      <c r="C804" s="2" t="n"/>
      <c r="D804" s="2" t="n"/>
      <c r="E804" s="2" t="n"/>
      <c r="F804" s="2" t="n"/>
    </row>
    <row r="805">
      <c r="A805" s="9" t="n"/>
      <c r="B805" s="3" t="n"/>
      <c r="C805" s="2" t="n"/>
      <c r="D805" s="2" t="n"/>
      <c r="E805" s="2" t="n"/>
      <c r="F805" s="2" t="n"/>
    </row>
    <row r="806">
      <c r="A806" s="9" t="n"/>
      <c r="B806" s="3" t="n"/>
      <c r="C806" s="2" t="n"/>
      <c r="D806" s="2" t="n"/>
      <c r="E806" s="2" t="n"/>
      <c r="F806" s="2" t="n"/>
    </row>
    <row r="807">
      <c r="A807" s="9" t="n"/>
      <c r="B807" s="3" t="n"/>
      <c r="C807" s="2" t="n"/>
      <c r="D807" s="2" t="n"/>
      <c r="E807" s="2" t="n"/>
      <c r="F807" s="2" t="n"/>
    </row>
    <row r="808">
      <c r="A808" s="9" t="n"/>
      <c r="B808" s="3" t="n"/>
      <c r="C808" s="2" t="n"/>
      <c r="D808" s="2" t="n"/>
      <c r="E808" s="2" t="n"/>
      <c r="F808" s="2" t="n"/>
    </row>
    <row r="809">
      <c r="A809" s="9" t="n"/>
      <c r="B809" s="3" t="n"/>
      <c r="C809" s="2" t="n"/>
      <c r="D809" s="2" t="n"/>
      <c r="E809" s="2" t="n"/>
      <c r="F809" s="2" t="n"/>
    </row>
    <row r="810">
      <c r="A810" s="9" t="n"/>
      <c r="B810" s="3" t="n"/>
      <c r="C810" s="2" t="n"/>
      <c r="D810" s="2" t="n"/>
      <c r="E810" s="2" t="n"/>
      <c r="F810" s="2" t="n"/>
    </row>
    <row r="811">
      <c r="A811" s="9" t="n"/>
      <c r="B811" s="3" t="n"/>
      <c r="C811" s="2" t="n"/>
      <c r="D811" s="2" t="n"/>
      <c r="E811" s="2" t="n"/>
      <c r="F811" s="2" t="n"/>
    </row>
    <row r="812">
      <c r="A812" s="9" t="n"/>
      <c r="B812" s="3" t="n"/>
      <c r="C812" s="2" t="n"/>
      <c r="D812" s="2" t="n"/>
      <c r="E812" s="2" t="n"/>
      <c r="F812" s="2" t="n"/>
    </row>
    <row r="813">
      <c r="A813" s="9" t="n"/>
      <c r="B813" s="3" t="n"/>
      <c r="C813" s="2" t="n"/>
      <c r="D813" s="2" t="n"/>
      <c r="E813" s="2" t="n"/>
      <c r="F813" s="2" t="n"/>
    </row>
    <row r="814">
      <c r="A814" s="9" t="n"/>
      <c r="B814" s="3" t="n"/>
      <c r="C814" s="2" t="n"/>
      <c r="D814" s="2" t="n"/>
      <c r="E814" s="2" t="n"/>
      <c r="F814" s="2" t="n"/>
    </row>
    <row r="815">
      <c r="A815" s="9" t="n"/>
      <c r="B815" s="3" t="n"/>
      <c r="C815" s="2" t="n"/>
      <c r="D815" s="2" t="n"/>
      <c r="E815" s="2" t="n"/>
      <c r="F815" s="2" t="n"/>
    </row>
    <row r="816">
      <c r="A816" s="9" t="n"/>
      <c r="B816" s="3" t="n"/>
      <c r="C816" s="2" t="n"/>
      <c r="D816" s="2" t="n"/>
      <c r="E816" s="2" t="n"/>
      <c r="F816" s="2" t="n"/>
    </row>
    <row r="817">
      <c r="A817" s="9" t="n"/>
      <c r="B817" s="3" t="n"/>
      <c r="C817" s="2" t="n"/>
      <c r="D817" s="2" t="n"/>
      <c r="E817" s="2" t="n"/>
      <c r="F817" s="2" t="n"/>
    </row>
    <row r="818">
      <c r="A818" s="9" t="n"/>
      <c r="B818" s="3" t="n"/>
      <c r="C818" s="2" t="n"/>
      <c r="D818" s="2" t="n"/>
      <c r="E818" s="2" t="n"/>
      <c r="F818" s="2" t="n"/>
    </row>
    <row r="819">
      <c r="A819" s="9" t="n"/>
      <c r="B819" s="3" t="n"/>
      <c r="C819" s="2" t="n"/>
      <c r="D819" s="2" t="n"/>
      <c r="E819" s="2" t="n"/>
      <c r="F819" s="2" t="n"/>
    </row>
    <row r="820">
      <c r="A820" s="9" t="n"/>
      <c r="B820" s="3" t="n"/>
      <c r="C820" s="2" t="n"/>
      <c r="D820" s="2" t="n"/>
      <c r="E820" s="2" t="n"/>
      <c r="F820" s="2" t="n"/>
    </row>
    <row r="821">
      <c r="A821" s="9" t="n"/>
      <c r="B821" s="3" t="n"/>
      <c r="C821" s="2" t="n"/>
      <c r="D821" s="2" t="n"/>
      <c r="E821" s="2" t="n"/>
      <c r="F821" s="2" t="n"/>
    </row>
    <row r="822">
      <c r="A822" s="9" t="n"/>
      <c r="B822" s="3" t="n"/>
      <c r="C822" s="2" t="n"/>
      <c r="D822" s="2" t="n"/>
      <c r="E822" s="2" t="n"/>
      <c r="F822" s="2" t="n"/>
    </row>
    <row r="823">
      <c r="A823" s="9" t="n"/>
      <c r="B823" s="3" t="n"/>
      <c r="C823" s="2" t="n"/>
      <c r="D823" s="2" t="n"/>
      <c r="E823" s="2" t="n"/>
      <c r="F823" s="2" t="n"/>
    </row>
    <row r="824">
      <c r="A824" s="9" t="n"/>
      <c r="B824" s="3" t="n"/>
      <c r="C824" s="2" t="n"/>
      <c r="D824" s="2" t="n"/>
      <c r="E824" s="2" t="n"/>
      <c r="F824" s="2" t="n"/>
    </row>
    <row r="825">
      <c r="A825" s="9" t="n"/>
      <c r="B825" s="3" t="n"/>
      <c r="C825" s="2" t="n"/>
      <c r="D825" s="2" t="n"/>
      <c r="E825" s="2" t="n"/>
      <c r="F825" s="2" t="n"/>
    </row>
    <row r="826">
      <c r="A826" s="9" t="n"/>
      <c r="B826" s="3" t="n"/>
      <c r="C826" s="2" t="n"/>
      <c r="D826" s="2" t="n"/>
      <c r="E826" s="2" t="n"/>
      <c r="F826" s="2" t="n"/>
    </row>
    <row r="827">
      <c r="A827" s="9" t="n"/>
      <c r="B827" s="3" t="n"/>
      <c r="C827" s="2" t="n"/>
      <c r="D827" s="2" t="n"/>
      <c r="E827" s="2" t="n"/>
      <c r="F827" s="2" t="n"/>
    </row>
    <row r="828">
      <c r="A828" s="9" t="n"/>
      <c r="B828" s="3" t="n"/>
      <c r="C828" s="2" t="n"/>
      <c r="D828" s="2" t="n"/>
      <c r="E828" s="2" t="n"/>
      <c r="F828" s="2" t="n"/>
    </row>
    <row r="829">
      <c r="A829" s="9" t="n"/>
      <c r="B829" s="3" t="n"/>
      <c r="C829" s="2" t="n"/>
      <c r="D829" s="2" t="n"/>
      <c r="E829" s="2" t="n"/>
      <c r="F829" s="2" t="n"/>
    </row>
    <row r="830">
      <c r="A830" s="9" t="n"/>
      <c r="B830" s="3" t="n"/>
      <c r="C830" s="2" t="n"/>
      <c r="D830" s="2" t="n"/>
      <c r="E830" s="2" t="n"/>
      <c r="F830" s="2" t="n"/>
    </row>
    <row r="831">
      <c r="A831" s="9" t="n"/>
      <c r="B831" s="3" t="n"/>
      <c r="C831" s="2" t="n"/>
      <c r="D831" s="2" t="n"/>
      <c r="E831" s="2" t="n"/>
      <c r="F831" s="2" t="n"/>
    </row>
    <row r="832">
      <c r="A832" s="9" t="n"/>
      <c r="B832" s="3" t="n"/>
      <c r="C832" s="2" t="n"/>
      <c r="D832" s="2" t="n"/>
      <c r="E832" s="2" t="n"/>
      <c r="F832" s="2" t="n"/>
    </row>
    <row r="833">
      <c r="A833" s="9" t="n"/>
      <c r="B833" s="3" t="n"/>
      <c r="C833" s="2" t="n"/>
      <c r="D833" s="2" t="n"/>
      <c r="E833" s="2" t="n"/>
      <c r="F833" s="2" t="n"/>
    </row>
    <row r="834">
      <c r="A834" s="9" t="n"/>
      <c r="B834" s="3" t="n"/>
      <c r="C834" s="2" t="n"/>
      <c r="D834" s="2" t="n"/>
      <c r="E834" s="2" t="n"/>
      <c r="F834" s="2" t="n"/>
    </row>
    <row r="835">
      <c r="A835" s="9" t="n"/>
      <c r="B835" s="3" t="n"/>
      <c r="C835" s="2" t="n"/>
      <c r="D835" s="2" t="n"/>
      <c r="E835" s="2" t="n"/>
      <c r="F835" s="2" t="n"/>
    </row>
    <row r="836">
      <c r="A836" s="9" t="n"/>
      <c r="B836" s="3" t="n"/>
      <c r="C836" s="2" t="n"/>
      <c r="D836" s="2" t="n"/>
      <c r="E836" s="2" t="n"/>
      <c r="F836" s="2" t="n"/>
    </row>
    <row r="837">
      <c r="A837" s="9" t="n"/>
      <c r="B837" s="3" t="n"/>
      <c r="C837" s="2" t="n"/>
      <c r="D837" s="2" t="n"/>
      <c r="E837" s="2" t="n"/>
      <c r="F837" s="2" t="n"/>
    </row>
    <row r="838">
      <c r="A838" s="9" t="n"/>
      <c r="B838" s="3" t="n"/>
      <c r="C838" s="2" t="n"/>
      <c r="D838" s="2" t="n"/>
      <c r="E838" s="2" t="n"/>
      <c r="F838" s="2" t="n"/>
    </row>
    <row r="839">
      <c r="A839" s="9" t="n"/>
      <c r="B839" s="3" t="n"/>
      <c r="C839" s="2" t="n"/>
      <c r="D839" s="2" t="n"/>
      <c r="E839" s="2" t="n"/>
      <c r="F839" s="2" t="n"/>
    </row>
    <row r="840">
      <c r="A840" s="9" t="n"/>
      <c r="B840" s="3" t="n"/>
      <c r="C840" s="2" t="n"/>
      <c r="D840" s="2" t="n"/>
      <c r="E840" s="2" t="n"/>
      <c r="F840" s="2" t="n"/>
    </row>
    <row r="841">
      <c r="A841" s="9" t="n"/>
      <c r="B841" s="3" t="n"/>
      <c r="C841" s="2" t="n"/>
      <c r="D841" s="2" t="n"/>
      <c r="E841" s="2" t="n"/>
      <c r="F841" s="2" t="n"/>
    </row>
    <row r="842">
      <c r="A842" s="9" t="n"/>
      <c r="B842" s="3" t="n"/>
      <c r="C842" s="2" t="n"/>
      <c r="D842" s="2" t="n"/>
      <c r="E842" s="2" t="n"/>
      <c r="F842" s="2" t="n"/>
    </row>
    <row r="843">
      <c r="A843" s="9" t="n"/>
      <c r="B843" s="3" t="n"/>
      <c r="C843" s="2" t="n"/>
      <c r="D843" s="2" t="n"/>
      <c r="E843" s="2" t="n"/>
      <c r="F843" s="2" t="n"/>
    </row>
    <row r="844">
      <c r="A844" s="9" t="n"/>
      <c r="B844" s="3" t="n"/>
      <c r="C844" s="2" t="n"/>
      <c r="D844" s="2" t="n"/>
      <c r="E844" s="2" t="n"/>
      <c r="F844" s="2" t="n"/>
    </row>
    <row r="845">
      <c r="A845" s="9" t="n"/>
      <c r="B845" s="3" t="n"/>
      <c r="C845" s="2" t="n"/>
      <c r="D845" s="2" t="n"/>
      <c r="E845" s="2" t="n"/>
      <c r="F845" s="2" t="n"/>
    </row>
    <row r="846">
      <c r="A846" s="9" t="n"/>
      <c r="B846" s="3" t="n"/>
      <c r="C846" s="2" t="n"/>
      <c r="D846" s="2" t="n"/>
      <c r="E846" s="2" t="n"/>
      <c r="F846" s="2" t="n"/>
    </row>
    <row r="847">
      <c r="A847" s="9" t="n"/>
      <c r="B847" s="3" t="n"/>
      <c r="C847" s="2" t="n"/>
      <c r="D847" s="2" t="n"/>
      <c r="E847" s="2" t="n"/>
      <c r="F847" s="2" t="n"/>
    </row>
    <row r="848">
      <c r="A848" s="9" t="n"/>
      <c r="B848" s="3" t="n"/>
      <c r="C848" s="2" t="n"/>
      <c r="D848" s="2" t="n"/>
      <c r="E848" s="2" t="n"/>
      <c r="F848" s="2" t="n"/>
    </row>
    <row r="849">
      <c r="A849" s="9" t="n"/>
      <c r="B849" s="3" t="n"/>
      <c r="C849" s="2" t="n"/>
      <c r="D849" s="2" t="n"/>
      <c r="E849" s="2" t="n"/>
      <c r="F849" s="2" t="n"/>
    </row>
    <row r="850">
      <c r="A850" s="9" t="n"/>
      <c r="B850" s="3" t="n"/>
      <c r="C850" s="2" t="n"/>
      <c r="D850" s="2" t="n"/>
      <c r="E850" s="2" t="n"/>
      <c r="F850" s="2" t="n"/>
    </row>
    <row r="851">
      <c r="A851" s="9" t="n"/>
      <c r="B851" s="3" t="n"/>
      <c r="C851" s="2" t="n"/>
      <c r="D851" s="2" t="n"/>
      <c r="E851" s="2" t="n"/>
      <c r="F851" s="2" t="n"/>
    </row>
    <row r="852">
      <c r="A852" s="9" t="n"/>
      <c r="B852" s="3" t="n"/>
      <c r="C852" s="2" t="n"/>
      <c r="D852" s="2" t="n"/>
      <c r="E852" s="2" t="n"/>
      <c r="F852" s="2" t="n"/>
    </row>
    <row r="853">
      <c r="A853" s="9" t="n"/>
      <c r="B853" s="3" t="n"/>
      <c r="C853" s="2" t="n"/>
      <c r="D853" s="2" t="n"/>
      <c r="E853" s="2" t="n"/>
      <c r="F853" s="2" t="n"/>
    </row>
    <row r="854">
      <c r="A854" s="9" t="n"/>
      <c r="B854" s="3" t="n"/>
      <c r="C854" s="2" t="n"/>
      <c r="D854" s="2" t="n"/>
      <c r="E854" s="2" t="n"/>
      <c r="F854" s="2" t="n"/>
    </row>
    <row r="855">
      <c r="A855" s="9" t="n"/>
      <c r="B855" s="3" t="n"/>
      <c r="C855" s="2" t="n"/>
      <c r="D855" s="2" t="n"/>
      <c r="E855" s="2" t="n"/>
      <c r="F855" s="2" t="n"/>
    </row>
    <row r="856">
      <c r="A856" s="9" t="n"/>
      <c r="B856" s="3" t="n"/>
      <c r="C856" s="2" t="n"/>
      <c r="D856" s="2" t="n"/>
      <c r="E856" s="2" t="n"/>
      <c r="F856" s="2" t="n"/>
    </row>
    <row r="857">
      <c r="A857" s="9" t="n"/>
      <c r="B857" s="3" t="n"/>
      <c r="C857" s="2" t="n"/>
      <c r="D857" s="2" t="n"/>
      <c r="E857" s="2" t="n"/>
      <c r="F857" s="2" t="n"/>
    </row>
    <row r="858">
      <c r="A858" s="9" t="n"/>
      <c r="B858" s="3" t="n"/>
      <c r="C858" s="2" t="n"/>
      <c r="D858" s="2" t="n"/>
      <c r="E858" s="2" t="n"/>
      <c r="F858" s="2" t="n"/>
    </row>
    <row r="859">
      <c r="A859" s="9" t="n"/>
      <c r="B859" s="3" t="n"/>
      <c r="C859" s="2" t="n"/>
      <c r="D859" s="2" t="n"/>
      <c r="E859" s="2" t="n"/>
      <c r="F859" s="2" t="n"/>
    </row>
    <row r="860">
      <c r="A860" s="9" t="n"/>
      <c r="B860" s="3" t="n"/>
      <c r="C860" s="2" t="n"/>
      <c r="D860" s="2" t="n"/>
      <c r="E860" s="2" t="n"/>
      <c r="F860" s="2" t="n"/>
    </row>
    <row r="861">
      <c r="A861" s="9" t="n"/>
      <c r="B861" s="3" t="n"/>
      <c r="C861" s="2" t="n"/>
      <c r="D861" s="2" t="n"/>
      <c r="E861" s="2" t="n"/>
      <c r="F861" s="2" t="n"/>
    </row>
    <row r="862">
      <c r="A862" s="9" t="n"/>
      <c r="B862" s="3" t="n"/>
      <c r="C862" s="2" t="n"/>
      <c r="D862" s="2" t="n"/>
      <c r="E862" s="2" t="n"/>
      <c r="F862" s="2" t="n"/>
    </row>
    <row r="863">
      <c r="A863" s="9" t="n"/>
      <c r="B863" s="3" t="n"/>
      <c r="C863" s="2" t="n"/>
      <c r="D863" s="2" t="n"/>
      <c r="E863" s="2" t="n"/>
      <c r="F863" s="2" t="n"/>
    </row>
    <row r="864">
      <c r="A864" s="9" t="n"/>
      <c r="B864" s="3" t="n"/>
      <c r="C864" s="2" t="n"/>
      <c r="D864" s="2" t="n"/>
      <c r="E864" s="2" t="n"/>
      <c r="F864" s="2" t="n"/>
    </row>
    <row r="865">
      <c r="A865" s="9" t="n"/>
      <c r="B865" s="3" t="n"/>
      <c r="C865" s="2" t="n"/>
      <c r="D865" s="2" t="n"/>
      <c r="E865" s="2" t="n"/>
      <c r="F865" s="2" t="n"/>
    </row>
    <row r="866">
      <c r="A866" s="9" t="n"/>
      <c r="B866" s="3" t="n"/>
      <c r="C866" s="2" t="n"/>
      <c r="D866" s="2" t="n"/>
      <c r="E866" s="2" t="n"/>
      <c r="F866" s="2" t="n"/>
    </row>
    <row r="867">
      <c r="A867" s="9" t="n"/>
      <c r="B867" s="3" t="n"/>
      <c r="C867" s="2" t="n"/>
      <c r="D867" s="2" t="n"/>
      <c r="E867" s="2" t="n"/>
      <c r="F867" s="2" t="n"/>
    </row>
    <row r="868">
      <c r="A868" s="9" t="n"/>
      <c r="B868" s="3" t="n"/>
      <c r="C868" s="2" t="n"/>
      <c r="D868" s="2" t="n"/>
      <c r="E868" s="2" t="n"/>
      <c r="F868" s="2" t="n"/>
    </row>
    <row r="869">
      <c r="A869" s="9" t="n"/>
      <c r="B869" s="3" t="n"/>
      <c r="C869" s="2" t="n"/>
      <c r="D869" s="2" t="n"/>
      <c r="E869" s="2" t="n"/>
      <c r="F869" s="2" t="n"/>
    </row>
    <row r="870">
      <c r="A870" s="9" t="n"/>
      <c r="B870" s="3" t="n"/>
      <c r="C870" s="2" t="n"/>
      <c r="D870" s="2" t="n"/>
      <c r="E870" s="2" t="n"/>
      <c r="F870" s="2" t="n"/>
    </row>
    <row r="871">
      <c r="A871" s="9" t="n"/>
      <c r="B871" s="3" t="n"/>
      <c r="C871" s="2" t="n"/>
      <c r="D871" s="2" t="n"/>
      <c r="E871" s="2" t="n"/>
      <c r="F871" s="2" t="n"/>
    </row>
    <row r="872">
      <c r="A872" s="9" t="n"/>
      <c r="B872" s="3" t="n"/>
      <c r="C872" s="2" t="n"/>
      <c r="D872" s="2" t="n"/>
      <c r="E872" s="2" t="n"/>
      <c r="F872" s="2" t="n"/>
    </row>
    <row r="873">
      <c r="A873" s="9" t="n"/>
      <c r="B873" s="3" t="n"/>
      <c r="C873" s="2" t="n"/>
      <c r="D873" s="2" t="n"/>
      <c r="E873" s="2" t="n"/>
      <c r="F873" s="2" t="n"/>
    </row>
    <row r="874">
      <c r="A874" s="9" t="n"/>
      <c r="B874" s="3" t="n"/>
      <c r="C874" s="2" t="n"/>
      <c r="D874" s="2" t="n"/>
      <c r="E874" s="2" t="n"/>
      <c r="F874" s="2" t="n"/>
    </row>
    <row r="875">
      <c r="A875" s="9" t="n"/>
      <c r="B875" s="3" t="n"/>
      <c r="C875" s="2" t="n"/>
      <c r="D875" s="2" t="n"/>
      <c r="E875" s="2" t="n"/>
      <c r="F875" s="2" t="n"/>
    </row>
    <row r="876">
      <c r="A876" s="9" t="n"/>
      <c r="B876" s="3" t="n"/>
      <c r="C876" s="2" t="n"/>
      <c r="D876" s="2" t="n"/>
      <c r="E876" s="2" t="n"/>
      <c r="F876" s="2" t="n"/>
    </row>
    <row r="877">
      <c r="A877" s="9" t="n"/>
      <c r="B877" s="3" t="n"/>
      <c r="C877" s="2" t="n"/>
      <c r="D877" s="2" t="n"/>
      <c r="E877" s="2" t="n"/>
      <c r="F877" s="2" t="n"/>
    </row>
    <row r="878">
      <c r="A878" s="9" t="n"/>
      <c r="B878" s="3" t="n"/>
      <c r="C878" s="2" t="n"/>
      <c r="D878" s="2" t="n"/>
      <c r="E878" s="2" t="n"/>
      <c r="F878" s="2" t="n"/>
    </row>
    <row r="879">
      <c r="A879" s="9" t="n"/>
      <c r="B879" s="3" t="n"/>
      <c r="C879" s="2" t="n"/>
      <c r="D879" s="2" t="n"/>
      <c r="E879" s="2" t="n"/>
      <c r="F879" s="2" t="n"/>
    </row>
    <row r="880">
      <c r="A880" s="9" t="n"/>
      <c r="B880" s="3" t="n"/>
      <c r="C880" s="2" t="n"/>
      <c r="D880" s="2" t="n"/>
      <c r="E880" s="2" t="n"/>
      <c r="F880" s="2" t="n"/>
    </row>
    <row r="881">
      <c r="A881" s="9" t="n"/>
      <c r="B881" s="3" t="n"/>
      <c r="C881" s="2" t="n"/>
      <c r="D881" s="2" t="n"/>
      <c r="E881" s="2" t="n"/>
      <c r="F881" s="2" t="n"/>
    </row>
    <row r="882">
      <c r="A882" s="9" t="n"/>
      <c r="B882" s="3" t="n"/>
      <c r="C882" s="2" t="n"/>
      <c r="D882" s="2" t="n"/>
      <c r="E882" s="2" t="n"/>
      <c r="F882" s="2" t="n"/>
    </row>
    <row r="883">
      <c r="A883" s="9" t="n"/>
      <c r="B883" s="3" t="n"/>
      <c r="C883" s="2" t="n"/>
      <c r="D883" s="2" t="n"/>
      <c r="E883" s="2" t="n"/>
      <c r="F883" s="2" t="n"/>
    </row>
    <row r="884">
      <c r="A884" s="9" t="n"/>
      <c r="B884" s="3" t="n"/>
      <c r="C884" s="2" t="n"/>
      <c r="D884" s="2" t="n"/>
      <c r="E884" s="2" t="n"/>
      <c r="F884" s="2" t="n"/>
    </row>
    <row r="885">
      <c r="A885" s="9" t="n"/>
      <c r="B885" s="3" t="n"/>
      <c r="C885" s="2" t="n"/>
      <c r="D885" s="2" t="n"/>
      <c r="E885" s="2" t="n"/>
      <c r="F885" s="2" t="n"/>
    </row>
    <row r="886">
      <c r="A886" s="9" t="n"/>
      <c r="B886" s="3" t="n"/>
      <c r="C886" s="2" t="n"/>
      <c r="D886" s="2" t="n"/>
      <c r="E886" s="2" t="n"/>
      <c r="F886" s="2" t="n"/>
    </row>
    <row r="887">
      <c r="A887" s="9" t="n"/>
      <c r="B887" s="3" t="n"/>
      <c r="C887" s="2" t="n"/>
      <c r="D887" s="2" t="n"/>
      <c r="E887" s="2" t="n"/>
      <c r="F887" s="2" t="n"/>
    </row>
    <row r="888">
      <c r="A888" s="9" t="n"/>
      <c r="B888" s="3" t="n"/>
      <c r="C888" s="2" t="n"/>
      <c r="D888" s="2" t="n"/>
      <c r="E888" s="2" t="n"/>
      <c r="F888" s="2" t="n"/>
    </row>
    <row r="889">
      <c r="A889" s="9" t="n"/>
      <c r="B889" s="3" t="n"/>
      <c r="C889" s="2" t="n"/>
      <c r="D889" s="2" t="n"/>
      <c r="E889" s="2" t="n"/>
      <c r="F889" s="2" t="n"/>
    </row>
    <row r="890">
      <c r="A890" s="9" t="n"/>
      <c r="B890" s="3" t="n"/>
      <c r="C890" s="2" t="n"/>
      <c r="D890" s="2" t="n"/>
      <c r="E890" s="2" t="n"/>
      <c r="F890" s="2" t="n"/>
    </row>
    <row r="891">
      <c r="A891" s="9" t="n"/>
      <c r="B891" s="3" t="n"/>
      <c r="C891" s="2" t="n"/>
      <c r="D891" s="2" t="n"/>
      <c r="E891" s="2" t="n"/>
      <c r="F891" s="2" t="n"/>
    </row>
    <row r="892">
      <c r="A892" s="9" t="n"/>
      <c r="B892" s="3" t="n"/>
      <c r="C892" s="2" t="n"/>
      <c r="D892" s="2" t="n"/>
      <c r="E892" s="2" t="n"/>
      <c r="F892" s="2" t="n"/>
    </row>
    <row r="893">
      <c r="A893" s="9" t="n"/>
      <c r="B893" s="3" t="n"/>
      <c r="C893" s="2" t="n"/>
      <c r="D893" s="2" t="n"/>
      <c r="E893" s="2" t="n"/>
      <c r="F893" s="2" t="n"/>
    </row>
    <row r="894">
      <c r="A894" s="9" t="n"/>
      <c r="B894" s="3" t="n"/>
      <c r="C894" s="2" t="n"/>
      <c r="D894" s="2" t="n"/>
      <c r="E894" s="2" t="n"/>
      <c r="F894" s="2" t="n"/>
    </row>
    <row r="895">
      <c r="A895" s="9" t="n"/>
      <c r="B895" s="3" t="n"/>
      <c r="C895" s="2" t="n"/>
      <c r="D895" s="2" t="n"/>
      <c r="E895" s="2" t="n"/>
      <c r="F895" s="2" t="n"/>
    </row>
    <row r="896">
      <c r="A896" s="9" t="n"/>
      <c r="B896" s="3" t="n"/>
      <c r="C896" s="2" t="n"/>
      <c r="D896" s="2" t="n"/>
      <c r="E896" s="2" t="n"/>
      <c r="F896" s="2" t="n"/>
    </row>
    <row r="897">
      <c r="A897" s="9" t="n"/>
      <c r="B897" s="3" t="n"/>
      <c r="C897" s="2" t="n"/>
      <c r="D897" s="2" t="n"/>
      <c r="E897" s="2" t="n"/>
      <c r="F897" s="2" t="n"/>
    </row>
    <row r="898">
      <c r="A898" s="9" t="n"/>
      <c r="B898" s="3" t="n"/>
      <c r="C898" s="2" t="n"/>
      <c r="D898" s="2" t="n"/>
      <c r="E898" s="2" t="n"/>
      <c r="F898" s="2" t="n"/>
    </row>
    <row r="899">
      <c r="A899" s="9" t="n"/>
      <c r="B899" s="3" t="n"/>
      <c r="C899" s="2" t="n"/>
      <c r="D899" s="2" t="n"/>
      <c r="E899" s="2" t="n"/>
      <c r="F899" s="2" t="n"/>
    </row>
    <row r="900">
      <c r="A900" s="9" t="n"/>
      <c r="B900" s="3" t="n"/>
      <c r="C900" s="2" t="n"/>
      <c r="D900" s="2" t="n"/>
      <c r="E900" s="2" t="n"/>
      <c r="F900" s="2" t="n"/>
    </row>
    <row r="901">
      <c r="A901" s="9" t="n"/>
      <c r="B901" s="3" t="n"/>
      <c r="C901" s="2" t="n"/>
      <c r="D901" s="2" t="n"/>
      <c r="E901" s="2" t="n"/>
      <c r="F901" s="2" t="n"/>
    </row>
    <row r="902">
      <c r="A902" s="9" t="n"/>
      <c r="B902" s="3" t="n"/>
      <c r="C902" s="2" t="n"/>
      <c r="D902" s="2" t="n"/>
      <c r="E902" s="2" t="n"/>
      <c r="F902" s="2" t="n"/>
    </row>
    <row r="903">
      <c r="A903" s="9" t="n"/>
      <c r="B903" s="3" t="n"/>
      <c r="C903" s="2" t="n"/>
      <c r="D903" s="2" t="n"/>
      <c r="E903" s="2" t="n"/>
      <c r="F903" s="2" t="n"/>
    </row>
    <row r="904">
      <c r="A904" s="9" t="n"/>
      <c r="B904" s="3" t="n"/>
      <c r="C904" s="2" t="n"/>
      <c r="D904" s="2" t="n"/>
      <c r="E904" s="2" t="n"/>
      <c r="F904" s="2" t="n"/>
    </row>
    <row r="905">
      <c r="A905" s="9" t="n"/>
      <c r="B905" s="3" t="n"/>
      <c r="C905" s="2" t="n"/>
      <c r="D905" s="2" t="n"/>
      <c r="E905" s="2" t="n"/>
      <c r="F905" s="2" t="n"/>
    </row>
    <row r="906">
      <c r="A906" s="9" t="n"/>
      <c r="B906" s="3" t="n"/>
      <c r="C906" s="2" t="n"/>
      <c r="D906" s="2" t="n"/>
      <c r="E906" s="2" t="n"/>
      <c r="F906" s="2" t="n"/>
    </row>
    <row r="907">
      <c r="A907" s="9" t="n"/>
      <c r="B907" s="3" t="n"/>
      <c r="C907" s="2" t="n"/>
      <c r="D907" s="2" t="n"/>
      <c r="E907" s="2" t="n"/>
      <c r="F907" s="2" t="n"/>
    </row>
    <row r="908">
      <c r="A908" s="9" t="n"/>
      <c r="B908" s="3" t="n"/>
      <c r="C908" s="2" t="n"/>
      <c r="D908" s="2" t="n"/>
      <c r="E908" s="2" t="n"/>
      <c r="F908" s="2" t="n"/>
    </row>
    <row r="909">
      <c r="A909" s="9" t="n"/>
      <c r="B909" s="3" t="n"/>
      <c r="C909" s="2" t="n"/>
      <c r="D909" s="2" t="n"/>
      <c r="E909" s="2" t="n"/>
      <c r="F909" s="2" t="n"/>
    </row>
    <row r="910">
      <c r="A910" s="9" t="n"/>
      <c r="B910" s="3" t="n"/>
      <c r="C910" s="2" t="n"/>
      <c r="D910" s="2" t="n"/>
      <c r="E910" s="2" t="n"/>
      <c r="F910" s="2" t="n"/>
    </row>
    <row r="911">
      <c r="A911" s="9" t="n"/>
      <c r="B911" s="3" t="n"/>
      <c r="C911" s="2" t="n"/>
      <c r="D911" s="2" t="n"/>
      <c r="E911" s="2" t="n"/>
      <c r="F911" s="2" t="n"/>
    </row>
    <row r="912">
      <c r="A912" s="9" t="n"/>
      <c r="B912" s="3" t="n"/>
      <c r="C912" s="2" t="n"/>
      <c r="D912" s="2" t="n"/>
      <c r="E912" s="2" t="n"/>
      <c r="F912" s="2" t="n"/>
    </row>
    <row r="913">
      <c r="A913" s="9" t="n"/>
      <c r="B913" s="3" t="n"/>
      <c r="C913" s="2" t="n"/>
      <c r="D913" s="2" t="n"/>
      <c r="E913" s="2" t="n"/>
      <c r="F913" s="2" t="n"/>
    </row>
    <row r="914">
      <c r="A914" s="9" t="n"/>
      <c r="B914" s="3" t="n"/>
      <c r="C914" s="2" t="n"/>
      <c r="D914" s="2" t="n"/>
      <c r="E914" s="2" t="n"/>
      <c r="F914" s="2" t="n"/>
    </row>
    <row r="915">
      <c r="A915" s="9" t="n"/>
      <c r="B915" s="3" t="n"/>
      <c r="C915" s="2" t="n"/>
      <c r="D915" s="2" t="n"/>
      <c r="E915" s="2" t="n"/>
      <c r="F915" s="2" t="n"/>
    </row>
    <row r="916">
      <c r="A916" s="9" t="n"/>
      <c r="B916" s="3" t="n"/>
      <c r="C916" s="2" t="n"/>
      <c r="D916" s="2" t="n"/>
      <c r="E916" s="2" t="n"/>
      <c r="F916" s="2" t="n"/>
    </row>
    <row r="917">
      <c r="A917" s="9" t="n"/>
      <c r="B917" s="3" t="n"/>
      <c r="C917" s="2" t="n"/>
      <c r="D917" s="2" t="n"/>
      <c r="E917" s="2" t="n"/>
      <c r="F917" s="2" t="n"/>
    </row>
    <row r="918">
      <c r="A918" s="9" t="n"/>
      <c r="B918" s="3" t="n"/>
      <c r="C918" s="2" t="n"/>
      <c r="D918" s="2" t="n"/>
      <c r="E918" s="2" t="n"/>
      <c r="F918" s="2" t="n"/>
    </row>
    <row r="919">
      <c r="A919" s="9" t="n"/>
      <c r="B919" s="3" t="n"/>
      <c r="C919" s="2" t="n"/>
      <c r="D919" s="2" t="n"/>
      <c r="E919" s="2" t="n"/>
      <c r="F919" s="2" t="n"/>
    </row>
    <row r="920">
      <c r="A920" s="9" t="n"/>
      <c r="B920" s="3" t="n"/>
      <c r="C920" s="2" t="n"/>
      <c r="D920" s="2" t="n"/>
      <c r="E920" s="2" t="n"/>
      <c r="F920" s="2" t="n"/>
    </row>
    <row r="921">
      <c r="A921" s="9" t="n"/>
      <c r="B921" s="3" t="n"/>
      <c r="C921" s="2" t="n"/>
      <c r="D921" s="2" t="n"/>
      <c r="E921" s="2" t="n"/>
      <c r="F921" s="2" t="n"/>
    </row>
    <row r="922">
      <c r="A922" s="9" t="n"/>
      <c r="B922" s="3" t="n"/>
      <c r="C922" s="2" t="n"/>
      <c r="D922" s="2" t="n"/>
      <c r="E922" s="2" t="n"/>
      <c r="F922" s="2" t="n"/>
    </row>
    <row r="923">
      <c r="A923" s="9" t="n"/>
      <c r="B923" s="3" t="n"/>
      <c r="C923" s="2" t="n"/>
      <c r="D923" s="2" t="n"/>
      <c r="E923" s="2" t="n"/>
      <c r="F923" s="2" t="n"/>
    </row>
    <row r="924">
      <c r="A924" s="9" t="n"/>
      <c r="B924" s="3" t="n"/>
      <c r="C924" s="2" t="n"/>
      <c r="D924" s="2" t="n"/>
      <c r="E924" s="2" t="n"/>
      <c r="F924" s="2" t="n"/>
    </row>
    <row r="925">
      <c r="A925" s="9" t="n"/>
      <c r="B925" s="3" t="n"/>
      <c r="C925" s="2" t="n"/>
      <c r="D925" s="2" t="n"/>
      <c r="E925" s="2" t="n"/>
      <c r="F925" s="2" t="n"/>
    </row>
    <row r="926">
      <c r="A926" s="9" t="n"/>
      <c r="B926" s="3" t="n"/>
      <c r="C926" s="2" t="n"/>
      <c r="D926" s="2" t="n"/>
      <c r="E926" s="2" t="n"/>
      <c r="F926" s="2" t="n"/>
    </row>
    <row r="927">
      <c r="A927" s="9" t="n"/>
      <c r="B927" s="3" t="n"/>
      <c r="C927" s="2" t="n"/>
      <c r="D927" s="2" t="n"/>
      <c r="E927" s="2" t="n"/>
      <c r="F927" s="2" t="n"/>
    </row>
    <row r="928">
      <c r="A928" s="9" t="n"/>
      <c r="B928" s="3" t="n"/>
      <c r="C928" s="2" t="n"/>
      <c r="D928" s="2" t="n"/>
      <c r="E928" s="2" t="n"/>
      <c r="F928" s="2" t="n"/>
    </row>
    <row r="929">
      <c r="A929" s="9" t="n"/>
      <c r="B929" s="3" t="n"/>
      <c r="C929" s="2" t="n"/>
      <c r="D929" s="2" t="n"/>
      <c r="E929" s="2" t="n"/>
      <c r="F929" s="2" t="n"/>
    </row>
    <row r="930">
      <c r="A930" s="9" t="n"/>
      <c r="B930" s="3" t="n"/>
      <c r="C930" s="2" t="n"/>
      <c r="D930" s="2" t="n"/>
      <c r="E930" s="2" t="n"/>
      <c r="F930" s="2" t="n"/>
    </row>
    <row r="931">
      <c r="A931" s="9" t="n"/>
      <c r="B931" s="3" t="n"/>
      <c r="C931" s="2" t="n"/>
      <c r="D931" s="2" t="n"/>
      <c r="E931" s="2" t="n"/>
      <c r="F931" s="2" t="n"/>
    </row>
    <row r="932">
      <c r="A932" s="9" t="n"/>
      <c r="B932" s="3" t="n"/>
      <c r="C932" s="2" t="n"/>
      <c r="D932" s="2" t="n"/>
      <c r="E932" s="2" t="n"/>
      <c r="F932" s="2" t="n"/>
    </row>
    <row r="933">
      <c r="A933" s="9" t="n"/>
      <c r="B933" s="3" t="n"/>
      <c r="C933" s="2" t="n"/>
      <c r="D933" s="2" t="n"/>
      <c r="E933" s="2" t="n"/>
      <c r="F933" s="2" t="n"/>
    </row>
    <row r="934">
      <c r="A934" s="9" t="n"/>
      <c r="B934" s="3" t="n"/>
      <c r="C934" s="2" t="n"/>
      <c r="D934" s="2" t="n"/>
      <c r="E934" s="2" t="n"/>
      <c r="F934" s="2" t="n"/>
    </row>
    <row r="935">
      <c r="A935" s="9" t="n"/>
      <c r="B935" s="3" t="n"/>
      <c r="C935" s="2" t="n"/>
      <c r="D935" s="2" t="n"/>
      <c r="E935" s="2" t="n"/>
      <c r="F935" s="2" t="n"/>
    </row>
    <row r="936">
      <c r="A936" s="9" t="n"/>
      <c r="B936" s="3" t="n"/>
      <c r="C936" s="2" t="n"/>
      <c r="D936" s="2" t="n"/>
      <c r="E936" s="2" t="n"/>
      <c r="F936" s="2" t="n"/>
    </row>
    <row r="937">
      <c r="A937" s="9" t="n"/>
      <c r="B937" s="3" t="n"/>
      <c r="C937" s="2" t="n"/>
      <c r="D937" s="2" t="n"/>
      <c r="E937" s="2" t="n"/>
      <c r="F937" s="2" t="n"/>
    </row>
    <row r="938">
      <c r="A938" s="9" t="n"/>
      <c r="B938" s="3" t="n"/>
      <c r="C938" s="2" t="n"/>
      <c r="D938" s="2" t="n"/>
      <c r="E938" s="2" t="n"/>
      <c r="F938" s="2" t="n"/>
    </row>
    <row r="939">
      <c r="A939" s="9" t="n"/>
      <c r="B939" s="3" t="n"/>
      <c r="C939" s="2" t="n"/>
      <c r="D939" s="2" t="n"/>
      <c r="E939" s="2" t="n"/>
      <c r="F939" s="2" t="n"/>
    </row>
    <row r="940">
      <c r="A940" s="9" t="n"/>
      <c r="B940" s="3" t="n"/>
      <c r="C940" s="2" t="n"/>
      <c r="D940" s="2" t="n"/>
      <c r="E940" s="2" t="n"/>
      <c r="F940" s="2" t="n"/>
    </row>
    <row r="941">
      <c r="A941" s="9" t="n"/>
      <c r="B941" s="3" t="n"/>
      <c r="C941" s="2" t="n"/>
      <c r="D941" s="2" t="n"/>
      <c r="E941" s="2" t="n"/>
      <c r="F941" s="2" t="n"/>
    </row>
    <row r="942">
      <c r="A942" s="9" t="n"/>
      <c r="B942" s="3" t="n"/>
      <c r="C942" s="2" t="n"/>
      <c r="D942" s="2" t="n"/>
      <c r="E942" s="2" t="n"/>
      <c r="F942" s="2" t="n"/>
    </row>
    <row r="943">
      <c r="A943" s="9" t="n"/>
      <c r="B943" s="3" t="n"/>
      <c r="C943" s="2" t="n"/>
      <c r="D943" s="2" t="n"/>
      <c r="E943" s="2" t="n"/>
      <c r="F943" s="2" t="n"/>
    </row>
    <row r="944">
      <c r="A944" s="9" t="n"/>
      <c r="B944" s="3" t="n"/>
      <c r="C944" s="2" t="n"/>
      <c r="D944" s="2" t="n"/>
      <c r="E944" s="2" t="n"/>
      <c r="F944" s="2" t="n"/>
    </row>
    <row r="945">
      <c r="A945" s="9" t="n"/>
      <c r="B945" s="3" t="n"/>
      <c r="C945" s="2" t="n"/>
      <c r="D945" s="2" t="n"/>
      <c r="E945" s="2" t="n"/>
      <c r="F945" s="2" t="n"/>
    </row>
    <row r="946">
      <c r="A946" s="9" t="n"/>
      <c r="B946" s="3" t="n"/>
      <c r="C946" s="2" t="n"/>
      <c r="D946" s="2" t="n"/>
      <c r="E946" s="2" t="n"/>
      <c r="F946" s="2" t="n"/>
    </row>
    <row r="947">
      <c r="A947" s="9" t="n"/>
      <c r="B947" s="3" t="n"/>
      <c r="C947" s="2" t="n"/>
      <c r="D947" s="2" t="n"/>
      <c r="E947" s="2" t="n"/>
      <c r="F947" s="2" t="n"/>
    </row>
    <row r="948">
      <c r="A948" s="9" t="n"/>
      <c r="B948" s="3" t="n"/>
      <c r="C948" s="2" t="n"/>
      <c r="D948" s="2" t="n"/>
      <c r="E948" s="2" t="n"/>
      <c r="F948" s="2" t="n"/>
    </row>
    <row r="949">
      <c r="A949" s="9" t="n"/>
      <c r="B949" s="3" t="n"/>
      <c r="C949" s="2" t="n"/>
      <c r="D949" s="2" t="n"/>
      <c r="E949" s="2" t="n"/>
      <c r="F949" s="2" t="n"/>
    </row>
    <row r="950">
      <c r="A950" s="9" t="n"/>
      <c r="B950" s="3" t="n"/>
      <c r="C950" s="2" t="n"/>
      <c r="D950" s="2" t="n"/>
      <c r="E950" s="2" t="n"/>
      <c r="F950" s="2" t="n"/>
    </row>
    <row r="951">
      <c r="A951" s="9" t="n"/>
      <c r="B951" s="3" t="n"/>
      <c r="C951" s="2" t="n"/>
      <c r="D951" s="2" t="n"/>
      <c r="E951" s="2" t="n"/>
      <c r="F951" s="2" t="n"/>
    </row>
    <row r="952">
      <c r="A952" s="9" t="n"/>
      <c r="B952" s="3" t="n"/>
      <c r="C952" s="2" t="n"/>
      <c r="D952" s="2" t="n"/>
      <c r="E952" s="2" t="n"/>
      <c r="F952" s="2" t="n"/>
    </row>
    <row r="953">
      <c r="A953" s="9" t="n"/>
      <c r="B953" s="3" t="n"/>
      <c r="C953" s="2" t="n"/>
      <c r="D953" s="2" t="n"/>
      <c r="E953" s="2" t="n"/>
      <c r="F953" s="2" t="n"/>
    </row>
    <row r="954">
      <c r="A954" s="9" t="n"/>
      <c r="B954" s="3" t="n"/>
      <c r="C954" s="2" t="n"/>
      <c r="D954" s="2" t="n"/>
      <c r="E954" s="2" t="n"/>
      <c r="F954" s="2" t="n"/>
    </row>
    <row r="955">
      <c r="A955" s="9" t="n"/>
      <c r="B955" s="3" t="n"/>
      <c r="C955" s="2" t="n"/>
      <c r="D955" s="2" t="n"/>
      <c r="E955" s="2" t="n"/>
      <c r="F955" s="2" t="n"/>
    </row>
    <row r="956">
      <c r="A956" s="9" t="n"/>
      <c r="B956" s="3" t="n"/>
      <c r="C956" s="2" t="n"/>
      <c r="D956" s="2" t="n"/>
      <c r="E956" s="2" t="n"/>
      <c r="F956" s="2" t="n"/>
    </row>
    <row r="957">
      <c r="A957" s="9" t="n"/>
      <c r="B957" s="3" t="n"/>
      <c r="C957" s="2" t="n"/>
      <c r="D957" s="2" t="n"/>
      <c r="E957" s="2" t="n"/>
      <c r="F957" s="2" t="n"/>
    </row>
    <row r="958">
      <c r="A958" s="9" t="n"/>
      <c r="B958" s="3" t="n"/>
      <c r="C958" s="2" t="n"/>
      <c r="D958" s="2" t="n"/>
      <c r="E958" s="2" t="n"/>
      <c r="F958" s="2" t="n"/>
    </row>
    <row r="959">
      <c r="A959" s="9" t="n"/>
      <c r="B959" s="3" t="n"/>
      <c r="C959" s="2" t="n"/>
      <c r="D959" s="2" t="n"/>
      <c r="E959" s="2" t="n"/>
      <c r="F959" s="2" t="n"/>
    </row>
    <row r="960">
      <c r="A960" s="9" t="n"/>
      <c r="B960" s="3" t="n"/>
      <c r="C960" s="2" t="n"/>
      <c r="D960" s="2" t="n"/>
      <c r="E960" s="2" t="n"/>
      <c r="F960" s="2" t="n"/>
    </row>
    <row r="961">
      <c r="A961" s="9" t="n"/>
      <c r="B961" s="3" t="n"/>
      <c r="C961" s="2" t="n"/>
      <c r="D961" s="2" t="n"/>
      <c r="E961" s="2" t="n"/>
      <c r="F961" s="2" t="n"/>
    </row>
    <row r="962">
      <c r="A962" s="9" t="n"/>
      <c r="B962" s="3" t="n"/>
      <c r="C962" s="2" t="n"/>
      <c r="D962" s="2" t="n"/>
      <c r="E962" s="2" t="n"/>
      <c r="F962" s="2" t="n"/>
    </row>
    <row r="963">
      <c r="A963" s="9" t="n"/>
      <c r="B963" s="3" t="n"/>
      <c r="C963" s="2" t="n"/>
      <c r="D963" s="2" t="n"/>
      <c r="E963" s="2" t="n"/>
      <c r="F963" s="2" t="n"/>
    </row>
    <row r="964">
      <c r="A964" s="9" t="n"/>
      <c r="B964" s="3" t="n"/>
      <c r="C964" s="2" t="n"/>
      <c r="D964" s="2" t="n"/>
      <c r="E964" s="2" t="n"/>
      <c r="F964" s="2" t="n"/>
    </row>
    <row r="965">
      <c r="A965" s="9" t="n"/>
      <c r="B965" s="3" t="n"/>
      <c r="C965" s="2" t="n"/>
      <c r="D965" s="2" t="n"/>
      <c r="E965" s="2" t="n"/>
      <c r="F965" s="2" t="n"/>
    </row>
    <row r="966">
      <c r="A966" s="9" t="n"/>
      <c r="B966" s="3" t="n"/>
      <c r="C966" s="2" t="n"/>
      <c r="D966" s="2" t="n"/>
      <c r="E966" s="2" t="n"/>
      <c r="F966" s="2" t="n"/>
    </row>
    <row r="967">
      <c r="A967" s="9" t="n"/>
      <c r="B967" s="3" t="n"/>
      <c r="C967" s="2" t="n"/>
      <c r="D967" s="2" t="n"/>
      <c r="E967" s="2" t="n"/>
      <c r="F967" s="2" t="n"/>
    </row>
    <row r="968">
      <c r="A968" s="9" t="n"/>
      <c r="B968" s="3" t="n"/>
      <c r="C968" s="2" t="n"/>
      <c r="D968" s="2" t="n"/>
      <c r="E968" s="2" t="n"/>
      <c r="F968" s="2" t="n"/>
    </row>
    <row r="969">
      <c r="A969" s="9" t="n"/>
      <c r="B969" s="3" t="n"/>
      <c r="C969" s="2" t="n"/>
      <c r="D969" s="2" t="n"/>
      <c r="E969" s="2" t="n"/>
      <c r="F969" s="2" t="n"/>
    </row>
    <row r="970">
      <c r="A970" s="9" t="n"/>
      <c r="B970" s="3" t="n"/>
      <c r="C970" s="2" t="n"/>
      <c r="D970" s="2" t="n"/>
      <c r="E970" s="2" t="n"/>
      <c r="F970" s="2" t="n"/>
    </row>
    <row r="971">
      <c r="A971" s="9" t="n"/>
      <c r="B971" s="3" t="n"/>
      <c r="C971" s="2" t="n"/>
      <c r="D971" s="2" t="n"/>
      <c r="E971" s="2" t="n"/>
      <c r="F971" s="2" t="n"/>
    </row>
    <row r="972">
      <c r="A972" s="9" t="n"/>
      <c r="B972" s="3" t="n"/>
      <c r="C972" s="2" t="n"/>
      <c r="D972" s="2" t="n"/>
      <c r="E972" s="2" t="n"/>
      <c r="F972" s="2" t="n"/>
    </row>
    <row r="973">
      <c r="A973" s="9" t="n"/>
      <c r="B973" s="3" t="n"/>
      <c r="C973" s="2" t="n"/>
      <c r="D973" s="2" t="n"/>
      <c r="E973" s="2" t="n"/>
      <c r="F973" s="2" t="n"/>
    </row>
    <row r="974">
      <c r="A974" s="9" t="n"/>
      <c r="B974" s="3" t="n"/>
      <c r="C974" s="2" t="n"/>
      <c r="D974" s="2" t="n"/>
      <c r="E974" s="2" t="n"/>
      <c r="F974" s="2" t="n"/>
    </row>
    <row r="975">
      <c r="A975" s="9" t="n"/>
      <c r="B975" s="3" t="n"/>
      <c r="C975" s="2" t="n"/>
      <c r="D975" s="2" t="n"/>
      <c r="E975" s="2" t="n"/>
      <c r="F975" s="2" t="n"/>
    </row>
    <row r="976">
      <c r="A976" s="9" t="n"/>
      <c r="B976" s="3" t="n"/>
      <c r="C976" s="2" t="n"/>
      <c r="D976" s="2" t="n"/>
      <c r="E976" s="2" t="n"/>
      <c r="F976" s="2" t="n"/>
    </row>
    <row r="977">
      <c r="A977" s="9" t="n"/>
      <c r="B977" s="3" t="n"/>
      <c r="C977" s="2" t="n"/>
      <c r="D977" s="2" t="n"/>
      <c r="E977" s="2" t="n"/>
      <c r="F977" s="2" t="n"/>
    </row>
    <row r="978">
      <c r="A978" s="9" t="n"/>
      <c r="B978" s="3" t="n"/>
      <c r="C978" s="2" t="n"/>
      <c r="D978" s="2" t="n"/>
      <c r="E978" s="2" t="n"/>
      <c r="F978" s="2" t="n"/>
    </row>
    <row r="979">
      <c r="A979" s="9" t="n"/>
      <c r="B979" s="3" t="n"/>
      <c r="C979" s="2" t="n"/>
      <c r="D979" s="2" t="n"/>
      <c r="E979" s="2" t="n"/>
      <c r="F979" s="2" t="n"/>
    </row>
    <row r="980">
      <c r="A980" s="9" t="n"/>
      <c r="B980" s="3" t="n"/>
      <c r="C980" s="2" t="n"/>
      <c r="D980" s="2" t="n"/>
      <c r="E980" s="2" t="n"/>
      <c r="F980" s="2" t="n"/>
    </row>
    <row r="981">
      <c r="A981" s="9" t="n"/>
      <c r="B981" s="3" t="n"/>
      <c r="C981" s="2" t="n"/>
      <c r="D981" s="2" t="n"/>
      <c r="E981" s="2" t="n"/>
      <c r="F981" s="2" t="n"/>
    </row>
    <row r="982">
      <c r="A982" s="9" t="n"/>
      <c r="B982" s="3" t="n"/>
      <c r="C982" s="2" t="n"/>
      <c r="D982" s="2" t="n"/>
      <c r="E982" s="2" t="n"/>
      <c r="F982" s="2" t="n"/>
    </row>
    <row r="983">
      <c r="A983" s="9" t="n"/>
      <c r="B983" s="3" t="n"/>
      <c r="C983" s="2" t="n"/>
      <c r="D983" s="2" t="n"/>
      <c r="E983" s="2" t="n"/>
      <c r="F983" s="2" t="n"/>
    </row>
    <row r="984">
      <c r="A984" s="9" t="n"/>
      <c r="B984" s="3" t="n"/>
      <c r="C984" s="2" t="n"/>
      <c r="D984" s="2" t="n"/>
      <c r="E984" s="2" t="n"/>
      <c r="F984" s="2" t="n"/>
    </row>
    <row r="985">
      <c r="A985" s="9" t="n"/>
      <c r="B985" s="3" t="n"/>
      <c r="C985" s="2" t="n"/>
      <c r="D985" s="2" t="n"/>
      <c r="E985" s="2" t="n"/>
      <c r="F985" s="2" t="n"/>
    </row>
    <row r="986">
      <c r="A986" s="9" t="n"/>
      <c r="B986" s="3" t="n"/>
      <c r="C986" s="2" t="n"/>
      <c r="D986" s="2" t="n"/>
      <c r="E986" s="2" t="n"/>
      <c r="F986" s="2" t="n"/>
    </row>
    <row r="987">
      <c r="A987" s="9" t="n"/>
      <c r="B987" s="3" t="n"/>
      <c r="C987" s="2" t="n"/>
      <c r="D987" s="2" t="n"/>
      <c r="E987" s="2" t="n"/>
      <c r="F987" s="2" t="n"/>
    </row>
    <row r="988">
      <c r="A988" s="9" t="n"/>
      <c r="B988" s="3" t="n"/>
      <c r="C988" s="2" t="n"/>
      <c r="D988" s="2" t="n"/>
      <c r="E988" s="2" t="n"/>
      <c r="F988" s="2" t="n"/>
    </row>
    <row r="989">
      <c r="A989" s="9" t="n"/>
      <c r="B989" s="3" t="n"/>
      <c r="C989" s="2" t="n"/>
      <c r="D989" s="2" t="n"/>
      <c r="E989" s="2" t="n"/>
      <c r="F989" s="2" t="n"/>
    </row>
    <row r="990">
      <c r="A990" s="9" t="n"/>
      <c r="B990" s="3" t="n"/>
      <c r="C990" s="2" t="n"/>
      <c r="D990" s="2" t="n"/>
      <c r="E990" s="2" t="n"/>
      <c r="F990" s="2" t="n"/>
    </row>
    <row r="991">
      <c r="A991" s="9" t="n"/>
      <c r="B991" s="3" t="n"/>
      <c r="C991" s="2" t="n"/>
      <c r="D991" s="2" t="n"/>
      <c r="E991" s="2" t="n"/>
      <c r="F991" s="2" t="n"/>
    </row>
    <row r="992">
      <c r="A992" s="9" t="n"/>
      <c r="B992" s="3" t="n"/>
      <c r="C992" s="2" t="n"/>
      <c r="D992" s="2" t="n"/>
      <c r="E992" s="2" t="n"/>
      <c r="F992" s="2" t="n"/>
    </row>
    <row r="993">
      <c r="A993" s="9" t="n"/>
      <c r="B993" s="3" t="n"/>
      <c r="C993" s="2" t="n"/>
      <c r="D993" s="2" t="n"/>
      <c r="E993" s="2" t="n"/>
      <c r="F993" s="2" t="n"/>
    </row>
    <row r="994">
      <c r="A994" s="9" t="n"/>
      <c r="B994" s="3" t="n"/>
      <c r="C994" s="2" t="n"/>
      <c r="D994" s="2" t="n"/>
      <c r="E994" s="2" t="n"/>
      <c r="F994" s="2" t="n"/>
    </row>
    <row r="995">
      <c r="A995" s="9" t="n"/>
      <c r="B995" s="3" t="n"/>
      <c r="C995" s="2" t="n"/>
      <c r="D995" s="2" t="n"/>
      <c r="E995" s="2" t="n"/>
      <c r="F995" s="2" t="n"/>
    </row>
    <row r="996">
      <c r="A996" s="9" t="n"/>
      <c r="B996" s="3" t="n"/>
      <c r="C996" s="2" t="n"/>
      <c r="D996" s="2" t="n"/>
      <c r="E996" s="2" t="n"/>
      <c r="F996" s="2" t="n"/>
    </row>
    <row r="997">
      <c r="A997" s="9" t="n"/>
      <c r="B997" s="3" t="n"/>
      <c r="C997" s="2" t="n"/>
      <c r="D997" s="2" t="n"/>
      <c r="E997" s="2" t="n"/>
      <c r="F997" s="2" t="n"/>
    </row>
    <row r="998">
      <c r="A998" s="9" t="n"/>
      <c r="B998" s="3" t="n"/>
      <c r="C998" s="2" t="n"/>
      <c r="D998" s="2" t="n"/>
      <c r="E998" s="2" t="n"/>
      <c r="F998" s="2" t="n"/>
    </row>
    <row r="999">
      <c r="A999" s="9" t="n"/>
      <c r="B999" s="3" t="n"/>
      <c r="C999" s="2" t="n"/>
      <c r="D999" s="2" t="n"/>
      <c r="E999" s="2" t="n"/>
      <c r="F999" s="2" t="n"/>
    </row>
  </sheetData>
  <mergeCells count="1">
    <mergeCell ref="A175:H17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2578125" defaultRowHeight="15" customHeight="1"/>
  <cols>
    <col width="12" customWidth="1" style="90" min="1" max="1"/>
    <col width="14" customWidth="1" style="90" min="2" max="2"/>
    <col width="72" customWidth="1" style="90" min="3" max="3"/>
    <col width="18" customWidth="1" style="90" min="4" max="6"/>
  </cols>
  <sheetData>
    <row r="1" ht="12.75" customHeight="1" s="90">
      <c r="A1" s="13" t="inlineStr">
        <is>
          <t>Cards_Id</t>
        </is>
      </c>
      <c r="B1" s="13" t="inlineStr">
        <is>
          <t>Enablers_Id</t>
        </is>
      </c>
      <c r="C1" s="13" t="inlineStr">
        <is>
          <t>Enabler_Logic</t>
        </is>
      </c>
      <c r="D1" s="73" t="inlineStr">
        <is>
          <t>Typ_Enablera</t>
        </is>
      </c>
    </row>
    <row r="2" ht="39.95" customHeight="1" s="90">
      <c r="A2" s="74" t="n">
        <v>8</v>
      </c>
      <c r="B2" s="74" t="n">
        <v>5</v>
      </c>
      <c r="C2" s="75" t="inlineStr">
        <is>
          <t>ERP i CRM muszą znać architekturę sklepu – integracja jest zawsze specyficzna dla wybranej platformy.</t>
        </is>
      </c>
      <c r="D2" s="76" t="inlineStr">
        <is>
          <t>POJEDYNCZY</t>
        </is>
      </c>
    </row>
    <row r="3" ht="39.95" customHeight="1" s="90">
      <c r="A3" s="74" t="n">
        <v>15</v>
      </c>
      <c r="B3" s="74" t="n">
        <v>6</v>
      </c>
      <c r="C3" s="77" t="inlineStr">
        <is>
          <t>UX projektujesz wokół konkretnych produktów – bez katalogu nie wiesz co pokazywać i jak nawigować.</t>
        </is>
      </c>
      <c r="D3" s="78" t="inlineStr">
        <is>
          <t>PODWÓJNY</t>
        </is>
      </c>
    </row>
    <row r="4" ht="39.95" customHeight="1" s="90">
      <c r="A4" s="74" t="n">
        <v>15</v>
      </c>
      <c r="B4" s="74" t="n">
        <v>5</v>
      </c>
      <c r="C4" s="77" t="inlineStr">
        <is>
          <t>Design musi uwzględniać możliwości i ograniczenia wybranej platformy – inaczej wdrożenie jest niemożliwe.</t>
        </is>
      </c>
      <c r="D4" s="78" t="inlineStr">
        <is>
          <t>PODWÓJNY</t>
        </is>
      </c>
    </row>
    <row r="5" ht="39.95" customHeight="1" s="90">
      <c r="A5" s="74" t="n">
        <v>19</v>
      </c>
      <c r="B5" s="74" t="n">
        <v>14</v>
      </c>
      <c r="C5" s="77" t="inlineStr">
        <is>
          <t>Kampania pre-launch to realizacja planu marketingowego – najpierw strategia, potem akcja.</t>
        </is>
      </c>
      <c r="D5" s="78" t="inlineStr">
        <is>
          <t>PODWÓJNY</t>
        </is>
      </c>
    </row>
    <row r="6" ht="39.95" customHeight="1" s="90">
      <c r="A6" s="74" t="n">
        <v>19</v>
      </c>
      <c r="B6" s="74" t="n">
        <v>2</v>
      </c>
      <c r="C6" s="77" t="inlineStr">
        <is>
          <t>Bez segmentacji klientów nie wiesz do kogo pisać ani jak skonstruować ofertę early bird.</t>
        </is>
      </c>
      <c r="D6" s="78" t="inlineStr">
        <is>
          <t>PODWÓJNY</t>
        </is>
      </c>
    </row>
    <row r="7" ht="39.95" customHeight="1" s="90">
      <c r="A7" s="79" t="n">
        <v>23</v>
      </c>
      <c r="B7" s="79" t="n">
        <v>5</v>
      </c>
      <c r="C7" s="80" t="inlineStr">
        <is>
          <t>Nie możesz uruchomić sklepu bez sklepu – platforma to absolutny warunek konieczny.</t>
        </is>
      </c>
      <c r="D7" s="81" t="inlineStr">
        <is>
          <t>POTRÓJNY</t>
        </is>
      </c>
    </row>
    <row r="8" ht="39.95" customHeight="1" s="90">
      <c r="A8" s="79" t="n">
        <v>23</v>
      </c>
      <c r="B8" s="79" t="n">
        <v>11</v>
      </c>
      <c r="C8" s="80" t="inlineStr">
        <is>
          <t>Sklep bez możliwości przyjmowania płatności to tylko strona internetowa – nie e-commerce.</t>
        </is>
      </c>
      <c r="D8" s="81" t="inlineStr">
        <is>
          <t>POTRÓJNY</t>
        </is>
      </c>
    </row>
    <row r="9" ht="39.95" customHeight="1" s="90">
      <c r="A9" s="79" t="n">
        <v>23</v>
      </c>
      <c r="B9" s="79" t="n">
        <v>17</v>
      </c>
      <c r="C9" s="80" t="inlineStr">
        <is>
          <t>Uruchamiasz sklep publicznie dopiero po potwierdzeniu że wszystko działa. Bez testów ryzykujesz katastrofę startową.</t>
        </is>
      </c>
      <c r="D9" s="81" t="inlineStr">
        <is>
          <t>POTRÓJNY</t>
        </is>
      </c>
    </row>
    <row r="10" ht="39.95" customHeight="1" s="90">
      <c r="A10" s="82" t="n">
        <v>27</v>
      </c>
      <c r="B10" s="82" t="n">
        <v>24</v>
      </c>
      <c r="C10" s="75" t="inlineStr">
        <is>
          <t>Content marketing wzmacnia SEO – bez aktywnej optymalizacji wartościowe treści nie rankują w wyszukiwarce.</t>
        </is>
      </c>
      <c r="D10" s="76" t="inlineStr">
        <is>
          <t>POJEDYNCZY</t>
        </is>
      </c>
    </row>
    <row r="11" ht="39.95" customHeight="1" s="90">
      <c r="A11" s="82" t="n">
        <v>30</v>
      </c>
      <c r="B11" s="82" t="n">
        <v>29</v>
      </c>
      <c r="C11" s="77" t="inlineStr">
        <is>
          <t>Testy A/B wymagają danych behawioralnych z mapy ciepła i nagrań sesji – bez UX optimization nie masz co testować.</t>
        </is>
      </c>
      <c r="D11" s="78" t="inlineStr">
        <is>
          <t>PODWÓJNY</t>
        </is>
      </c>
    </row>
    <row r="12" ht="39.95" customHeight="1" s="90">
      <c r="A12" s="82" t="n">
        <v>30</v>
      </c>
      <c r="B12" s="82" t="n">
        <v>16</v>
      </c>
      <c r="C12" s="77" t="inlineStr">
        <is>
          <t>Każdy test A/B musi mieć hipotezę i cel mierzony przez system KPI – bez niego nie wiesz czy wynik jest istotny statystycznie.</t>
        </is>
      </c>
      <c r="D12" s="78" t="inlineStr">
        <is>
          <t>PODWÓJNY</t>
        </is>
      </c>
    </row>
    <row r="13" ht="39.95" customHeight="1" s="90">
      <c r="A13" s="82" t="n">
        <v>34</v>
      </c>
      <c r="B13" s="82" t="n">
        <v>25</v>
      </c>
      <c r="C13" s="75" t="inlineStr">
        <is>
          <t>Remarketing działa wyłącznie na pikselu konwersji ustawionym przez aktywne kampanie Google Ads.</t>
        </is>
      </c>
      <c r="D13" s="76" t="inlineStr">
        <is>
          <t>POJEDYNCZY</t>
        </is>
      </c>
    </row>
    <row r="14" ht="39.95" customHeight="1" s="90">
      <c r="A14" s="82" t="n">
        <v>36</v>
      </c>
      <c r="B14" s="82" t="n">
        <v>31</v>
      </c>
      <c r="C14" s="77" t="inlineStr">
        <is>
          <t>Subskrypcja to kolejny poziom programu lojalnościowego – nie zbudujesz jej dla klientów którzy nie mają jeszcze powodu wracać.</t>
        </is>
      </c>
      <c r="D14" s="78" t="inlineStr">
        <is>
          <t>PODWÓJNY</t>
        </is>
      </c>
    </row>
    <row r="15" ht="39.95" customHeight="1" s="90">
      <c r="A15" s="82" t="n">
        <v>36</v>
      </c>
      <c r="B15" s="82" t="n">
        <v>28</v>
      </c>
      <c r="C15" s="77" t="inlineStr">
        <is>
          <t>Zarządzanie cyklicznymi dostawami i komunikacja z abonentami wymaga systemu automatyzacji email – bez niego subskrypcja to chaos operacyjny.</t>
        </is>
      </c>
      <c r="D15" s="78" t="inlineStr">
        <is>
          <t>PODWÓJNY</t>
        </is>
      </c>
    </row>
    <row r="16" ht="39.95" customHeight="1" s="90">
      <c r="A16" s="82" t="n">
        <v>39</v>
      </c>
      <c r="B16" s="82" t="n">
        <v>32</v>
      </c>
      <c r="C16" s="77" t="inlineStr">
        <is>
          <t>Ekspansja zagraniczna opiera się na doświadczeniu i infrastrukturze zdobytej na marketplace – samodzielne wejście na nowy rynek bez tego fundamencie jest zbyt ryzykowne.</t>
        </is>
      </c>
      <c r="D16" s="78" t="inlineStr">
        <is>
          <t>PODWÓJNY</t>
        </is>
      </c>
    </row>
    <row r="17" ht="39.95" customHeight="1" s="90">
      <c r="A17" s="82" t="n">
        <v>39</v>
      </c>
      <c r="B17" s="82" t="n">
        <v>9</v>
      </c>
      <c r="C17" s="77" t="inlineStr">
        <is>
          <t>Logistyka transgraniczna wymaga przemyślanej strategii już na etapie krajowym – bez niej koszty dostawy za granicę zjedzą całą marżę.</t>
        </is>
      </c>
      <c r="D17" s="78" t="inlineStr">
        <is>
          <t>PODWÓJNY</t>
        </is>
      </c>
    </row>
    <row r="18" ht="12.75" customHeight="1" s="90">
      <c r="A18" s="68" t="n"/>
      <c r="B18" s="68" t="n"/>
      <c r="C18" s="61" t="n"/>
    </row>
    <row r="19" ht="12.75" customHeight="1" s="90">
      <c r="A19" s="68" t="n"/>
      <c r="B19" s="68" t="n"/>
      <c r="C19" s="61" t="n"/>
    </row>
    <row r="20" ht="12.75" customHeight="1" s="90">
      <c r="A20" s="68" t="n"/>
      <c r="B20" s="68" t="n"/>
      <c r="C20" s="61" t="n"/>
    </row>
    <row r="21" ht="12.75" customHeight="1" s="90">
      <c r="A21" s="68" t="n"/>
      <c r="B21" s="68" t="n"/>
      <c r="C21" s="61" t="n"/>
    </row>
    <row r="22" ht="12.75" customHeight="1" s="90">
      <c r="A22" s="68" t="n"/>
      <c r="B22" s="68" t="n"/>
      <c r="C22" s="61" t="n"/>
    </row>
    <row r="23" ht="12.75" customHeight="1" s="90">
      <c r="A23" s="68" t="n"/>
      <c r="B23" s="68" t="n"/>
      <c r="C23" s="61" t="n"/>
    </row>
    <row r="24" ht="12.75" customHeight="1" s="90">
      <c r="A24" s="68" t="n"/>
      <c r="B24" s="68" t="n"/>
      <c r="C24" s="61" t="n"/>
    </row>
    <row r="25" ht="12.75" customHeight="1" s="90">
      <c r="A25" s="68" t="n"/>
      <c r="B25" s="68" t="n"/>
      <c r="C25" s="61" t="n"/>
    </row>
    <row r="26" ht="12.75" customHeight="1" s="90">
      <c r="A26" s="68" t="n"/>
      <c r="B26" s="68" t="n"/>
      <c r="C26" s="61" t="n"/>
    </row>
    <row r="27" ht="12.75" customHeight="1" s="90">
      <c r="A27" s="68" t="n"/>
      <c r="B27" s="68" t="n"/>
      <c r="C27" s="61" t="n"/>
    </row>
    <row r="28" ht="12.75" customHeight="1" s="90">
      <c r="A28" s="69" t="n"/>
      <c r="B28" s="70" t="n"/>
      <c r="C28" s="61" t="n"/>
    </row>
    <row r="29" ht="12.75" customHeight="1" s="90">
      <c r="A29" s="71" t="n"/>
      <c r="B29" s="62" t="n"/>
      <c r="C29" s="61" t="n"/>
    </row>
    <row r="30" ht="12.75" customHeight="1" s="90">
      <c r="A30" s="71" t="n"/>
      <c r="B30" s="62" t="n"/>
      <c r="C30" s="61" t="n"/>
    </row>
    <row r="31" ht="12.75" customHeight="1" s="90">
      <c r="A31" s="71" t="n"/>
      <c r="B31" s="62" t="n"/>
      <c r="C31" s="61" t="n"/>
    </row>
    <row r="32" ht="12.75" customHeight="1" s="90">
      <c r="A32" s="71" t="n"/>
      <c r="B32" s="62" t="n"/>
      <c r="C32" s="61" t="n"/>
    </row>
    <row r="33" ht="12.75" customHeight="1" s="90">
      <c r="A33" s="71" t="n"/>
      <c r="B33" s="62" t="n"/>
      <c r="C33" s="61" t="n"/>
    </row>
    <row r="34" ht="12.75" customHeight="1" s="90">
      <c r="A34" s="71" t="n"/>
      <c r="B34" s="62" t="n"/>
      <c r="C34" s="61" t="n"/>
    </row>
    <row r="35" ht="12.75" customHeight="1" s="90">
      <c r="A35" s="71" t="n"/>
      <c r="B35" s="62" t="n"/>
      <c r="C35" s="61" t="n"/>
    </row>
    <row r="36" ht="12.75" customHeight="1" s="90">
      <c r="A36" s="71" t="n"/>
      <c r="B36" s="62" t="n"/>
      <c r="C36" s="61" t="n"/>
    </row>
    <row r="37" ht="12.75" customHeight="1" s="90">
      <c r="A37" s="71" t="n"/>
      <c r="B37" s="62" t="n"/>
      <c r="C37" s="61" t="n"/>
    </row>
    <row r="38" ht="12.75" customHeight="1" s="90">
      <c r="A38" s="71" t="n"/>
      <c r="B38" s="62" t="n"/>
      <c r="C38" s="61" t="n"/>
    </row>
    <row r="39" ht="12.75" customHeight="1" s="90">
      <c r="A39" s="71" t="n"/>
      <c r="B39" s="62" t="n"/>
      <c r="C39" s="61" t="n"/>
    </row>
    <row r="40" ht="12.75" customHeight="1" s="90">
      <c r="A40" s="71" t="n"/>
      <c r="B40" s="62" t="n"/>
      <c r="C40" s="61" t="n"/>
    </row>
    <row r="41" ht="12.75" customHeight="1" s="90">
      <c r="A41" s="71" t="n"/>
      <c r="B41" s="62" t="n"/>
      <c r="C41" s="61" t="n"/>
    </row>
    <row r="42" ht="12.75" customHeight="1" s="90">
      <c r="A42" s="71" t="n"/>
      <c r="B42" s="62" t="n"/>
      <c r="C42" s="61" t="n"/>
    </row>
    <row r="43" ht="12.75" customHeight="1" s="90">
      <c r="A43" s="71" t="n"/>
      <c r="B43" s="62" t="n"/>
      <c r="C43" s="61" t="n"/>
    </row>
    <row r="44" ht="12.75" customHeight="1" s="90">
      <c r="A44" s="71" t="n"/>
      <c r="B44" s="62" t="n"/>
      <c r="C44" s="61" t="n"/>
    </row>
    <row r="45" ht="12.75" customHeight="1" s="90">
      <c r="A45" s="71" t="n"/>
      <c r="B45" s="62" t="n"/>
      <c r="C45" s="61" t="n"/>
    </row>
    <row r="46" ht="12.75" customHeight="1" s="90">
      <c r="A46" s="71" t="n"/>
      <c r="B46" s="62" t="n"/>
      <c r="C46" s="61" t="n"/>
    </row>
    <row r="47" ht="12.75" customHeight="1" s="90">
      <c r="A47" s="71" t="n"/>
      <c r="B47" s="62" t="n"/>
      <c r="C47" s="61" t="n"/>
    </row>
    <row r="48" ht="12.75" customHeight="1" s="90">
      <c r="A48" s="71" t="n"/>
      <c r="B48" s="62" t="n"/>
      <c r="C48" s="61" t="n"/>
    </row>
    <row r="49" ht="12.75" customHeight="1" s="90">
      <c r="A49" s="71" t="n"/>
      <c r="B49" s="62" t="n"/>
      <c r="C49" s="61" t="n"/>
    </row>
    <row r="50" ht="12.75" customHeight="1" s="90">
      <c r="A50" s="71" t="n"/>
      <c r="B50" s="62" t="n"/>
      <c r="C50" s="61" t="n"/>
    </row>
    <row r="51" ht="12.75" customHeight="1" s="90">
      <c r="A51" s="10" t="n"/>
      <c r="B51" s="11" t="n"/>
    </row>
    <row r="52" ht="12.75" customHeight="1" s="90">
      <c r="A52" s="10" t="n"/>
      <c r="B52" s="11" t="n"/>
    </row>
    <row r="53" ht="12.75" customHeight="1" s="90">
      <c r="A53" s="10" t="n"/>
      <c r="B53" s="11" t="n"/>
    </row>
    <row r="54" ht="12.75" customHeight="1" s="90">
      <c r="A54" s="10" t="n"/>
      <c r="B54" s="11" t="n"/>
    </row>
    <row r="55" ht="12.75" customHeight="1" s="90">
      <c r="A55" s="10" t="n"/>
      <c r="B55" s="11" t="n"/>
    </row>
    <row r="56" ht="12.75" customHeight="1" s="90">
      <c r="A56" s="10" t="n"/>
      <c r="B56" s="11" t="n"/>
    </row>
    <row r="57" ht="12.75" customHeight="1" s="90">
      <c r="A57" s="10" t="n"/>
      <c r="B57" s="11" t="n"/>
    </row>
    <row r="58" ht="12.75" customHeight="1" s="90">
      <c r="A58" s="10" t="n"/>
      <c r="B58" s="11" t="n"/>
    </row>
    <row r="59" ht="12.75" customHeight="1" s="90">
      <c r="A59" s="10" t="n"/>
      <c r="B59" s="11" t="n"/>
    </row>
    <row r="60" ht="12.75" customHeight="1" s="90">
      <c r="A60" s="10" t="n"/>
      <c r="B60" s="11" t="n"/>
    </row>
    <row r="61" ht="12.75" customHeight="1" s="90">
      <c r="A61" s="10" t="n"/>
      <c r="B61" s="11" t="n"/>
    </row>
    <row r="62" ht="12.75" customHeight="1" s="90">
      <c r="A62" s="10" t="n"/>
      <c r="B62" s="11" t="n"/>
    </row>
    <row r="63" ht="12.75" customHeight="1" s="90">
      <c r="A63" s="10" t="n"/>
      <c r="B63" s="11" t="n"/>
    </row>
    <row r="64" ht="12.75" customHeight="1" s="90">
      <c r="A64" s="10" t="n"/>
      <c r="B64" s="11" t="n"/>
    </row>
    <row r="65" ht="12.75" customHeight="1" s="90">
      <c r="A65" s="10" t="n"/>
      <c r="B65" s="11" t="n"/>
    </row>
    <row r="66" ht="12.75" customHeight="1" s="90">
      <c r="A66" s="10" t="n"/>
      <c r="B66" s="11" t="n"/>
    </row>
    <row r="67" ht="12.75" customHeight="1" s="90">
      <c r="A67" s="10" t="n"/>
      <c r="B67" s="11" t="n"/>
    </row>
    <row r="68" ht="12.75" customHeight="1" s="90">
      <c r="A68" s="10" t="n"/>
      <c r="B68" s="11" t="n"/>
    </row>
    <row r="69" ht="12.75" customHeight="1" s="90">
      <c r="A69" s="10" t="n"/>
      <c r="B69" s="11" t="n"/>
    </row>
    <row r="70" ht="12.75" customHeight="1" s="90">
      <c r="A70" s="10" t="n"/>
      <c r="B70" s="11" t="n"/>
    </row>
    <row r="71" ht="12.75" customHeight="1" s="90">
      <c r="A71" s="10" t="n"/>
      <c r="B71" s="11" t="n"/>
    </row>
    <row r="72" ht="12.75" customHeight="1" s="90">
      <c r="A72" s="10" t="n"/>
      <c r="B72" s="11" t="n"/>
    </row>
    <row r="73" ht="12.75" customHeight="1" s="90">
      <c r="A73" s="10" t="n"/>
      <c r="B73" s="11" t="n"/>
    </row>
    <row r="74" ht="12.75" customHeight="1" s="90">
      <c r="A74" s="10" t="n"/>
      <c r="B74" s="11" t="n"/>
    </row>
    <row r="75" ht="12.75" customHeight="1" s="90">
      <c r="A75" s="10" t="n"/>
      <c r="B75" s="11" t="n"/>
    </row>
    <row r="76" ht="12.75" customHeight="1" s="90">
      <c r="A76" s="10" t="n"/>
      <c r="B76" s="11" t="n"/>
    </row>
    <row r="77" ht="12.75" customHeight="1" s="90">
      <c r="A77" s="10" t="n"/>
      <c r="B77" s="11" t="n"/>
    </row>
    <row r="78" ht="12.75" customHeight="1" s="90">
      <c r="A78" s="10" t="n"/>
      <c r="B78" s="11" t="n"/>
    </row>
    <row r="79" ht="12.75" customHeight="1" s="90">
      <c r="A79" s="10" t="n"/>
      <c r="B79" s="11" t="n"/>
    </row>
    <row r="80" ht="12.75" customHeight="1" s="90">
      <c r="A80" s="10" t="n"/>
      <c r="B80" s="11" t="n"/>
    </row>
    <row r="81" ht="12.75" customHeight="1" s="90">
      <c r="A81" s="10" t="n"/>
      <c r="B81" s="11" t="n"/>
    </row>
    <row r="82" ht="12.75" customHeight="1" s="90">
      <c r="A82" s="10" t="n"/>
      <c r="B82" s="11" t="n"/>
    </row>
    <row r="83" ht="12.75" customHeight="1" s="90">
      <c r="A83" s="11" t="n"/>
      <c r="B83" s="3" t="n"/>
    </row>
    <row r="84" ht="12.75" customHeight="1" s="90">
      <c r="A84" s="3" t="n"/>
      <c r="B84" s="3" t="n"/>
    </row>
    <row r="85" ht="12.75" customHeight="1" s="90">
      <c r="A85" s="3" t="n"/>
      <c r="B85" s="3" t="n"/>
    </row>
    <row r="86" ht="12.75" customHeight="1" s="90">
      <c r="A86" s="3" t="n"/>
      <c r="B86" s="3" t="n"/>
    </row>
    <row r="87" ht="12.75" customHeight="1" s="90">
      <c r="A87" s="3" t="n"/>
      <c r="B87" s="3" t="n"/>
    </row>
    <row r="88" ht="12.75" customHeight="1" s="90">
      <c r="A88" s="3" t="n"/>
      <c r="B88" s="3" t="n"/>
    </row>
    <row r="89" ht="12.75" customHeight="1" s="90">
      <c r="A89" s="3" t="n"/>
      <c r="B89" s="3" t="n"/>
    </row>
    <row r="90" ht="12.75" customHeight="1" s="90">
      <c r="A90" s="3" t="n"/>
      <c r="B90" s="3" t="n"/>
    </row>
    <row r="91" ht="12.75" customHeight="1" s="90">
      <c r="A91" s="3" t="n"/>
      <c r="B91" s="3" t="n"/>
    </row>
    <row r="92" ht="12.75" customHeight="1" s="90">
      <c r="A92" s="3" t="n"/>
      <c r="B92" s="3" t="n"/>
    </row>
    <row r="93" ht="12.75" customHeight="1" s="90">
      <c r="A93" s="3" t="n"/>
      <c r="B93" s="3" t="n"/>
    </row>
    <row r="94" ht="12.75" customHeight="1" s="90">
      <c r="A94" s="3" t="n"/>
      <c r="B94" s="3" t="n"/>
    </row>
    <row r="95" ht="12.75" customHeight="1" s="90">
      <c r="A95" s="3" t="n"/>
      <c r="B95" s="3" t="n"/>
    </row>
    <row r="96" ht="12.75" customHeight="1" s="90">
      <c r="A96" s="3" t="n"/>
      <c r="B96" s="3" t="n"/>
    </row>
    <row r="97" ht="12.75" customHeight="1" s="90">
      <c r="A97" s="3" t="n"/>
      <c r="B97" s="3" t="n"/>
    </row>
    <row r="98" ht="12.75" customHeight="1" s="90">
      <c r="A98" s="3" t="n"/>
      <c r="B98" s="3" t="n"/>
    </row>
    <row r="99" ht="12.75" customHeight="1" s="90">
      <c r="A99" s="3" t="n"/>
      <c r="B99" s="3" t="n"/>
    </row>
    <row r="100" ht="12.75" customHeight="1" s="90">
      <c r="A100" s="3" t="n"/>
      <c r="B100" s="3" t="n"/>
    </row>
    <row r="101" ht="12.75" customHeight="1" s="90">
      <c r="A101" s="3" t="n"/>
      <c r="B101" s="3" t="n"/>
    </row>
    <row r="102" ht="12.75" customHeight="1" s="90">
      <c r="A102" s="3" t="n"/>
      <c r="B102" s="3" t="n"/>
    </row>
    <row r="103" ht="12.75" customHeight="1" s="90">
      <c r="A103" s="3" t="n"/>
      <c r="B103" s="3" t="n"/>
    </row>
    <row r="104" ht="12.75" customHeight="1" s="90">
      <c r="A104" s="3" t="n"/>
      <c r="B104" s="3" t="n"/>
    </row>
    <row r="105" ht="12.75" customHeight="1" s="90">
      <c r="A105" s="3" t="n"/>
      <c r="B105" s="3" t="n"/>
    </row>
    <row r="106" ht="12.75" customHeight="1" s="90">
      <c r="A106" s="3" t="n"/>
      <c r="B106" s="3" t="n"/>
    </row>
    <row r="107" ht="12.75" customHeight="1" s="90">
      <c r="A107" s="3" t="n"/>
      <c r="B107" s="3" t="n"/>
    </row>
    <row r="108" ht="12.75" customHeight="1" s="90">
      <c r="A108" s="3" t="n"/>
      <c r="B108" s="3" t="n"/>
    </row>
    <row r="109" ht="12.75" customHeight="1" s="90">
      <c r="A109" s="3" t="n"/>
      <c r="B109" s="3" t="n"/>
    </row>
    <row r="110" ht="12.75" customHeight="1" s="90">
      <c r="A110" s="3" t="n"/>
      <c r="B110" s="3" t="n"/>
    </row>
    <row r="111" ht="12.75" customHeight="1" s="90">
      <c r="A111" s="3" t="n"/>
      <c r="B111" s="3" t="n"/>
    </row>
    <row r="112" ht="12.75" customHeight="1" s="90">
      <c r="A112" s="3" t="n"/>
      <c r="B112" s="3" t="n"/>
    </row>
    <row r="113" ht="12.75" customHeight="1" s="90">
      <c r="A113" s="3" t="n"/>
      <c r="B113" s="3" t="n"/>
    </row>
    <row r="114" ht="12.75" customHeight="1" s="90">
      <c r="A114" s="3" t="n"/>
      <c r="B114" s="3" t="n"/>
    </row>
    <row r="115" ht="12.75" customHeight="1" s="90">
      <c r="A115" s="3" t="n"/>
      <c r="B115" s="3" t="n"/>
    </row>
    <row r="116" ht="12.75" customHeight="1" s="90">
      <c r="A116" s="3" t="n"/>
      <c r="B116" s="3" t="n"/>
    </row>
    <row r="117" ht="12.75" customHeight="1" s="90">
      <c r="A117" s="3" t="n"/>
      <c r="B117" s="3" t="n"/>
    </row>
    <row r="118" ht="12.75" customHeight="1" s="90">
      <c r="A118" s="3" t="n"/>
      <c r="B118" s="3" t="n"/>
    </row>
    <row r="119" ht="12.75" customHeight="1" s="90">
      <c r="A119" s="3" t="n"/>
      <c r="B119" s="3" t="n"/>
    </row>
    <row r="120" ht="12.75" customHeight="1" s="90">
      <c r="A120" s="3" t="n"/>
      <c r="B120" s="3" t="n"/>
    </row>
    <row r="121" ht="12.75" customHeight="1" s="90">
      <c r="A121" s="3" t="n"/>
      <c r="B121" s="3" t="n"/>
    </row>
    <row r="122" ht="12.75" customHeight="1" s="90">
      <c r="A122" s="3" t="n"/>
      <c r="B122" s="3" t="n"/>
    </row>
    <row r="123" ht="12.75" customHeight="1" s="90">
      <c r="A123" s="3" t="n"/>
      <c r="B123" s="3" t="n"/>
    </row>
    <row r="124" ht="12.75" customHeight="1" s="90">
      <c r="A124" s="3" t="n"/>
      <c r="B124" s="3" t="n"/>
    </row>
    <row r="125" ht="12.75" customHeight="1" s="90">
      <c r="A125" s="3" t="n"/>
      <c r="B125" s="3" t="n"/>
    </row>
    <row r="126" ht="12.75" customHeight="1" s="90">
      <c r="A126" s="3" t="n"/>
      <c r="B126" s="3" t="n"/>
    </row>
    <row r="127" ht="12.75" customHeight="1" s="90">
      <c r="A127" s="3" t="n"/>
      <c r="B127" s="3" t="n"/>
    </row>
    <row r="128" ht="12.75" customHeight="1" s="90">
      <c r="A128" s="3" t="n"/>
      <c r="B128" s="3" t="n"/>
    </row>
    <row r="129" ht="12.75" customHeight="1" s="90">
      <c r="A129" s="3" t="n"/>
      <c r="B129" s="3" t="n"/>
    </row>
    <row r="130" ht="12.75" customHeight="1" s="90">
      <c r="A130" s="3" t="n"/>
      <c r="B130" s="3" t="n"/>
    </row>
    <row r="131" ht="12.75" customHeight="1" s="90">
      <c r="A131" s="3" t="n"/>
      <c r="B131" s="3" t="n"/>
    </row>
    <row r="132" ht="12.75" customHeight="1" s="90">
      <c r="A132" s="3" t="n"/>
      <c r="B132" s="3" t="n"/>
    </row>
    <row r="133" ht="12.75" customHeight="1" s="90">
      <c r="A133" s="3" t="n"/>
      <c r="B133" s="3" t="n"/>
    </row>
    <row r="134" ht="12.75" customHeight="1" s="90">
      <c r="A134" s="3" t="n"/>
      <c r="B134" s="3" t="n"/>
    </row>
    <row r="135" ht="12.75" customHeight="1" s="90">
      <c r="A135" s="3" t="n"/>
      <c r="B135" s="3" t="n"/>
    </row>
    <row r="136" ht="12.75" customHeight="1" s="90">
      <c r="A136" s="3" t="n"/>
      <c r="B136" s="3" t="n"/>
    </row>
    <row r="137" ht="12.75" customHeight="1" s="90">
      <c r="A137" s="3" t="n"/>
      <c r="B137" s="3" t="n"/>
    </row>
    <row r="138" ht="12.75" customHeight="1" s="90">
      <c r="A138" s="3" t="n"/>
      <c r="B138" s="3" t="n"/>
    </row>
    <row r="139" ht="12.75" customHeight="1" s="90">
      <c r="A139" s="3" t="n"/>
      <c r="B139" s="3" t="n"/>
    </row>
    <row r="140" ht="12.75" customHeight="1" s="90">
      <c r="A140" s="3" t="n"/>
      <c r="B140" s="3" t="n"/>
    </row>
    <row r="141" ht="12.75" customHeight="1" s="90">
      <c r="A141" s="3" t="n"/>
      <c r="B141" s="3" t="n"/>
    </row>
    <row r="142" ht="12.75" customHeight="1" s="90">
      <c r="A142" s="3" t="n"/>
      <c r="B142" s="3" t="n"/>
    </row>
    <row r="143" ht="12.75" customHeight="1" s="90">
      <c r="A143" s="3" t="n"/>
      <c r="B143" s="3" t="n"/>
    </row>
    <row r="144" ht="12.75" customHeight="1" s="90">
      <c r="A144" s="3" t="n"/>
      <c r="B144" s="3" t="n"/>
    </row>
    <row r="145" ht="12.75" customHeight="1" s="90">
      <c r="A145" s="3" t="n"/>
      <c r="B145" s="3" t="n"/>
    </row>
    <row r="146" ht="12.75" customHeight="1" s="90">
      <c r="A146" s="3" t="n"/>
      <c r="B146" s="3" t="n"/>
    </row>
    <row r="147" ht="12.75" customHeight="1" s="90">
      <c r="A147" s="3" t="n"/>
      <c r="B147" s="3" t="n"/>
    </row>
    <row r="148" ht="12.75" customHeight="1" s="90">
      <c r="A148" s="3" t="n"/>
      <c r="B148" s="3" t="n"/>
    </row>
    <row r="149" ht="12.75" customHeight="1" s="90">
      <c r="A149" s="3" t="n"/>
      <c r="B149" s="3" t="n"/>
    </row>
    <row r="150" ht="12.75" customHeight="1" s="90">
      <c r="A150" s="3" t="n"/>
      <c r="B150" s="3" t="n"/>
    </row>
    <row r="151" ht="12.75" customHeight="1" s="90">
      <c r="A151" s="3" t="n"/>
      <c r="B151" s="3" t="n"/>
    </row>
    <row r="152" ht="12.75" customHeight="1" s="90">
      <c r="A152" s="3" t="n"/>
      <c r="B152" s="3" t="n"/>
    </row>
    <row r="153" ht="12.75" customHeight="1" s="90">
      <c r="A153" s="3" t="n"/>
      <c r="B153" s="3" t="n"/>
    </row>
    <row r="154" ht="12.75" customHeight="1" s="90">
      <c r="A154" s="3" t="n"/>
      <c r="B154" s="3" t="n"/>
    </row>
    <row r="155" ht="12.75" customHeight="1" s="90">
      <c r="A155" s="3" t="n"/>
      <c r="B155" s="3" t="n"/>
    </row>
    <row r="156" ht="12.75" customHeight="1" s="90">
      <c r="A156" s="3" t="n"/>
      <c r="B156" s="3" t="n"/>
    </row>
    <row r="157" ht="12.75" customHeight="1" s="90">
      <c r="A157" s="3" t="n"/>
      <c r="B157" s="3" t="n"/>
    </row>
    <row r="158" ht="12.75" customHeight="1" s="90">
      <c r="A158" s="3" t="n"/>
      <c r="B158" s="3" t="n"/>
    </row>
    <row r="159" ht="12.75" customHeight="1" s="90">
      <c r="A159" s="3" t="n"/>
      <c r="B159" s="3" t="n"/>
    </row>
    <row r="160" ht="12.75" customHeight="1" s="90">
      <c r="A160" s="3" t="n"/>
      <c r="B160" s="3" t="n"/>
    </row>
    <row r="161" ht="12.75" customHeight="1" s="90">
      <c r="A161" s="3" t="n"/>
      <c r="B161" s="3" t="n"/>
    </row>
    <row r="162" ht="12.75" customHeight="1" s="90">
      <c r="A162" s="3" t="n"/>
      <c r="B162" s="3" t="n"/>
    </row>
    <row r="163" ht="12.75" customHeight="1" s="90">
      <c r="A163" s="3" t="n"/>
      <c r="B163" s="3" t="n"/>
    </row>
    <row r="164" ht="12.75" customHeight="1" s="90">
      <c r="A164" s="3" t="n"/>
      <c r="B164" s="3" t="n"/>
    </row>
    <row r="165" ht="12.75" customHeight="1" s="90">
      <c r="A165" s="3" t="n"/>
      <c r="B165" s="3" t="n"/>
    </row>
    <row r="166" ht="12.75" customHeight="1" s="90">
      <c r="A166" s="3" t="n"/>
      <c r="B166" s="3" t="n"/>
    </row>
    <row r="167" ht="12.75" customHeight="1" s="90">
      <c r="A167" s="3" t="n"/>
      <c r="B167" s="3" t="n"/>
    </row>
    <row r="168" ht="12.75" customHeight="1" s="90">
      <c r="A168" s="3" t="n"/>
      <c r="B168" s="3" t="n"/>
    </row>
    <row r="169" ht="12.75" customHeight="1" s="90">
      <c r="A169" s="3" t="n"/>
      <c r="B169" s="3" t="n"/>
    </row>
    <row r="170" ht="12.75" customHeight="1" s="90">
      <c r="A170" s="3" t="n"/>
      <c r="B170" s="3" t="n"/>
    </row>
    <row r="171" ht="12.75" customHeight="1" s="90">
      <c r="A171" s="3" t="n"/>
      <c r="B171" s="3" t="n"/>
    </row>
    <row r="172" ht="12.75" customHeight="1" s="90">
      <c r="A172" s="3" t="n"/>
      <c r="B172" s="3" t="n"/>
    </row>
    <row r="173" ht="12.75" customHeight="1" s="90">
      <c r="A173" s="3" t="n"/>
      <c r="B173" s="3" t="n"/>
    </row>
    <row r="174" ht="12.75" customHeight="1" s="90">
      <c r="A174" s="3" t="n"/>
      <c r="B174" s="3" t="n"/>
    </row>
    <row r="175" ht="12.75" customHeight="1" s="90">
      <c r="A175" s="3" t="n"/>
      <c r="B175" s="3" t="n"/>
    </row>
    <row r="176" ht="12.75" customHeight="1" s="90">
      <c r="A176" s="3" t="n"/>
      <c r="B176" s="3" t="n"/>
    </row>
    <row r="177" ht="12.75" customHeight="1" s="90">
      <c r="A177" s="3" t="n"/>
      <c r="B177" s="3" t="n"/>
    </row>
    <row r="178" ht="12.75" customHeight="1" s="90">
      <c r="A178" s="3" t="n"/>
      <c r="B178" s="3" t="n"/>
    </row>
    <row r="179" ht="12.75" customHeight="1" s="90">
      <c r="A179" s="3" t="n"/>
      <c r="B179" s="3" t="n"/>
    </row>
    <row r="180" ht="12.75" customHeight="1" s="90">
      <c r="A180" s="3" t="n"/>
      <c r="B180" s="3" t="n"/>
    </row>
    <row r="181" ht="12.75" customHeight="1" s="90">
      <c r="A181" s="3" t="n"/>
      <c r="B181" s="3" t="n"/>
    </row>
    <row r="182" ht="12.75" customHeight="1" s="90">
      <c r="A182" s="3" t="n"/>
      <c r="B182" s="3" t="n"/>
    </row>
    <row r="183" ht="12.75" customHeight="1" s="90">
      <c r="A183" s="3" t="n"/>
      <c r="B183" s="3" t="n"/>
    </row>
    <row r="184" ht="12.75" customHeight="1" s="90">
      <c r="A184" s="3" t="n"/>
      <c r="B184" s="3" t="n"/>
    </row>
    <row r="185" ht="12.75" customHeight="1" s="90">
      <c r="A185" s="3" t="n"/>
      <c r="B185" s="3" t="n"/>
    </row>
    <row r="186" ht="12.75" customHeight="1" s="90">
      <c r="A186" s="3" t="n"/>
      <c r="B186" s="3" t="n"/>
    </row>
    <row r="187" ht="12.75" customHeight="1" s="90">
      <c r="A187" s="3" t="n"/>
      <c r="B187" s="3" t="n"/>
    </row>
    <row r="188" ht="12.75" customHeight="1" s="90">
      <c r="A188" s="3" t="n"/>
      <c r="B188" s="3" t="n"/>
    </row>
    <row r="189" ht="12.75" customHeight="1" s="90">
      <c r="A189" s="3" t="n"/>
      <c r="B189" s="3" t="n"/>
    </row>
    <row r="190" ht="12.75" customHeight="1" s="90">
      <c r="A190" s="3" t="n"/>
      <c r="B190" s="3" t="n"/>
    </row>
    <row r="191" ht="12.75" customHeight="1" s="90">
      <c r="A191" s="3" t="n"/>
      <c r="B191" s="3" t="n"/>
    </row>
    <row r="192" ht="12.75" customHeight="1" s="90">
      <c r="A192" s="3" t="n"/>
      <c r="B192" s="3" t="n"/>
    </row>
    <row r="193" ht="12.75" customHeight="1" s="90">
      <c r="A193" s="3" t="n"/>
      <c r="B193" s="3" t="n"/>
    </row>
    <row r="194" ht="12.75" customHeight="1" s="90">
      <c r="A194" s="3" t="n"/>
      <c r="B194" s="3" t="n"/>
    </row>
    <row r="195" ht="12.75" customHeight="1" s="90">
      <c r="A195" s="3" t="n"/>
      <c r="B195" s="3" t="n"/>
    </row>
    <row r="196" ht="12.75" customHeight="1" s="90">
      <c r="A196" s="3" t="n"/>
      <c r="B196" s="3" t="n"/>
    </row>
    <row r="197" ht="12.75" customHeight="1" s="90">
      <c r="A197" s="3" t="n"/>
      <c r="B197" s="3" t="n"/>
    </row>
    <row r="198" ht="12.75" customHeight="1" s="90">
      <c r="A198" s="3" t="n"/>
      <c r="B198" s="3" t="n"/>
    </row>
    <row r="199" ht="12.75" customHeight="1" s="90">
      <c r="A199" s="3" t="n"/>
      <c r="B199" s="3" t="n"/>
    </row>
    <row r="200" ht="12.75" customHeight="1" s="90">
      <c r="A200" s="3" t="n"/>
      <c r="B200" s="3" t="n"/>
    </row>
    <row r="201" ht="12.75" customHeight="1" s="90">
      <c r="A201" s="3" t="n"/>
      <c r="B201" s="3" t="n"/>
    </row>
    <row r="202" ht="12.75" customHeight="1" s="90">
      <c r="A202" s="3" t="n"/>
      <c r="B202" s="3" t="n"/>
    </row>
    <row r="203" ht="12.75" customHeight="1" s="90">
      <c r="A203" s="3" t="n"/>
      <c r="B203" s="3" t="n"/>
    </row>
    <row r="204" ht="12.75" customHeight="1" s="90">
      <c r="A204" s="3" t="n"/>
      <c r="B204" s="3" t="n"/>
    </row>
    <row r="205" ht="12.75" customHeight="1" s="90">
      <c r="A205" s="3" t="n"/>
      <c r="B205" s="3" t="n"/>
    </row>
    <row r="206" ht="12.75" customHeight="1" s="90">
      <c r="A206" s="3" t="n"/>
      <c r="B206" s="3" t="n"/>
    </row>
    <row r="207" ht="12.75" customHeight="1" s="90">
      <c r="A207" s="3" t="n"/>
      <c r="B207" s="3" t="n"/>
    </row>
    <row r="208" ht="12.75" customHeight="1" s="90">
      <c r="A208" s="3" t="n"/>
      <c r="B208" s="3" t="n"/>
    </row>
    <row r="209" ht="12.75" customHeight="1" s="90">
      <c r="A209" s="3" t="n"/>
      <c r="B209" s="3" t="n"/>
    </row>
    <row r="210" ht="12.75" customHeight="1" s="90">
      <c r="A210" s="3" t="n"/>
      <c r="B210" s="3" t="n"/>
    </row>
    <row r="211" ht="12.75" customHeight="1" s="90">
      <c r="A211" s="3" t="n"/>
      <c r="B211" s="3" t="n"/>
    </row>
    <row r="212" ht="12.75" customHeight="1" s="90">
      <c r="A212" s="3" t="n"/>
      <c r="B212" s="3" t="n"/>
    </row>
    <row r="213" ht="12.75" customHeight="1" s="90">
      <c r="A213" s="3" t="n"/>
      <c r="B213" s="3" t="n"/>
    </row>
    <row r="214" ht="12.75" customHeight="1" s="90">
      <c r="A214" s="3" t="n"/>
      <c r="B214" s="3" t="n"/>
    </row>
    <row r="215" ht="12.75" customHeight="1" s="90">
      <c r="A215" s="3" t="n"/>
      <c r="B215" s="3" t="n"/>
    </row>
    <row r="216" ht="12.75" customHeight="1" s="90">
      <c r="A216" s="3" t="n"/>
      <c r="B216" s="3" t="n"/>
    </row>
    <row r="217" ht="12.75" customHeight="1" s="90">
      <c r="A217" s="3" t="n"/>
      <c r="B217" s="3" t="n"/>
    </row>
    <row r="218" ht="12.75" customHeight="1" s="90">
      <c r="A218" s="3" t="n"/>
      <c r="B218" s="3" t="n"/>
    </row>
    <row r="219" ht="12.75" customHeight="1" s="90">
      <c r="A219" s="3" t="n"/>
      <c r="B219" s="3" t="n"/>
    </row>
    <row r="220" ht="12.75" customHeight="1" s="90">
      <c r="A220" s="3" t="n"/>
      <c r="B220" s="3" t="n"/>
    </row>
    <row r="221" ht="12.75" customHeight="1" s="90">
      <c r="A221" s="3" t="n"/>
      <c r="B221" s="3" t="n"/>
    </row>
    <row r="222" ht="12.75" customHeight="1" s="90">
      <c r="A222" s="3" t="n"/>
      <c r="B222" s="3" t="n"/>
    </row>
    <row r="223" ht="12.75" customHeight="1" s="90">
      <c r="A223" s="3" t="n"/>
      <c r="B223" s="3" t="n"/>
    </row>
    <row r="224" ht="12.75" customHeight="1" s="90">
      <c r="A224" s="3" t="n"/>
      <c r="B224" s="3" t="n"/>
    </row>
    <row r="225" ht="12.75" customHeight="1" s="90">
      <c r="A225" s="3" t="n"/>
      <c r="B225" s="3" t="n"/>
    </row>
    <row r="226" ht="12.75" customHeight="1" s="90">
      <c r="A226" s="3" t="n"/>
      <c r="B226" s="3" t="n"/>
    </row>
    <row r="227" ht="12.75" customHeight="1" s="90">
      <c r="A227" s="3" t="n"/>
      <c r="B227" s="3" t="n"/>
    </row>
    <row r="228" ht="12.75" customHeight="1" s="90">
      <c r="A228" s="3" t="n"/>
      <c r="B228" s="3" t="n"/>
    </row>
    <row r="229" ht="12.75" customHeight="1" s="90">
      <c r="A229" s="3" t="n"/>
      <c r="B229" s="3" t="n"/>
    </row>
    <row r="230" ht="12.75" customHeight="1" s="90">
      <c r="A230" s="3" t="n"/>
      <c r="B230" s="3" t="n"/>
    </row>
    <row r="231" ht="12.75" customHeight="1" s="90">
      <c r="A231" s="3" t="n"/>
      <c r="B231" s="3" t="n"/>
    </row>
    <row r="232" ht="12.75" customHeight="1" s="90">
      <c r="A232" s="3" t="n"/>
      <c r="B232" s="3" t="n"/>
    </row>
    <row r="233" ht="12.75" customHeight="1" s="90">
      <c r="A233" s="3" t="n"/>
      <c r="B233" s="3" t="n"/>
    </row>
    <row r="234" ht="12.75" customHeight="1" s="90">
      <c r="A234" s="3" t="n"/>
      <c r="B234" s="3" t="n"/>
    </row>
    <row r="235" ht="12.75" customHeight="1" s="90">
      <c r="A235" s="3" t="n"/>
      <c r="B235" s="3" t="n"/>
    </row>
    <row r="236" ht="12.75" customHeight="1" s="90">
      <c r="A236" s="3" t="n"/>
      <c r="B236" s="3" t="n"/>
    </row>
    <row r="237" ht="12.75" customHeight="1" s="90">
      <c r="A237" s="3" t="n"/>
      <c r="B237" s="3" t="n"/>
    </row>
    <row r="238" ht="12.75" customHeight="1" s="90">
      <c r="A238" s="3" t="n"/>
      <c r="B238" s="3" t="n"/>
    </row>
    <row r="239" ht="12.75" customHeight="1" s="90">
      <c r="A239" s="3" t="n"/>
      <c r="B239" s="3" t="n"/>
    </row>
    <row r="240" ht="12.75" customHeight="1" s="90">
      <c r="A240" s="3" t="n"/>
      <c r="B240" s="3" t="n"/>
    </row>
    <row r="241" ht="12.75" customHeight="1" s="90">
      <c r="A241" s="3" t="n"/>
      <c r="B241" s="3" t="n"/>
    </row>
    <row r="242" ht="12.75" customHeight="1" s="90">
      <c r="A242" s="3" t="n"/>
      <c r="B242" s="3" t="n"/>
    </row>
    <row r="243" ht="12.75" customHeight="1" s="90">
      <c r="A243" s="3" t="n"/>
      <c r="B243" s="3" t="n"/>
    </row>
    <row r="244" ht="12.75" customHeight="1" s="90">
      <c r="A244" s="3" t="n"/>
      <c r="B244" s="3" t="n"/>
    </row>
    <row r="245" ht="12.75" customHeight="1" s="90">
      <c r="A245" s="3" t="n"/>
      <c r="B245" s="3" t="n"/>
    </row>
    <row r="246" ht="12.75" customHeight="1" s="90">
      <c r="A246" s="3" t="n"/>
      <c r="B246" s="3" t="n"/>
    </row>
    <row r="247" ht="12.75" customHeight="1" s="90">
      <c r="A247" s="3" t="n"/>
      <c r="B247" s="3" t="n"/>
    </row>
    <row r="248" ht="12.75" customHeight="1" s="90">
      <c r="A248" s="3" t="n"/>
      <c r="B248" s="3" t="n"/>
    </row>
    <row r="249" ht="12.75" customHeight="1" s="90">
      <c r="A249" s="3" t="n"/>
      <c r="B249" s="3" t="n"/>
    </row>
    <row r="250" ht="12.75" customHeight="1" s="90">
      <c r="A250" s="3" t="n"/>
      <c r="B250" s="3" t="n"/>
    </row>
    <row r="251" ht="12.75" customHeight="1" s="90">
      <c r="A251" s="3" t="n"/>
      <c r="B251" s="3" t="n"/>
    </row>
    <row r="252" ht="12.75" customHeight="1" s="90">
      <c r="A252" s="3" t="n"/>
      <c r="B252" s="3" t="n"/>
    </row>
    <row r="253" ht="12.75" customHeight="1" s="90">
      <c r="A253" s="3" t="n"/>
      <c r="B253" s="3" t="n"/>
    </row>
    <row r="254" ht="12.75" customHeight="1" s="90">
      <c r="A254" s="3" t="n"/>
      <c r="B254" s="3" t="n"/>
    </row>
    <row r="255" ht="12.75" customHeight="1" s="90">
      <c r="A255" s="3" t="n"/>
      <c r="B255" s="3" t="n"/>
    </row>
    <row r="256" ht="12.75" customHeight="1" s="90">
      <c r="A256" s="3" t="n"/>
      <c r="B256" s="3" t="n"/>
    </row>
    <row r="257" ht="12.75" customHeight="1" s="90">
      <c r="A257" s="3" t="n"/>
      <c r="B257" s="3" t="n"/>
    </row>
    <row r="258" ht="12.75" customHeight="1" s="90">
      <c r="A258" s="3" t="n"/>
      <c r="B258" s="3" t="n"/>
    </row>
    <row r="259" ht="12.75" customHeight="1" s="90">
      <c r="A259" s="3" t="n"/>
      <c r="B259" s="3" t="n"/>
    </row>
    <row r="260" ht="12.75" customHeight="1" s="90">
      <c r="A260" s="3" t="n"/>
      <c r="B260" s="3" t="n"/>
    </row>
    <row r="261" ht="12.75" customHeight="1" s="90">
      <c r="A261" s="3" t="n"/>
      <c r="B261" s="3" t="n"/>
    </row>
    <row r="262" ht="12.75" customHeight="1" s="90">
      <c r="A262" s="3" t="n"/>
      <c r="B262" s="3" t="n"/>
    </row>
    <row r="263" ht="12.75" customHeight="1" s="90">
      <c r="A263" s="3" t="n"/>
      <c r="B263" s="3" t="n"/>
    </row>
    <row r="264" ht="12.75" customHeight="1" s="90">
      <c r="A264" s="3" t="n"/>
      <c r="B264" s="3" t="n"/>
    </row>
    <row r="265" ht="12.75" customHeight="1" s="90">
      <c r="A265" s="3" t="n"/>
      <c r="B265" s="3" t="n"/>
    </row>
    <row r="266" ht="12.75" customHeight="1" s="90">
      <c r="A266" s="3" t="n"/>
      <c r="B266" s="3" t="n"/>
    </row>
    <row r="267" ht="12.75" customHeight="1" s="90">
      <c r="A267" s="3" t="n"/>
      <c r="B267" s="3" t="n"/>
    </row>
    <row r="268" ht="12.75" customHeight="1" s="90">
      <c r="A268" s="3" t="n"/>
      <c r="B268" s="3" t="n"/>
    </row>
    <row r="269" ht="12.75" customHeight="1" s="90">
      <c r="A269" s="3" t="n"/>
      <c r="B269" s="3" t="n"/>
    </row>
    <row r="270" ht="12.75" customHeight="1" s="90">
      <c r="A270" s="3" t="n"/>
      <c r="B270" s="3" t="n"/>
    </row>
    <row r="271" ht="12.75" customHeight="1" s="90">
      <c r="A271" s="3" t="n"/>
      <c r="B271" s="3" t="n"/>
    </row>
    <row r="272" ht="12.75" customHeight="1" s="90">
      <c r="A272" s="3" t="n"/>
      <c r="B272" s="3" t="n"/>
    </row>
    <row r="273" ht="12.75" customHeight="1" s="90">
      <c r="A273" s="3" t="n"/>
      <c r="B273" s="3" t="n"/>
    </row>
    <row r="274" ht="12.75" customHeight="1" s="90">
      <c r="A274" s="3" t="n"/>
      <c r="B274" s="3" t="n"/>
    </row>
    <row r="275" ht="12.75" customHeight="1" s="90">
      <c r="A275" s="3" t="n"/>
      <c r="B275" s="3" t="n"/>
    </row>
    <row r="276" ht="12.75" customHeight="1" s="90">
      <c r="A276" s="3" t="n"/>
      <c r="B276" s="3" t="n"/>
    </row>
    <row r="277" ht="12.75" customHeight="1" s="90">
      <c r="A277" s="3" t="n"/>
      <c r="B277" s="3" t="n"/>
    </row>
    <row r="278" ht="12.75" customHeight="1" s="90">
      <c r="A278" s="3" t="n"/>
      <c r="B278" s="3" t="n"/>
    </row>
    <row r="279" ht="12.75" customHeight="1" s="90">
      <c r="A279" s="3" t="n"/>
      <c r="B279" s="3" t="n"/>
    </row>
    <row r="280" ht="12.75" customHeight="1" s="90">
      <c r="A280" s="3" t="n"/>
      <c r="B280" s="3" t="n"/>
    </row>
    <row r="281" ht="12.75" customHeight="1" s="90">
      <c r="A281" s="3" t="n"/>
      <c r="B281" s="3" t="n"/>
    </row>
    <row r="282" ht="12.75" customHeight="1" s="90">
      <c r="A282" s="3" t="n"/>
      <c r="B282" s="3" t="n"/>
    </row>
    <row r="283" ht="15.75" customHeight="1" s="90">
      <c r="A283" s="3" t="n"/>
      <c r="B283" s="3" t="n"/>
    </row>
    <row r="284" ht="15.75" customHeight="1" s="90">
      <c r="A284" s="3" t="n"/>
      <c r="B284" s="3" t="n"/>
    </row>
    <row r="285" ht="15.75" customHeight="1" s="90">
      <c r="A285" s="3" t="n"/>
      <c r="B285" s="3" t="n"/>
    </row>
    <row r="286" ht="15.75" customHeight="1" s="90">
      <c r="A286" s="3" t="n"/>
      <c r="B286" s="3" t="n"/>
    </row>
    <row r="287" ht="15.75" customHeight="1" s="90">
      <c r="A287" s="3" t="n"/>
      <c r="B287" s="3" t="n"/>
    </row>
    <row r="288" ht="15.75" customHeight="1" s="90">
      <c r="A288" s="3" t="n"/>
      <c r="B288" s="3" t="n"/>
    </row>
    <row r="289" ht="15.75" customHeight="1" s="90">
      <c r="A289" s="3" t="n"/>
      <c r="B289" s="3" t="n"/>
    </row>
    <row r="290" ht="15.75" customHeight="1" s="90">
      <c r="A290" s="3" t="n"/>
      <c r="B290" s="3" t="n"/>
    </row>
    <row r="291" ht="15.75" customHeight="1" s="90">
      <c r="A291" s="3" t="n"/>
      <c r="B291" s="3" t="n"/>
    </row>
    <row r="292" ht="15.75" customHeight="1" s="90">
      <c r="A292" s="3" t="n"/>
      <c r="B292" s="3" t="n"/>
    </row>
    <row r="293" ht="15.75" customHeight="1" s="90">
      <c r="A293" s="3" t="n"/>
      <c r="B293" s="3" t="n"/>
    </row>
    <row r="294" ht="15.75" customHeight="1" s="90">
      <c r="A294" s="3" t="n"/>
      <c r="B294" s="3" t="n"/>
    </row>
    <row r="295" ht="15.75" customHeight="1" s="90">
      <c r="A295" s="3" t="n"/>
      <c r="B295" s="3" t="n"/>
    </row>
    <row r="296" ht="15.75" customHeight="1" s="90">
      <c r="A296" s="3" t="n"/>
      <c r="B296" s="3" t="n"/>
    </row>
    <row r="297" ht="15.75" customHeight="1" s="90">
      <c r="A297" s="3" t="n"/>
      <c r="B297" s="3" t="n"/>
    </row>
    <row r="298" ht="15.75" customHeight="1" s="90">
      <c r="A298" s="3" t="n"/>
      <c r="B298" s="3" t="n"/>
    </row>
    <row r="299" ht="15.75" customHeight="1" s="90">
      <c r="A299" s="3" t="n"/>
      <c r="B299" s="3" t="n"/>
    </row>
    <row r="300" ht="15.75" customHeight="1" s="90">
      <c r="A300" s="3" t="n"/>
      <c r="B300" s="3" t="n"/>
    </row>
    <row r="301" ht="15.75" customHeight="1" s="90">
      <c r="A301" s="3" t="n"/>
      <c r="B301" s="3" t="n"/>
    </row>
    <row r="302" ht="15.75" customHeight="1" s="90">
      <c r="A302" s="3" t="n"/>
      <c r="B302" s="3" t="n"/>
    </row>
    <row r="303" ht="15.75" customHeight="1" s="90">
      <c r="A303" s="3" t="n"/>
      <c r="B303" s="3" t="n"/>
    </row>
    <row r="304" ht="15.75" customHeight="1" s="90">
      <c r="A304" s="3" t="n"/>
      <c r="B304" s="3" t="n"/>
    </row>
    <row r="305" ht="15.75" customHeight="1" s="90">
      <c r="A305" s="3" t="n"/>
      <c r="B305" s="3" t="n"/>
    </row>
    <row r="306" ht="15.75" customHeight="1" s="90">
      <c r="A306" s="3" t="n"/>
      <c r="B306" s="3" t="n"/>
    </row>
    <row r="307" ht="15.75" customHeight="1" s="90">
      <c r="A307" s="3" t="n"/>
      <c r="B307" s="3" t="n"/>
    </row>
    <row r="308" ht="15.75" customHeight="1" s="90">
      <c r="A308" s="3" t="n"/>
      <c r="B308" s="3" t="n"/>
    </row>
    <row r="309" ht="15.75" customHeight="1" s="90">
      <c r="A309" s="3" t="n"/>
      <c r="B309" s="3" t="n"/>
    </row>
    <row r="310" ht="15.75" customHeight="1" s="90">
      <c r="A310" s="3" t="n"/>
      <c r="B310" s="3" t="n"/>
    </row>
    <row r="311" ht="15.75" customHeight="1" s="90">
      <c r="A311" s="3" t="n"/>
      <c r="B311" s="3" t="n"/>
    </row>
    <row r="312" ht="15.75" customHeight="1" s="90">
      <c r="A312" s="3" t="n"/>
      <c r="B312" s="3" t="n"/>
    </row>
    <row r="313" ht="15.75" customHeight="1" s="90">
      <c r="A313" s="3" t="n"/>
      <c r="B313" s="3" t="n"/>
    </row>
    <row r="314" ht="15.75" customHeight="1" s="90">
      <c r="A314" s="3" t="n"/>
      <c r="B314" s="3" t="n"/>
    </row>
    <row r="315" ht="15.75" customHeight="1" s="90">
      <c r="A315" s="3" t="n"/>
      <c r="B315" s="3" t="n"/>
    </row>
    <row r="316" ht="15.75" customHeight="1" s="90">
      <c r="A316" s="3" t="n"/>
      <c r="B316" s="3" t="n"/>
    </row>
    <row r="317" ht="15.75" customHeight="1" s="90">
      <c r="A317" s="3" t="n"/>
      <c r="B317" s="3" t="n"/>
    </row>
    <row r="318" ht="15.75" customHeight="1" s="90">
      <c r="A318" s="3" t="n"/>
      <c r="B318" s="3" t="n"/>
    </row>
    <row r="319" ht="15.75" customHeight="1" s="90">
      <c r="A319" s="3" t="n"/>
      <c r="B319" s="3" t="n"/>
    </row>
    <row r="320" ht="15.75" customHeight="1" s="90">
      <c r="A320" s="3" t="n"/>
      <c r="B320" s="3" t="n"/>
    </row>
    <row r="321" ht="15.75" customHeight="1" s="90">
      <c r="A321" s="3" t="n"/>
      <c r="B321" s="3" t="n"/>
    </row>
    <row r="322" ht="15.75" customHeight="1" s="90">
      <c r="A322" s="3" t="n"/>
      <c r="B322" s="3" t="n"/>
    </row>
    <row r="323" ht="15.75" customHeight="1" s="90">
      <c r="A323" s="3" t="n"/>
      <c r="B323" s="3" t="n"/>
    </row>
    <row r="324" ht="15.75" customHeight="1" s="90">
      <c r="A324" s="3" t="n"/>
      <c r="B324" s="3" t="n"/>
    </row>
    <row r="325" ht="15.75" customHeight="1" s="90">
      <c r="A325" s="3" t="n"/>
      <c r="B325" s="3" t="n"/>
    </row>
    <row r="326" ht="15.75" customHeight="1" s="90">
      <c r="A326" s="3" t="n"/>
      <c r="B326" s="3" t="n"/>
    </row>
    <row r="327" ht="15.75" customHeight="1" s="90">
      <c r="A327" s="3" t="n"/>
      <c r="B327" s="3" t="n"/>
    </row>
    <row r="328" ht="15.75" customHeight="1" s="90">
      <c r="A328" s="3" t="n"/>
      <c r="B328" s="3" t="n"/>
    </row>
    <row r="329" ht="15.75" customHeight="1" s="90">
      <c r="A329" s="3" t="n"/>
      <c r="B329" s="3" t="n"/>
    </row>
    <row r="330" ht="15.75" customHeight="1" s="90">
      <c r="A330" s="3" t="n"/>
      <c r="B330" s="3" t="n"/>
    </row>
    <row r="331" ht="15.75" customHeight="1" s="90">
      <c r="A331" s="3" t="n"/>
      <c r="B331" s="3" t="n"/>
    </row>
    <row r="332" ht="15.75" customHeight="1" s="90">
      <c r="A332" s="3" t="n"/>
      <c r="B332" s="3" t="n"/>
    </row>
    <row r="333" ht="15.75" customHeight="1" s="90">
      <c r="A333" s="3" t="n"/>
      <c r="B333" s="3" t="n"/>
    </row>
    <row r="334" ht="15.75" customHeight="1" s="90">
      <c r="A334" s="3" t="n"/>
      <c r="B334" s="3" t="n"/>
    </row>
    <row r="335" ht="15.75" customHeight="1" s="90">
      <c r="A335" s="3" t="n"/>
      <c r="B335" s="3" t="n"/>
    </row>
    <row r="336" ht="15.75" customHeight="1" s="90">
      <c r="A336" s="3" t="n"/>
      <c r="B336" s="3" t="n"/>
    </row>
    <row r="337" ht="15.75" customHeight="1" s="90">
      <c r="A337" s="3" t="n"/>
      <c r="B337" s="3" t="n"/>
    </row>
    <row r="338" ht="15.75" customHeight="1" s="90">
      <c r="A338" s="3" t="n"/>
      <c r="B338" s="3" t="n"/>
    </row>
    <row r="339" ht="15.75" customHeight="1" s="90">
      <c r="A339" s="3" t="n"/>
      <c r="B339" s="3" t="n"/>
    </row>
    <row r="340" ht="15.75" customHeight="1" s="90">
      <c r="A340" s="3" t="n"/>
      <c r="B340" s="3" t="n"/>
    </row>
    <row r="341" ht="15.75" customHeight="1" s="90">
      <c r="A341" s="3" t="n"/>
      <c r="B341" s="3" t="n"/>
    </row>
    <row r="342" ht="15.75" customHeight="1" s="90">
      <c r="A342" s="3" t="n"/>
      <c r="B342" s="3" t="n"/>
    </row>
    <row r="343" ht="15.75" customHeight="1" s="90">
      <c r="A343" s="3" t="n"/>
      <c r="B343" s="3" t="n"/>
    </row>
    <row r="344" ht="15.75" customHeight="1" s="90">
      <c r="A344" s="3" t="n"/>
      <c r="B344" s="3" t="n"/>
    </row>
    <row r="345" ht="15.75" customHeight="1" s="90">
      <c r="A345" s="3" t="n"/>
      <c r="B345" s="3" t="n"/>
    </row>
    <row r="346" ht="15.75" customHeight="1" s="90">
      <c r="A346" s="3" t="n"/>
      <c r="B346" s="3" t="n"/>
    </row>
    <row r="347" ht="15.75" customHeight="1" s="90">
      <c r="A347" s="3" t="n"/>
      <c r="B347" s="3" t="n"/>
    </row>
    <row r="348" ht="15.75" customHeight="1" s="90">
      <c r="A348" s="3" t="n"/>
      <c r="B348" s="3" t="n"/>
    </row>
    <row r="349" ht="15.75" customHeight="1" s="90">
      <c r="A349" s="3" t="n"/>
      <c r="B349" s="3" t="n"/>
    </row>
    <row r="350" ht="15.75" customHeight="1" s="90">
      <c r="A350" s="3" t="n"/>
      <c r="B350" s="3" t="n"/>
    </row>
    <row r="351" ht="15.75" customHeight="1" s="90">
      <c r="A351" s="3" t="n"/>
      <c r="B351" s="3" t="n"/>
    </row>
    <row r="352" ht="15.75" customHeight="1" s="90">
      <c r="A352" s="3" t="n"/>
      <c r="B352" s="3" t="n"/>
    </row>
    <row r="353" ht="15.75" customHeight="1" s="90">
      <c r="A353" s="3" t="n"/>
      <c r="B353" s="3" t="n"/>
    </row>
    <row r="354" ht="15.75" customHeight="1" s="90">
      <c r="A354" s="3" t="n"/>
      <c r="B354" s="3" t="n"/>
    </row>
    <row r="355" ht="15.75" customHeight="1" s="90">
      <c r="A355" s="3" t="n"/>
      <c r="B355" s="3" t="n"/>
    </row>
    <row r="356" ht="15.75" customHeight="1" s="90">
      <c r="A356" s="3" t="n"/>
      <c r="B356" s="3" t="n"/>
    </row>
    <row r="357" ht="15.75" customHeight="1" s="90">
      <c r="A357" s="3" t="n"/>
      <c r="B357" s="3" t="n"/>
    </row>
    <row r="358" ht="15.75" customHeight="1" s="90">
      <c r="A358" s="3" t="n"/>
      <c r="B358" s="3" t="n"/>
    </row>
    <row r="359" ht="15.75" customHeight="1" s="90">
      <c r="A359" s="3" t="n"/>
      <c r="B359" s="3" t="n"/>
    </row>
    <row r="360" ht="15.75" customHeight="1" s="90">
      <c r="A360" s="3" t="n"/>
      <c r="B360" s="3" t="n"/>
    </row>
    <row r="361" ht="15.75" customHeight="1" s="90">
      <c r="A361" s="3" t="n"/>
      <c r="B361" s="3" t="n"/>
    </row>
    <row r="362" ht="15.75" customHeight="1" s="90">
      <c r="A362" s="3" t="n"/>
      <c r="B362" s="3" t="n"/>
    </row>
    <row r="363" ht="15.75" customHeight="1" s="90">
      <c r="A363" s="3" t="n"/>
      <c r="B363" s="3" t="n"/>
    </row>
    <row r="364" ht="15.75" customHeight="1" s="90">
      <c r="A364" s="3" t="n"/>
      <c r="B364" s="3" t="n"/>
    </row>
    <row r="365" ht="15.75" customHeight="1" s="90">
      <c r="A365" s="3" t="n"/>
      <c r="B365" s="3" t="n"/>
    </row>
    <row r="366" ht="15.75" customHeight="1" s="90">
      <c r="A366" s="3" t="n"/>
      <c r="B366" s="3" t="n"/>
    </row>
    <row r="367" ht="15.75" customHeight="1" s="90">
      <c r="A367" s="3" t="n"/>
      <c r="B367" s="3" t="n"/>
    </row>
    <row r="368" ht="15.75" customHeight="1" s="90">
      <c r="A368" s="3" t="n"/>
      <c r="B368" s="3" t="n"/>
    </row>
    <row r="369" ht="15.75" customHeight="1" s="90">
      <c r="A369" s="3" t="n"/>
      <c r="B369" s="3" t="n"/>
    </row>
    <row r="370" ht="15.75" customHeight="1" s="90">
      <c r="A370" s="3" t="n"/>
      <c r="B370" s="3" t="n"/>
    </row>
    <row r="371" ht="15.75" customHeight="1" s="90">
      <c r="A371" s="3" t="n"/>
      <c r="B371" s="3" t="n"/>
    </row>
    <row r="372" ht="15.75" customHeight="1" s="90">
      <c r="A372" s="3" t="n"/>
      <c r="B372" s="3" t="n"/>
    </row>
    <row r="373" ht="15.75" customHeight="1" s="90">
      <c r="A373" s="3" t="n"/>
      <c r="B373" s="3" t="n"/>
    </row>
    <row r="374" ht="15.75" customHeight="1" s="90">
      <c r="A374" s="3" t="n"/>
      <c r="B374" s="3" t="n"/>
    </row>
    <row r="375" ht="15.75" customHeight="1" s="90">
      <c r="A375" s="3" t="n"/>
      <c r="B375" s="3" t="n"/>
    </row>
    <row r="376" ht="15.75" customHeight="1" s="90">
      <c r="A376" s="3" t="n"/>
      <c r="B376" s="3" t="n"/>
    </row>
    <row r="377" ht="15.75" customHeight="1" s="90">
      <c r="A377" s="3" t="n"/>
      <c r="B377" s="3" t="n"/>
    </row>
    <row r="378" ht="15.75" customHeight="1" s="90">
      <c r="A378" s="3" t="n"/>
      <c r="B378" s="3" t="n"/>
    </row>
    <row r="379" ht="15.75" customHeight="1" s="90">
      <c r="A379" s="3" t="n"/>
      <c r="B379" s="3" t="n"/>
    </row>
    <row r="380" ht="15.75" customHeight="1" s="90">
      <c r="A380" s="3" t="n"/>
      <c r="B380" s="3" t="n"/>
    </row>
    <row r="381" ht="15.75" customHeight="1" s="90">
      <c r="A381" s="3" t="n"/>
      <c r="B381" s="3" t="n"/>
    </row>
    <row r="382" ht="15.75" customHeight="1" s="90">
      <c r="A382" s="3" t="n"/>
      <c r="B382" s="3" t="n"/>
    </row>
    <row r="383" ht="15.75" customHeight="1" s="90">
      <c r="A383" s="3" t="n"/>
      <c r="B383" s="3" t="n"/>
    </row>
    <row r="384" ht="15.75" customHeight="1" s="90">
      <c r="A384" s="3" t="n"/>
      <c r="B384" s="3" t="n"/>
    </row>
    <row r="385" ht="15.75" customHeight="1" s="90">
      <c r="A385" s="3" t="n"/>
      <c r="B385" s="3" t="n"/>
    </row>
    <row r="386" ht="15.75" customHeight="1" s="90">
      <c r="A386" s="3" t="n"/>
      <c r="B386" s="3" t="n"/>
    </row>
    <row r="387" ht="15.75" customHeight="1" s="90">
      <c r="A387" s="3" t="n"/>
      <c r="B387" s="3" t="n"/>
    </row>
    <row r="388" ht="15.75" customHeight="1" s="90">
      <c r="A388" s="3" t="n"/>
      <c r="B388" s="3" t="n"/>
    </row>
    <row r="389" ht="15.75" customHeight="1" s="90">
      <c r="A389" s="3" t="n"/>
      <c r="B389" s="3" t="n"/>
    </row>
    <row r="390" ht="15.75" customHeight="1" s="90">
      <c r="A390" s="3" t="n"/>
      <c r="B390" s="3" t="n"/>
    </row>
    <row r="391" ht="15.75" customHeight="1" s="90">
      <c r="A391" s="3" t="n"/>
      <c r="B391" s="3" t="n"/>
    </row>
    <row r="392" ht="15.75" customHeight="1" s="90">
      <c r="A392" s="3" t="n"/>
      <c r="B392" s="3" t="n"/>
    </row>
    <row r="393" ht="15.75" customHeight="1" s="90">
      <c r="A393" s="3" t="n"/>
      <c r="B393" s="3" t="n"/>
    </row>
    <row r="394" ht="15.75" customHeight="1" s="90">
      <c r="A394" s="3" t="n"/>
      <c r="B394" s="3" t="n"/>
    </row>
    <row r="395" ht="15.75" customHeight="1" s="90">
      <c r="A395" s="3" t="n"/>
      <c r="B395" s="3" t="n"/>
    </row>
    <row r="396" ht="15.75" customHeight="1" s="90">
      <c r="A396" s="3" t="n"/>
      <c r="B396" s="3" t="n"/>
    </row>
    <row r="397" ht="15.75" customHeight="1" s="90">
      <c r="A397" s="3" t="n"/>
      <c r="B397" s="3" t="n"/>
    </row>
    <row r="398" ht="15.75" customHeight="1" s="90">
      <c r="A398" s="3" t="n"/>
      <c r="B398" s="3" t="n"/>
    </row>
    <row r="399" ht="15.75" customHeight="1" s="90">
      <c r="A399" s="3" t="n"/>
      <c r="B399" s="3" t="n"/>
    </row>
    <row r="400" ht="15.75" customHeight="1" s="90">
      <c r="A400" s="3" t="n"/>
      <c r="B400" s="3" t="n"/>
    </row>
    <row r="401" ht="15.75" customHeight="1" s="90">
      <c r="A401" s="3" t="n"/>
      <c r="B401" s="3" t="n"/>
    </row>
    <row r="402" ht="15.75" customHeight="1" s="90">
      <c r="A402" s="3" t="n"/>
      <c r="B402" s="3" t="n"/>
    </row>
    <row r="403" ht="15.75" customHeight="1" s="90">
      <c r="A403" s="3" t="n"/>
      <c r="B403" s="3" t="n"/>
    </row>
    <row r="404" ht="15.75" customHeight="1" s="90">
      <c r="A404" s="3" t="n"/>
      <c r="B404" s="3" t="n"/>
    </row>
    <row r="405" ht="15.75" customHeight="1" s="90">
      <c r="A405" s="3" t="n"/>
      <c r="B405" s="3" t="n"/>
    </row>
    <row r="406" ht="15.75" customHeight="1" s="90">
      <c r="A406" s="3" t="n"/>
      <c r="B406" s="3" t="n"/>
    </row>
    <row r="407" ht="15.75" customHeight="1" s="90">
      <c r="A407" s="3" t="n"/>
      <c r="B407" s="3" t="n"/>
    </row>
    <row r="408" ht="15.75" customHeight="1" s="90">
      <c r="A408" s="3" t="n"/>
      <c r="B408" s="3" t="n"/>
    </row>
    <row r="409" ht="15.75" customHeight="1" s="90">
      <c r="A409" s="3" t="n"/>
      <c r="B409" s="3" t="n"/>
    </row>
    <row r="410" ht="15.75" customHeight="1" s="90">
      <c r="A410" s="3" t="n"/>
      <c r="B410" s="3" t="n"/>
    </row>
    <row r="411" ht="15.75" customHeight="1" s="90">
      <c r="A411" s="3" t="n"/>
      <c r="B411" s="3" t="n"/>
    </row>
    <row r="412" ht="15.75" customHeight="1" s="90">
      <c r="A412" s="3" t="n"/>
      <c r="B412" s="3" t="n"/>
    </row>
    <row r="413" ht="15.75" customHeight="1" s="90">
      <c r="A413" s="3" t="n"/>
      <c r="B413" s="3" t="n"/>
    </row>
    <row r="414" ht="15.75" customHeight="1" s="90">
      <c r="A414" s="3" t="n"/>
      <c r="B414" s="3" t="n"/>
    </row>
    <row r="415" ht="15.75" customHeight="1" s="90">
      <c r="A415" s="3" t="n"/>
      <c r="B415" s="3" t="n"/>
    </row>
    <row r="416" ht="15.75" customHeight="1" s="90">
      <c r="A416" s="3" t="n"/>
      <c r="B416" s="3" t="n"/>
    </row>
    <row r="417" ht="15.75" customHeight="1" s="90">
      <c r="A417" s="3" t="n"/>
      <c r="B417" s="3" t="n"/>
    </row>
    <row r="418" ht="15.75" customHeight="1" s="90">
      <c r="A418" s="3" t="n"/>
      <c r="B418" s="3" t="n"/>
    </row>
    <row r="419" ht="15.75" customHeight="1" s="90">
      <c r="A419" s="3" t="n"/>
      <c r="B419" s="3" t="n"/>
    </row>
    <row r="420" ht="15.75" customHeight="1" s="90">
      <c r="A420" s="3" t="n"/>
      <c r="B420" s="3" t="n"/>
    </row>
    <row r="421" ht="15.75" customHeight="1" s="90">
      <c r="A421" s="3" t="n"/>
      <c r="B421" s="3" t="n"/>
    </row>
    <row r="422" ht="15.75" customHeight="1" s="90">
      <c r="A422" s="3" t="n"/>
      <c r="B422" s="3" t="n"/>
    </row>
    <row r="423" ht="15.75" customHeight="1" s="90">
      <c r="A423" s="3" t="n"/>
      <c r="B423" s="3" t="n"/>
    </row>
    <row r="424" ht="15.75" customHeight="1" s="90">
      <c r="A424" s="3" t="n"/>
      <c r="B424" s="3" t="n"/>
    </row>
    <row r="425" ht="15.75" customHeight="1" s="90">
      <c r="A425" s="3" t="n"/>
      <c r="B425" s="3" t="n"/>
    </row>
    <row r="426" ht="15.75" customHeight="1" s="90">
      <c r="A426" s="3" t="n"/>
      <c r="B426" s="3" t="n"/>
    </row>
    <row r="427" ht="15.75" customHeight="1" s="90">
      <c r="A427" s="3" t="n"/>
      <c r="B427" s="3" t="n"/>
    </row>
    <row r="428" ht="15.75" customHeight="1" s="90">
      <c r="A428" s="3" t="n"/>
      <c r="B428" s="3" t="n"/>
    </row>
    <row r="429" ht="15.75" customHeight="1" s="90">
      <c r="A429" s="3" t="n"/>
      <c r="B429" s="3" t="n"/>
    </row>
    <row r="430" ht="15.75" customHeight="1" s="90">
      <c r="A430" s="3" t="n"/>
      <c r="B430" s="3" t="n"/>
    </row>
    <row r="431" ht="15.75" customHeight="1" s="90">
      <c r="A431" s="3" t="n"/>
      <c r="B431" s="3" t="n"/>
    </row>
    <row r="432" ht="15.75" customHeight="1" s="90">
      <c r="A432" s="3" t="n"/>
      <c r="B432" s="3" t="n"/>
    </row>
    <row r="433" ht="15.75" customHeight="1" s="90">
      <c r="A433" s="3" t="n"/>
      <c r="B433" s="3" t="n"/>
    </row>
    <row r="434" ht="15.75" customHeight="1" s="90">
      <c r="A434" s="3" t="n"/>
      <c r="B434" s="3" t="n"/>
    </row>
    <row r="435" ht="15.75" customHeight="1" s="90">
      <c r="A435" s="3" t="n"/>
      <c r="B435" s="3" t="n"/>
    </row>
    <row r="436" ht="15.75" customHeight="1" s="90">
      <c r="A436" s="3" t="n"/>
      <c r="B436" s="3" t="n"/>
    </row>
    <row r="437" ht="15.75" customHeight="1" s="90">
      <c r="A437" s="3" t="n"/>
      <c r="B437" s="3" t="n"/>
    </row>
    <row r="438" ht="15.75" customHeight="1" s="90">
      <c r="A438" s="3" t="n"/>
      <c r="B438" s="3" t="n"/>
    </row>
    <row r="439" ht="15.75" customHeight="1" s="90">
      <c r="A439" s="3" t="n"/>
      <c r="B439" s="3" t="n"/>
    </row>
    <row r="440" ht="15.75" customHeight="1" s="90">
      <c r="A440" s="3" t="n"/>
      <c r="B440" s="3" t="n"/>
    </row>
    <row r="441" ht="15.75" customHeight="1" s="90">
      <c r="A441" s="3" t="n"/>
      <c r="B441" s="3" t="n"/>
    </row>
    <row r="442" ht="15.75" customHeight="1" s="90">
      <c r="A442" s="3" t="n"/>
      <c r="B442" s="3" t="n"/>
    </row>
    <row r="443" ht="15.75" customHeight="1" s="90">
      <c r="A443" s="3" t="n"/>
      <c r="B443" s="3" t="n"/>
    </row>
    <row r="444" ht="15.75" customHeight="1" s="90">
      <c r="A444" s="3" t="n"/>
      <c r="B444" s="3" t="n"/>
    </row>
    <row r="445" ht="15.75" customHeight="1" s="90">
      <c r="A445" s="3" t="n"/>
      <c r="B445" s="3" t="n"/>
    </row>
    <row r="446" ht="15.75" customHeight="1" s="90">
      <c r="A446" s="3" t="n"/>
      <c r="B446" s="3" t="n"/>
    </row>
    <row r="447" ht="15.75" customHeight="1" s="90">
      <c r="A447" s="3" t="n"/>
      <c r="B447" s="3" t="n"/>
    </row>
    <row r="448" ht="15.75" customHeight="1" s="90">
      <c r="A448" s="3" t="n"/>
      <c r="B448" s="3" t="n"/>
    </row>
    <row r="449" ht="15.75" customHeight="1" s="90">
      <c r="A449" s="3" t="n"/>
      <c r="B449" s="3" t="n"/>
    </row>
    <row r="450" ht="15.75" customHeight="1" s="90">
      <c r="A450" s="3" t="n"/>
      <c r="B450" s="3" t="n"/>
    </row>
    <row r="451" ht="15.75" customHeight="1" s="90">
      <c r="A451" s="3" t="n"/>
      <c r="B451" s="3" t="n"/>
    </row>
    <row r="452" ht="15.75" customHeight="1" s="90">
      <c r="A452" s="3" t="n"/>
      <c r="B452" s="3" t="n"/>
    </row>
    <row r="453" ht="15.75" customHeight="1" s="90">
      <c r="A453" s="3" t="n"/>
      <c r="B453" s="3" t="n"/>
    </row>
    <row r="454" ht="15.75" customHeight="1" s="90">
      <c r="A454" s="3" t="n"/>
      <c r="B454" s="3" t="n"/>
    </row>
    <row r="455" ht="15.75" customHeight="1" s="90">
      <c r="A455" s="3" t="n"/>
      <c r="B455" s="3" t="n"/>
    </row>
    <row r="456" ht="15.75" customHeight="1" s="90">
      <c r="A456" s="3" t="n"/>
      <c r="B456" s="3" t="n"/>
    </row>
    <row r="457" ht="15.75" customHeight="1" s="90">
      <c r="A457" s="3" t="n"/>
      <c r="B457" s="3" t="n"/>
    </row>
    <row r="458" ht="15.75" customHeight="1" s="90">
      <c r="A458" s="3" t="n"/>
      <c r="B458" s="3" t="n"/>
    </row>
    <row r="459" ht="15.75" customHeight="1" s="90">
      <c r="A459" s="3" t="n"/>
      <c r="B459" s="3" t="n"/>
    </row>
    <row r="460" ht="15.75" customHeight="1" s="90">
      <c r="A460" s="3" t="n"/>
      <c r="B460" s="3" t="n"/>
    </row>
    <row r="461" ht="15.75" customHeight="1" s="90">
      <c r="A461" s="3" t="n"/>
      <c r="B461" s="3" t="n"/>
    </row>
    <row r="462" ht="15.75" customHeight="1" s="90">
      <c r="A462" s="3" t="n"/>
      <c r="B462" s="3" t="n"/>
    </row>
    <row r="463" ht="15.75" customHeight="1" s="90">
      <c r="A463" s="3" t="n"/>
      <c r="B463" s="3" t="n"/>
    </row>
    <row r="464" ht="15.75" customHeight="1" s="90">
      <c r="A464" s="3" t="n"/>
      <c r="B464" s="3" t="n"/>
    </row>
    <row r="465" ht="15.75" customHeight="1" s="90">
      <c r="A465" s="3" t="n"/>
      <c r="B465" s="3" t="n"/>
    </row>
    <row r="466" ht="15.75" customHeight="1" s="90">
      <c r="A466" s="3" t="n"/>
      <c r="B466" s="3" t="n"/>
    </row>
    <row r="467" ht="15.75" customHeight="1" s="90">
      <c r="A467" s="3" t="n"/>
      <c r="B467" s="3" t="n"/>
    </row>
    <row r="468" ht="15.75" customHeight="1" s="90">
      <c r="A468" s="3" t="n"/>
      <c r="B468" s="3" t="n"/>
    </row>
    <row r="469" ht="15.75" customHeight="1" s="90">
      <c r="A469" s="3" t="n"/>
      <c r="B469" s="3" t="n"/>
    </row>
    <row r="470" ht="15.75" customHeight="1" s="90">
      <c r="A470" s="3" t="n"/>
      <c r="B470" s="3" t="n"/>
    </row>
    <row r="471" ht="15.75" customHeight="1" s="90">
      <c r="A471" s="3" t="n"/>
      <c r="B471" s="3" t="n"/>
    </row>
    <row r="472" ht="15.75" customHeight="1" s="90">
      <c r="A472" s="3" t="n"/>
      <c r="B472" s="3" t="n"/>
    </row>
    <row r="473" ht="15.75" customHeight="1" s="90">
      <c r="A473" s="3" t="n"/>
      <c r="B473" s="3" t="n"/>
    </row>
    <row r="474" ht="15.75" customHeight="1" s="90">
      <c r="A474" s="3" t="n"/>
      <c r="B474" s="3" t="n"/>
    </row>
    <row r="475" ht="15.75" customHeight="1" s="90">
      <c r="A475" s="3" t="n"/>
      <c r="B475" s="3" t="n"/>
    </row>
    <row r="476" ht="15.75" customHeight="1" s="90">
      <c r="A476" s="3" t="n"/>
      <c r="B476" s="3" t="n"/>
    </row>
    <row r="477" ht="15.75" customHeight="1" s="90">
      <c r="A477" s="3" t="n"/>
      <c r="B477" s="3" t="n"/>
    </row>
    <row r="478" ht="15.75" customHeight="1" s="90">
      <c r="A478" s="3" t="n"/>
      <c r="B478" s="3" t="n"/>
    </row>
    <row r="479" ht="15.75" customHeight="1" s="90">
      <c r="A479" s="3" t="n"/>
      <c r="B479" s="3" t="n"/>
    </row>
    <row r="480" ht="15.75" customHeight="1" s="90">
      <c r="A480" s="3" t="n"/>
      <c r="B480" s="3" t="n"/>
    </row>
    <row r="481" ht="15.75" customHeight="1" s="90">
      <c r="A481" s="3" t="n"/>
      <c r="B481" s="3" t="n"/>
    </row>
    <row r="482" ht="15.75" customHeight="1" s="90">
      <c r="A482" s="3" t="n"/>
      <c r="B482" s="3" t="n"/>
    </row>
    <row r="483" ht="15.75" customHeight="1" s="90">
      <c r="A483" s="3" t="n"/>
      <c r="B483" s="3" t="n"/>
    </row>
    <row r="484" ht="15.75" customHeight="1" s="90">
      <c r="A484" s="3" t="n"/>
      <c r="B484" s="3" t="n"/>
    </row>
    <row r="485" ht="15.75" customHeight="1" s="90">
      <c r="A485" s="3" t="n"/>
      <c r="B485" s="3" t="n"/>
    </row>
    <row r="486" ht="15.75" customHeight="1" s="90">
      <c r="A486" s="3" t="n"/>
      <c r="B486" s="3" t="n"/>
    </row>
    <row r="487" ht="15.75" customHeight="1" s="90">
      <c r="A487" s="3" t="n"/>
      <c r="B487" s="3" t="n"/>
    </row>
    <row r="488" ht="15.75" customHeight="1" s="90">
      <c r="A488" s="3" t="n"/>
      <c r="B488" s="3" t="n"/>
    </row>
    <row r="489" ht="15.75" customHeight="1" s="90">
      <c r="A489" s="3" t="n"/>
      <c r="B489" s="3" t="n"/>
    </row>
    <row r="490" ht="15.75" customHeight="1" s="90">
      <c r="A490" s="3" t="n"/>
      <c r="B490" s="3" t="n"/>
    </row>
    <row r="491" ht="15.75" customHeight="1" s="90">
      <c r="A491" s="3" t="n"/>
      <c r="B491" s="3" t="n"/>
    </row>
    <row r="492" ht="15.75" customHeight="1" s="90">
      <c r="A492" s="3" t="n"/>
      <c r="B492" s="3" t="n"/>
    </row>
    <row r="493" ht="15.75" customHeight="1" s="90">
      <c r="A493" s="3" t="n"/>
      <c r="B493" s="3" t="n"/>
    </row>
    <row r="494" ht="15.75" customHeight="1" s="90">
      <c r="A494" s="3" t="n"/>
      <c r="B494" s="3" t="n"/>
    </row>
    <row r="495" ht="15.75" customHeight="1" s="90">
      <c r="A495" s="3" t="n"/>
      <c r="B495" s="3" t="n"/>
    </row>
    <row r="496" ht="15.75" customHeight="1" s="90">
      <c r="A496" s="3" t="n"/>
      <c r="B496" s="3" t="n"/>
    </row>
    <row r="497" ht="15.75" customHeight="1" s="90">
      <c r="A497" s="3" t="n"/>
      <c r="B497" s="3" t="n"/>
    </row>
    <row r="498" ht="15.75" customHeight="1" s="90">
      <c r="A498" s="3" t="n"/>
      <c r="B498" s="3" t="n"/>
    </row>
    <row r="499" ht="15.75" customHeight="1" s="90">
      <c r="A499" s="3" t="n"/>
      <c r="B499" s="3" t="n"/>
    </row>
    <row r="500" ht="15.75" customHeight="1" s="90">
      <c r="A500" s="3" t="n"/>
      <c r="B500" s="3" t="n"/>
    </row>
    <row r="501" ht="15.75" customHeight="1" s="90">
      <c r="A501" s="3" t="n"/>
      <c r="B501" s="3" t="n"/>
    </row>
    <row r="502" ht="15.75" customHeight="1" s="90">
      <c r="A502" s="3" t="n"/>
      <c r="B502" s="3" t="n"/>
    </row>
    <row r="503" ht="15.75" customHeight="1" s="90">
      <c r="A503" s="3" t="n"/>
      <c r="B503" s="3" t="n"/>
    </row>
    <row r="504" ht="15.75" customHeight="1" s="90">
      <c r="A504" s="3" t="n"/>
      <c r="B504" s="3" t="n"/>
    </row>
    <row r="505" ht="15.75" customHeight="1" s="90">
      <c r="A505" s="3" t="n"/>
      <c r="B505" s="3" t="n"/>
    </row>
    <row r="506" ht="15.75" customHeight="1" s="90">
      <c r="A506" s="3" t="n"/>
      <c r="B506" s="3" t="n"/>
    </row>
    <row r="507" ht="15.75" customHeight="1" s="90">
      <c r="A507" s="3" t="n"/>
      <c r="B507" s="3" t="n"/>
    </row>
    <row r="508" ht="15.75" customHeight="1" s="90">
      <c r="A508" s="3" t="n"/>
      <c r="B508" s="3" t="n"/>
    </row>
    <row r="509" ht="15.75" customHeight="1" s="90">
      <c r="A509" s="3" t="n"/>
      <c r="B509" s="3" t="n"/>
    </row>
    <row r="510" ht="15.75" customHeight="1" s="90">
      <c r="A510" s="3" t="n"/>
      <c r="B510" s="3" t="n"/>
    </row>
    <row r="511" ht="15.75" customHeight="1" s="90">
      <c r="A511" s="3" t="n"/>
      <c r="B511" s="3" t="n"/>
    </row>
    <row r="512" ht="15.75" customHeight="1" s="90">
      <c r="A512" s="3" t="n"/>
      <c r="B512" s="3" t="n"/>
    </row>
    <row r="513" ht="15.75" customHeight="1" s="90">
      <c r="A513" s="3" t="n"/>
      <c r="B513" s="3" t="n"/>
    </row>
    <row r="514" ht="15.75" customHeight="1" s="90">
      <c r="A514" s="3" t="n"/>
      <c r="B514" s="3" t="n"/>
    </row>
    <row r="515" ht="15.75" customHeight="1" s="90">
      <c r="A515" s="3" t="n"/>
      <c r="B515" s="3" t="n"/>
    </row>
    <row r="516" ht="15.75" customHeight="1" s="90">
      <c r="A516" s="3" t="n"/>
      <c r="B516" s="3" t="n"/>
    </row>
    <row r="517" ht="15.75" customHeight="1" s="90">
      <c r="A517" s="3" t="n"/>
      <c r="B517" s="3" t="n"/>
    </row>
    <row r="518" ht="15.75" customHeight="1" s="90">
      <c r="A518" s="3" t="n"/>
      <c r="B518" s="3" t="n"/>
    </row>
    <row r="519" ht="15.75" customHeight="1" s="90">
      <c r="A519" s="3" t="n"/>
      <c r="B519" s="3" t="n"/>
    </row>
    <row r="520" ht="15.75" customHeight="1" s="90">
      <c r="A520" s="3" t="n"/>
      <c r="B520" s="3" t="n"/>
    </row>
    <row r="521" ht="15.75" customHeight="1" s="90">
      <c r="A521" s="3" t="n"/>
      <c r="B521" s="3" t="n"/>
    </row>
    <row r="522" ht="15.75" customHeight="1" s="90">
      <c r="A522" s="3" t="n"/>
      <c r="B522" s="3" t="n"/>
    </row>
    <row r="523" ht="15.75" customHeight="1" s="90">
      <c r="A523" s="3" t="n"/>
      <c r="B523" s="3" t="n"/>
    </row>
    <row r="524" ht="15.75" customHeight="1" s="90">
      <c r="A524" s="3" t="n"/>
      <c r="B524" s="3" t="n"/>
    </row>
    <row r="525" ht="15.75" customHeight="1" s="90">
      <c r="A525" s="3" t="n"/>
      <c r="B525" s="3" t="n"/>
    </row>
    <row r="526" ht="15.75" customHeight="1" s="90">
      <c r="A526" s="3" t="n"/>
      <c r="B526" s="3" t="n"/>
    </row>
    <row r="527" ht="15.75" customHeight="1" s="90">
      <c r="A527" s="3" t="n"/>
      <c r="B527" s="3" t="n"/>
    </row>
    <row r="528" ht="15.75" customHeight="1" s="90">
      <c r="A528" s="3" t="n"/>
      <c r="B528" s="3" t="n"/>
    </row>
    <row r="529" ht="15.75" customHeight="1" s="90">
      <c r="A529" s="3" t="n"/>
      <c r="B529" s="3" t="n"/>
    </row>
    <row r="530" ht="15.75" customHeight="1" s="90">
      <c r="A530" s="3" t="n"/>
      <c r="B530" s="3" t="n"/>
    </row>
    <row r="531" ht="15.75" customHeight="1" s="90">
      <c r="A531" s="3" t="n"/>
      <c r="B531" s="3" t="n"/>
    </row>
    <row r="532" ht="15.75" customHeight="1" s="90">
      <c r="A532" s="3" t="n"/>
      <c r="B532" s="3" t="n"/>
    </row>
    <row r="533" ht="15.75" customHeight="1" s="90">
      <c r="A533" s="3" t="n"/>
      <c r="B533" s="3" t="n"/>
    </row>
    <row r="534" ht="15.75" customHeight="1" s="90">
      <c r="A534" s="3" t="n"/>
      <c r="B534" s="3" t="n"/>
    </row>
    <row r="535" ht="15.75" customHeight="1" s="90">
      <c r="A535" s="3" t="n"/>
      <c r="B535" s="3" t="n"/>
    </row>
    <row r="536" ht="15.75" customHeight="1" s="90">
      <c r="A536" s="3" t="n"/>
      <c r="B536" s="3" t="n"/>
    </row>
    <row r="537" ht="15.75" customHeight="1" s="90">
      <c r="A537" s="3" t="n"/>
      <c r="B537" s="3" t="n"/>
    </row>
    <row r="538" ht="15.75" customHeight="1" s="90">
      <c r="A538" s="3" t="n"/>
      <c r="B538" s="3" t="n"/>
    </row>
    <row r="539" ht="15.75" customHeight="1" s="90">
      <c r="A539" s="3" t="n"/>
      <c r="B539" s="3" t="n"/>
    </row>
    <row r="540" ht="15.75" customHeight="1" s="90">
      <c r="A540" s="3" t="n"/>
      <c r="B540" s="3" t="n"/>
    </row>
    <row r="541" ht="15.75" customHeight="1" s="90">
      <c r="A541" s="3" t="n"/>
      <c r="B541" s="3" t="n"/>
    </row>
    <row r="542" ht="15.75" customHeight="1" s="90">
      <c r="A542" s="3" t="n"/>
      <c r="B542" s="3" t="n"/>
    </row>
    <row r="543" ht="15.75" customHeight="1" s="90">
      <c r="A543" s="3" t="n"/>
      <c r="B543" s="3" t="n"/>
    </row>
    <row r="544" ht="15.75" customHeight="1" s="90">
      <c r="A544" s="3" t="n"/>
      <c r="B544" s="3" t="n"/>
    </row>
    <row r="545" ht="15.75" customHeight="1" s="90">
      <c r="A545" s="3" t="n"/>
      <c r="B545" s="3" t="n"/>
    </row>
    <row r="546" ht="15.75" customHeight="1" s="90">
      <c r="A546" s="3" t="n"/>
      <c r="B546" s="3" t="n"/>
    </row>
    <row r="547" ht="15.75" customHeight="1" s="90">
      <c r="A547" s="3" t="n"/>
      <c r="B547" s="3" t="n"/>
    </row>
    <row r="548" ht="15.75" customHeight="1" s="90">
      <c r="A548" s="3" t="n"/>
      <c r="B548" s="3" t="n"/>
    </row>
    <row r="549" ht="15.75" customHeight="1" s="90">
      <c r="A549" s="3" t="n"/>
      <c r="B549" s="3" t="n"/>
    </row>
    <row r="550" ht="15.75" customHeight="1" s="90">
      <c r="A550" s="3" t="n"/>
      <c r="B550" s="3" t="n"/>
    </row>
    <row r="551" ht="15.75" customHeight="1" s="90">
      <c r="A551" s="3" t="n"/>
      <c r="B551" s="3" t="n"/>
    </row>
    <row r="552" ht="15.75" customHeight="1" s="90">
      <c r="A552" s="3" t="n"/>
      <c r="B552" s="3" t="n"/>
    </row>
    <row r="553" ht="15.75" customHeight="1" s="90">
      <c r="A553" s="3" t="n"/>
      <c r="B553" s="3" t="n"/>
    </row>
    <row r="554" ht="15.75" customHeight="1" s="90">
      <c r="A554" s="3" t="n"/>
      <c r="B554" s="3" t="n"/>
    </row>
    <row r="555" ht="15.75" customHeight="1" s="90">
      <c r="A555" s="3" t="n"/>
      <c r="B555" s="3" t="n"/>
    </row>
    <row r="556" ht="15.75" customHeight="1" s="90">
      <c r="A556" s="3" t="n"/>
      <c r="B556" s="3" t="n"/>
    </row>
    <row r="557" ht="15.75" customHeight="1" s="90">
      <c r="A557" s="3" t="n"/>
      <c r="B557" s="3" t="n"/>
    </row>
    <row r="558" ht="15.75" customHeight="1" s="90">
      <c r="A558" s="3" t="n"/>
      <c r="B558" s="3" t="n"/>
    </row>
    <row r="559" ht="15.75" customHeight="1" s="90">
      <c r="A559" s="3" t="n"/>
      <c r="B559" s="3" t="n"/>
    </row>
    <row r="560" ht="15.75" customHeight="1" s="90">
      <c r="A560" s="3" t="n"/>
      <c r="B560" s="3" t="n"/>
    </row>
    <row r="561" ht="15.75" customHeight="1" s="90">
      <c r="A561" s="3" t="n"/>
      <c r="B561" s="3" t="n"/>
    </row>
    <row r="562" ht="15.75" customHeight="1" s="90">
      <c r="A562" s="3" t="n"/>
      <c r="B562" s="3" t="n"/>
    </row>
    <row r="563" ht="15.75" customHeight="1" s="90">
      <c r="A563" s="3" t="n"/>
      <c r="B563" s="3" t="n"/>
    </row>
    <row r="564" ht="15.75" customHeight="1" s="90">
      <c r="A564" s="3" t="n"/>
      <c r="B564" s="3" t="n"/>
    </row>
    <row r="565" ht="15.75" customHeight="1" s="90">
      <c r="A565" s="3" t="n"/>
      <c r="B565" s="3" t="n"/>
    </row>
    <row r="566" ht="15.75" customHeight="1" s="90">
      <c r="A566" s="3" t="n"/>
      <c r="B566" s="3" t="n"/>
    </row>
    <row r="567" ht="15.75" customHeight="1" s="90">
      <c r="A567" s="3" t="n"/>
      <c r="B567" s="3" t="n"/>
    </row>
    <row r="568" ht="15.75" customHeight="1" s="90">
      <c r="A568" s="3" t="n"/>
      <c r="B568" s="3" t="n"/>
    </row>
    <row r="569" ht="15.75" customHeight="1" s="90">
      <c r="A569" s="3" t="n"/>
      <c r="B569" s="3" t="n"/>
    </row>
    <row r="570" ht="15.75" customHeight="1" s="90">
      <c r="A570" s="3" t="n"/>
      <c r="B570" s="3" t="n"/>
    </row>
    <row r="571" ht="15.75" customHeight="1" s="90">
      <c r="A571" s="3" t="n"/>
      <c r="B571" s="3" t="n"/>
    </row>
    <row r="572" ht="15.75" customHeight="1" s="90">
      <c r="A572" s="3" t="n"/>
      <c r="B572" s="3" t="n"/>
    </row>
    <row r="573" ht="15.75" customHeight="1" s="90">
      <c r="A573" s="3" t="n"/>
      <c r="B573" s="3" t="n"/>
    </row>
    <row r="574" ht="15.75" customHeight="1" s="90">
      <c r="A574" s="3" t="n"/>
      <c r="B574" s="3" t="n"/>
    </row>
    <row r="575" ht="15.75" customHeight="1" s="90">
      <c r="A575" s="3" t="n"/>
      <c r="B575" s="3" t="n"/>
    </row>
    <row r="576" ht="15.75" customHeight="1" s="90">
      <c r="A576" s="3" t="n"/>
      <c r="B576" s="3" t="n"/>
    </row>
    <row r="577" ht="15.75" customHeight="1" s="90">
      <c r="A577" s="3" t="n"/>
      <c r="B577" s="3" t="n"/>
    </row>
    <row r="578" ht="15.75" customHeight="1" s="90">
      <c r="A578" s="3" t="n"/>
      <c r="B578" s="3" t="n"/>
    </row>
    <row r="579" ht="15.75" customHeight="1" s="90">
      <c r="A579" s="3" t="n"/>
      <c r="B579" s="3" t="n"/>
    </row>
    <row r="580" ht="15.75" customHeight="1" s="90">
      <c r="A580" s="3" t="n"/>
      <c r="B580" s="3" t="n"/>
    </row>
    <row r="581" ht="15.75" customHeight="1" s="90">
      <c r="A581" s="3" t="n"/>
      <c r="B581" s="3" t="n"/>
    </row>
    <row r="582" ht="15.75" customHeight="1" s="90">
      <c r="A582" s="3" t="n"/>
      <c r="B582" s="3" t="n"/>
    </row>
    <row r="583" ht="15.75" customHeight="1" s="90">
      <c r="A583" s="3" t="n"/>
      <c r="B583" s="3" t="n"/>
    </row>
    <row r="584" ht="15.75" customHeight="1" s="90">
      <c r="A584" s="3" t="n"/>
      <c r="B584" s="3" t="n"/>
    </row>
    <row r="585" ht="15.75" customHeight="1" s="90">
      <c r="A585" s="3" t="n"/>
      <c r="B585" s="3" t="n"/>
    </row>
    <row r="586" ht="15.75" customHeight="1" s="90">
      <c r="A586" s="3" t="n"/>
      <c r="B586" s="3" t="n"/>
    </row>
    <row r="587" ht="15.75" customHeight="1" s="90">
      <c r="A587" s="3" t="n"/>
      <c r="B587" s="3" t="n"/>
    </row>
    <row r="588" ht="15.75" customHeight="1" s="90">
      <c r="A588" s="3" t="n"/>
      <c r="B588" s="3" t="n"/>
    </row>
    <row r="589" ht="15.75" customHeight="1" s="90">
      <c r="A589" s="3" t="n"/>
      <c r="B589" s="3" t="n"/>
    </row>
    <row r="590" ht="15.75" customHeight="1" s="90">
      <c r="A590" s="3" t="n"/>
      <c r="B590" s="3" t="n"/>
    </row>
    <row r="591" ht="15.75" customHeight="1" s="90">
      <c r="A591" s="3" t="n"/>
      <c r="B591" s="3" t="n"/>
    </row>
    <row r="592" ht="15.75" customHeight="1" s="90">
      <c r="A592" s="3" t="n"/>
      <c r="B592" s="3" t="n"/>
    </row>
    <row r="593" ht="15.75" customHeight="1" s="90">
      <c r="A593" s="3" t="n"/>
      <c r="B593" s="3" t="n"/>
    </row>
    <row r="594" ht="15.75" customHeight="1" s="90">
      <c r="A594" s="3" t="n"/>
      <c r="B594" s="3" t="n"/>
    </row>
    <row r="595" ht="15.75" customHeight="1" s="90">
      <c r="A595" s="3" t="n"/>
      <c r="B595" s="3" t="n"/>
    </row>
    <row r="596" ht="15.75" customHeight="1" s="90">
      <c r="A596" s="3" t="n"/>
      <c r="B596" s="3" t="n"/>
    </row>
    <row r="597" ht="15.75" customHeight="1" s="90">
      <c r="A597" s="3" t="n"/>
      <c r="B597" s="3" t="n"/>
    </row>
    <row r="598" ht="15.75" customHeight="1" s="90">
      <c r="A598" s="3" t="n"/>
      <c r="B598" s="3" t="n"/>
    </row>
    <row r="599" ht="15.75" customHeight="1" s="90">
      <c r="A599" s="3" t="n"/>
      <c r="B599" s="3" t="n"/>
    </row>
    <row r="600" ht="15.75" customHeight="1" s="90">
      <c r="A600" s="3" t="n"/>
      <c r="B600" s="3" t="n"/>
    </row>
    <row r="601" ht="15.75" customHeight="1" s="90">
      <c r="A601" s="3" t="n"/>
      <c r="B601" s="3" t="n"/>
    </row>
    <row r="602" ht="15.75" customHeight="1" s="90">
      <c r="A602" s="3" t="n"/>
      <c r="B602" s="3" t="n"/>
    </row>
    <row r="603" ht="15.75" customHeight="1" s="90">
      <c r="A603" s="3" t="n"/>
      <c r="B603" s="3" t="n"/>
    </row>
    <row r="604" ht="15.75" customHeight="1" s="90">
      <c r="A604" s="3" t="n"/>
      <c r="B604" s="3" t="n"/>
    </row>
    <row r="605" ht="15.75" customHeight="1" s="90">
      <c r="A605" s="3" t="n"/>
      <c r="B605" s="3" t="n"/>
    </row>
    <row r="606" ht="15.75" customHeight="1" s="90">
      <c r="A606" s="3" t="n"/>
      <c r="B606" s="3" t="n"/>
    </row>
    <row r="607" ht="15.75" customHeight="1" s="90">
      <c r="A607" s="3" t="n"/>
      <c r="B607" s="3" t="n"/>
    </row>
    <row r="608" ht="15.75" customHeight="1" s="90">
      <c r="A608" s="3" t="n"/>
      <c r="B608" s="3" t="n"/>
    </row>
    <row r="609" ht="15.75" customHeight="1" s="90">
      <c r="A609" s="3" t="n"/>
      <c r="B609" s="3" t="n"/>
    </row>
    <row r="610" ht="15.75" customHeight="1" s="90">
      <c r="A610" s="3" t="n"/>
      <c r="B610" s="3" t="n"/>
    </row>
    <row r="611" ht="15.75" customHeight="1" s="90">
      <c r="A611" s="3" t="n"/>
      <c r="B611" s="3" t="n"/>
    </row>
    <row r="612" ht="15.75" customHeight="1" s="90">
      <c r="A612" s="3" t="n"/>
      <c r="B612" s="3" t="n"/>
    </row>
    <row r="613" ht="15.75" customHeight="1" s="90">
      <c r="A613" s="3" t="n"/>
      <c r="B613" s="3" t="n"/>
    </row>
    <row r="614" ht="15.75" customHeight="1" s="90">
      <c r="A614" s="3" t="n"/>
      <c r="B614" s="3" t="n"/>
    </row>
    <row r="615" ht="15.75" customHeight="1" s="90">
      <c r="A615" s="3" t="n"/>
      <c r="B615" s="3" t="n"/>
    </row>
    <row r="616" ht="15.75" customHeight="1" s="90">
      <c r="A616" s="3" t="n"/>
      <c r="B616" s="3" t="n"/>
    </row>
    <row r="617" ht="15.75" customHeight="1" s="90">
      <c r="A617" s="3" t="n"/>
      <c r="B617" s="3" t="n"/>
    </row>
    <row r="618" ht="15.75" customHeight="1" s="90">
      <c r="A618" s="3" t="n"/>
      <c r="B618" s="3" t="n"/>
    </row>
    <row r="619" ht="15.75" customHeight="1" s="90">
      <c r="A619" s="3" t="n"/>
      <c r="B619" s="3" t="n"/>
    </row>
    <row r="620" ht="15.75" customHeight="1" s="90">
      <c r="A620" s="3" t="n"/>
      <c r="B620" s="3" t="n"/>
    </row>
    <row r="621" ht="15.75" customHeight="1" s="90">
      <c r="A621" s="3" t="n"/>
      <c r="B621" s="3" t="n"/>
    </row>
    <row r="622" ht="15.75" customHeight="1" s="90">
      <c r="A622" s="3" t="n"/>
      <c r="B622" s="3" t="n"/>
    </row>
    <row r="623" ht="15.75" customHeight="1" s="90">
      <c r="A623" s="3" t="n"/>
      <c r="B623" s="3" t="n"/>
    </row>
    <row r="624" ht="15.75" customHeight="1" s="90">
      <c r="A624" s="3" t="n"/>
      <c r="B624" s="3" t="n"/>
    </row>
    <row r="625" ht="15.75" customHeight="1" s="90">
      <c r="A625" s="3" t="n"/>
      <c r="B625" s="3" t="n"/>
    </row>
    <row r="626" ht="15.75" customHeight="1" s="90">
      <c r="A626" s="3" t="n"/>
      <c r="B626" s="3" t="n"/>
    </row>
    <row r="627" ht="15.75" customHeight="1" s="90">
      <c r="A627" s="3" t="n"/>
      <c r="B627" s="3" t="n"/>
    </row>
    <row r="628" ht="15.75" customHeight="1" s="90">
      <c r="A628" s="3" t="n"/>
      <c r="B628" s="3" t="n"/>
    </row>
    <row r="629" ht="15.75" customHeight="1" s="90">
      <c r="A629" s="3" t="n"/>
      <c r="B629" s="3" t="n"/>
    </row>
    <row r="630" ht="15.75" customHeight="1" s="90">
      <c r="A630" s="3" t="n"/>
      <c r="B630" s="3" t="n"/>
    </row>
    <row r="631" ht="15.75" customHeight="1" s="90">
      <c r="A631" s="3" t="n"/>
      <c r="B631" s="3" t="n"/>
    </row>
    <row r="632" ht="15.75" customHeight="1" s="90">
      <c r="A632" s="3" t="n"/>
      <c r="B632" s="3" t="n"/>
    </row>
    <row r="633" ht="15.75" customHeight="1" s="90">
      <c r="A633" s="3" t="n"/>
      <c r="B633" s="3" t="n"/>
    </row>
    <row r="634" ht="15.75" customHeight="1" s="90">
      <c r="A634" s="3" t="n"/>
      <c r="B634" s="3" t="n"/>
    </row>
    <row r="635" ht="15.75" customHeight="1" s="90">
      <c r="A635" s="3" t="n"/>
      <c r="B635" s="3" t="n"/>
    </row>
    <row r="636" ht="15.75" customHeight="1" s="90">
      <c r="A636" s="3" t="n"/>
      <c r="B636" s="3" t="n"/>
    </row>
    <row r="637" ht="15.75" customHeight="1" s="90">
      <c r="A637" s="3" t="n"/>
      <c r="B637" s="3" t="n"/>
    </row>
    <row r="638" ht="15.75" customHeight="1" s="90">
      <c r="A638" s="3" t="n"/>
      <c r="B638" s="3" t="n"/>
    </row>
    <row r="639" ht="15.75" customHeight="1" s="90">
      <c r="A639" s="3" t="n"/>
      <c r="B639" s="3" t="n"/>
    </row>
    <row r="640" ht="15.75" customHeight="1" s="90">
      <c r="A640" s="3" t="n"/>
      <c r="B640" s="3" t="n"/>
    </row>
    <row r="641" ht="15.75" customHeight="1" s="90">
      <c r="A641" s="3" t="n"/>
      <c r="B641" s="3" t="n"/>
    </row>
    <row r="642" ht="15.75" customHeight="1" s="90">
      <c r="A642" s="3" t="n"/>
      <c r="B642" s="3" t="n"/>
    </row>
    <row r="643" ht="15.75" customHeight="1" s="90">
      <c r="A643" s="3" t="n"/>
      <c r="B643" s="3" t="n"/>
    </row>
    <row r="644" ht="15.75" customHeight="1" s="90">
      <c r="A644" s="3" t="n"/>
      <c r="B644" s="3" t="n"/>
    </row>
    <row r="645" ht="15.75" customHeight="1" s="90">
      <c r="A645" s="3" t="n"/>
      <c r="B645" s="3" t="n"/>
    </row>
    <row r="646" ht="15.75" customHeight="1" s="90">
      <c r="A646" s="3" t="n"/>
      <c r="B646" s="3" t="n"/>
    </row>
    <row r="647" ht="15.75" customHeight="1" s="90">
      <c r="A647" s="3" t="n"/>
      <c r="B647" s="3" t="n"/>
    </row>
    <row r="648" ht="15.75" customHeight="1" s="90">
      <c r="A648" s="3" t="n"/>
      <c r="B648" s="3" t="n"/>
    </row>
    <row r="649" ht="15.75" customHeight="1" s="90">
      <c r="A649" s="3" t="n"/>
      <c r="B649" s="3" t="n"/>
    </row>
    <row r="650" ht="15.75" customHeight="1" s="90">
      <c r="A650" s="3" t="n"/>
      <c r="B650" s="3" t="n"/>
    </row>
    <row r="651" ht="15.75" customHeight="1" s="90">
      <c r="A651" s="3" t="n"/>
      <c r="B651" s="3" t="n"/>
    </row>
    <row r="652" ht="15.75" customHeight="1" s="90">
      <c r="A652" s="3" t="n"/>
      <c r="B652" s="3" t="n"/>
    </row>
    <row r="653" ht="15.75" customHeight="1" s="90">
      <c r="A653" s="3" t="n"/>
      <c r="B653" s="3" t="n"/>
    </row>
    <row r="654" ht="15.75" customHeight="1" s="90">
      <c r="A654" s="3" t="n"/>
      <c r="B654" s="3" t="n"/>
    </row>
    <row r="655" ht="15.75" customHeight="1" s="90">
      <c r="A655" s="3" t="n"/>
      <c r="B655" s="3" t="n"/>
    </row>
    <row r="656" ht="15.75" customHeight="1" s="90">
      <c r="A656" s="3" t="n"/>
      <c r="B656" s="3" t="n"/>
    </row>
    <row r="657" ht="15.75" customHeight="1" s="90">
      <c r="A657" s="3" t="n"/>
      <c r="B657" s="3" t="n"/>
    </row>
    <row r="658" ht="15.75" customHeight="1" s="90">
      <c r="A658" s="3" t="n"/>
      <c r="B658" s="3" t="n"/>
    </row>
    <row r="659" ht="15.75" customHeight="1" s="90">
      <c r="A659" s="3" t="n"/>
      <c r="B659" s="3" t="n"/>
    </row>
    <row r="660" ht="15.75" customHeight="1" s="90">
      <c r="A660" s="3" t="n"/>
      <c r="B660" s="3" t="n"/>
    </row>
    <row r="661" ht="15.75" customHeight="1" s="90">
      <c r="A661" s="3" t="n"/>
      <c r="B661" s="3" t="n"/>
    </row>
    <row r="662" ht="15.75" customHeight="1" s="90">
      <c r="A662" s="3" t="n"/>
      <c r="B662" s="3" t="n"/>
    </row>
    <row r="663" ht="15.75" customHeight="1" s="90">
      <c r="A663" s="3" t="n"/>
      <c r="B663" s="3" t="n"/>
    </row>
    <row r="664" ht="15.75" customHeight="1" s="90">
      <c r="A664" s="3" t="n"/>
      <c r="B664" s="3" t="n"/>
    </row>
    <row r="665" ht="15.75" customHeight="1" s="90">
      <c r="A665" s="3" t="n"/>
      <c r="B665" s="3" t="n"/>
    </row>
    <row r="666" ht="15.75" customHeight="1" s="90">
      <c r="A666" s="3" t="n"/>
      <c r="B666" s="3" t="n"/>
    </row>
    <row r="667" ht="15.75" customHeight="1" s="90">
      <c r="A667" s="3" t="n"/>
      <c r="B667" s="3" t="n"/>
    </row>
    <row r="668" ht="15.75" customHeight="1" s="90">
      <c r="A668" s="3" t="n"/>
      <c r="B668" s="3" t="n"/>
    </row>
    <row r="669" ht="15.75" customHeight="1" s="90">
      <c r="A669" s="3" t="n"/>
      <c r="B669" s="3" t="n"/>
    </row>
    <row r="670" ht="15.75" customHeight="1" s="90">
      <c r="A670" s="3" t="n"/>
      <c r="B670" s="3" t="n"/>
    </row>
    <row r="671" ht="15.75" customHeight="1" s="90">
      <c r="A671" s="3" t="n"/>
      <c r="B671" s="3" t="n"/>
    </row>
    <row r="672" ht="15.75" customHeight="1" s="90">
      <c r="A672" s="3" t="n"/>
      <c r="B672" s="3" t="n"/>
    </row>
    <row r="673" ht="15.75" customHeight="1" s="90">
      <c r="A673" s="3" t="n"/>
      <c r="B673" s="3" t="n"/>
    </row>
    <row r="674" ht="15.75" customHeight="1" s="90">
      <c r="A674" s="3" t="n"/>
      <c r="B674" s="3" t="n"/>
    </row>
    <row r="675" ht="15.75" customHeight="1" s="90">
      <c r="A675" s="3" t="n"/>
      <c r="B675" s="3" t="n"/>
    </row>
    <row r="676" ht="15.75" customHeight="1" s="90">
      <c r="A676" s="3" t="n"/>
      <c r="B676" s="3" t="n"/>
    </row>
    <row r="677" ht="15.75" customHeight="1" s="90">
      <c r="A677" s="3" t="n"/>
      <c r="B677" s="3" t="n"/>
    </row>
    <row r="678" ht="15.75" customHeight="1" s="90">
      <c r="A678" s="3" t="n"/>
      <c r="B678" s="3" t="n"/>
    </row>
    <row r="679" ht="15.75" customHeight="1" s="90">
      <c r="A679" s="3" t="n"/>
      <c r="B679" s="3" t="n"/>
    </row>
    <row r="680" ht="15.75" customHeight="1" s="90">
      <c r="A680" s="3" t="n"/>
      <c r="B680" s="3" t="n"/>
    </row>
    <row r="681" ht="15.75" customHeight="1" s="90">
      <c r="A681" s="3" t="n"/>
      <c r="B681" s="3" t="n"/>
    </row>
    <row r="682" ht="15.75" customHeight="1" s="90">
      <c r="A682" s="3" t="n"/>
      <c r="B682" s="3" t="n"/>
    </row>
    <row r="683" ht="15.75" customHeight="1" s="90">
      <c r="A683" s="3" t="n"/>
      <c r="B683" s="3" t="n"/>
    </row>
    <row r="684" ht="15.75" customHeight="1" s="90">
      <c r="A684" s="3" t="n"/>
      <c r="B684" s="3" t="n"/>
    </row>
    <row r="685" ht="15.75" customHeight="1" s="90">
      <c r="A685" s="3" t="n"/>
      <c r="B685" s="3" t="n"/>
    </row>
    <row r="686" ht="15.75" customHeight="1" s="90">
      <c r="A686" s="3" t="n"/>
      <c r="B686" s="3" t="n"/>
    </row>
    <row r="687" ht="15.75" customHeight="1" s="90">
      <c r="A687" s="3" t="n"/>
      <c r="B687" s="3" t="n"/>
    </row>
    <row r="688" ht="15.75" customHeight="1" s="90">
      <c r="A688" s="3" t="n"/>
      <c r="B688" s="3" t="n"/>
    </row>
    <row r="689" ht="15.75" customHeight="1" s="90">
      <c r="A689" s="3" t="n"/>
      <c r="B689" s="3" t="n"/>
    </row>
    <row r="690" ht="15.75" customHeight="1" s="90">
      <c r="A690" s="3" t="n"/>
      <c r="B690" s="3" t="n"/>
    </row>
    <row r="691" ht="15.75" customHeight="1" s="90">
      <c r="A691" s="3" t="n"/>
      <c r="B691" s="3" t="n"/>
    </row>
    <row r="692" ht="15.75" customHeight="1" s="90">
      <c r="A692" s="3" t="n"/>
      <c r="B692" s="3" t="n"/>
    </row>
    <row r="693" ht="15.75" customHeight="1" s="90">
      <c r="A693" s="3" t="n"/>
      <c r="B693" s="3" t="n"/>
    </row>
    <row r="694" ht="15.75" customHeight="1" s="90">
      <c r="A694" s="3" t="n"/>
      <c r="B694" s="3" t="n"/>
    </row>
    <row r="695" ht="15.75" customHeight="1" s="90">
      <c r="A695" s="3" t="n"/>
      <c r="B695" s="3" t="n"/>
    </row>
    <row r="696" ht="15.75" customHeight="1" s="90">
      <c r="A696" s="3" t="n"/>
      <c r="B696" s="3" t="n"/>
    </row>
    <row r="697" ht="15.75" customHeight="1" s="90">
      <c r="A697" s="3" t="n"/>
      <c r="B697" s="3" t="n"/>
    </row>
    <row r="698" ht="15.75" customHeight="1" s="90">
      <c r="A698" s="3" t="n"/>
      <c r="B698" s="3" t="n"/>
    </row>
    <row r="699" ht="15.75" customHeight="1" s="90">
      <c r="A699" s="3" t="n"/>
      <c r="B699" s="3" t="n"/>
    </row>
    <row r="700" ht="15.75" customHeight="1" s="90">
      <c r="A700" s="3" t="n"/>
      <c r="B700" s="3" t="n"/>
    </row>
    <row r="701" ht="15.75" customHeight="1" s="90">
      <c r="A701" s="3" t="n"/>
      <c r="B701" s="3" t="n"/>
    </row>
    <row r="702" ht="15.75" customHeight="1" s="90">
      <c r="A702" s="3" t="n"/>
      <c r="B702" s="3" t="n"/>
    </row>
    <row r="703" ht="15.75" customHeight="1" s="90">
      <c r="A703" s="3" t="n"/>
      <c r="B703" s="3" t="n"/>
    </row>
    <row r="704" ht="15.75" customHeight="1" s="90">
      <c r="A704" s="3" t="n"/>
      <c r="B704" s="3" t="n"/>
    </row>
    <row r="705" ht="15.75" customHeight="1" s="90">
      <c r="A705" s="3" t="n"/>
      <c r="B705" s="3" t="n"/>
    </row>
    <row r="706" ht="15.75" customHeight="1" s="90">
      <c r="A706" s="3" t="n"/>
      <c r="B706" s="3" t="n"/>
    </row>
    <row r="707" ht="15.75" customHeight="1" s="90">
      <c r="A707" s="3" t="n"/>
      <c r="B707" s="3" t="n"/>
    </row>
    <row r="708" ht="15.75" customHeight="1" s="90">
      <c r="A708" s="3" t="n"/>
      <c r="B708" s="3" t="n"/>
    </row>
    <row r="709" ht="15.75" customHeight="1" s="90">
      <c r="A709" s="3" t="n"/>
      <c r="B709" s="3" t="n"/>
    </row>
    <row r="710" ht="15.75" customHeight="1" s="90">
      <c r="A710" s="3" t="n"/>
      <c r="B710" s="3" t="n"/>
    </row>
    <row r="711" ht="15.75" customHeight="1" s="90">
      <c r="A711" s="3" t="n"/>
      <c r="B711" s="3" t="n"/>
    </row>
    <row r="712" ht="15.75" customHeight="1" s="90">
      <c r="A712" s="3" t="n"/>
      <c r="B712" s="3" t="n"/>
    </row>
    <row r="713" ht="15.75" customHeight="1" s="90">
      <c r="A713" s="3" t="n"/>
      <c r="B713" s="3" t="n"/>
    </row>
    <row r="714" ht="15.75" customHeight="1" s="90">
      <c r="A714" s="3" t="n"/>
      <c r="B714" s="3" t="n"/>
    </row>
    <row r="715" ht="15.75" customHeight="1" s="90">
      <c r="A715" s="3" t="n"/>
      <c r="B715" s="3" t="n"/>
    </row>
    <row r="716" ht="15.75" customHeight="1" s="90">
      <c r="A716" s="3" t="n"/>
      <c r="B716" s="3" t="n"/>
    </row>
    <row r="717" ht="15.75" customHeight="1" s="90">
      <c r="A717" s="3" t="n"/>
      <c r="B717" s="3" t="n"/>
    </row>
    <row r="718" ht="15.75" customHeight="1" s="90">
      <c r="A718" s="3" t="n"/>
      <c r="B718" s="3" t="n"/>
    </row>
    <row r="719" ht="15.75" customHeight="1" s="90">
      <c r="A719" s="3" t="n"/>
      <c r="B719" s="3" t="n"/>
    </row>
    <row r="720" ht="15.75" customHeight="1" s="90">
      <c r="A720" s="3" t="n"/>
      <c r="B720" s="3" t="n"/>
    </row>
    <row r="721" ht="15.75" customHeight="1" s="90">
      <c r="A721" s="3" t="n"/>
      <c r="B721" s="3" t="n"/>
    </row>
    <row r="722" ht="15.75" customHeight="1" s="90">
      <c r="A722" s="3" t="n"/>
      <c r="B722" s="3" t="n"/>
    </row>
    <row r="723" ht="15.75" customHeight="1" s="90">
      <c r="A723" s="3" t="n"/>
      <c r="B723" s="3" t="n"/>
    </row>
    <row r="724" ht="15.75" customHeight="1" s="90">
      <c r="A724" s="3" t="n"/>
      <c r="B724" s="3" t="n"/>
    </row>
    <row r="725" ht="15.75" customHeight="1" s="90">
      <c r="A725" s="3" t="n"/>
      <c r="B725" s="3" t="n"/>
    </row>
    <row r="726" ht="15.75" customHeight="1" s="90">
      <c r="A726" s="3" t="n"/>
      <c r="B726" s="3" t="n"/>
    </row>
    <row r="727" ht="15.75" customHeight="1" s="90">
      <c r="A727" s="3" t="n"/>
      <c r="B727" s="3" t="n"/>
    </row>
    <row r="728" ht="15.75" customHeight="1" s="90">
      <c r="A728" s="3" t="n"/>
      <c r="B728" s="3" t="n"/>
    </row>
    <row r="729" ht="15.75" customHeight="1" s="90">
      <c r="A729" s="3" t="n"/>
      <c r="B729" s="3" t="n"/>
    </row>
    <row r="730" ht="15.75" customHeight="1" s="90">
      <c r="A730" s="3" t="n"/>
      <c r="B730" s="3" t="n"/>
    </row>
    <row r="731" ht="15.75" customHeight="1" s="90">
      <c r="A731" s="3" t="n"/>
      <c r="B731" s="3" t="n"/>
    </row>
    <row r="732" ht="15.75" customHeight="1" s="90">
      <c r="A732" s="3" t="n"/>
      <c r="B732" s="3" t="n"/>
    </row>
    <row r="733" ht="15.75" customHeight="1" s="90">
      <c r="A733" s="3" t="n"/>
      <c r="B733" s="3" t="n"/>
    </row>
    <row r="734" ht="15.75" customHeight="1" s="90">
      <c r="A734" s="3" t="n"/>
      <c r="B734" s="3" t="n"/>
    </row>
    <row r="735" ht="15.75" customHeight="1" s="90">
      <c r="A735" s="3" t="n"/>
      <c r="B735" s="3" t="n"/>
    </row>
    <row r="736" ht="15.75" customHeight="1" s="90">
      <c r="A736" s="3" t="n"/>
      <c r="B736" s="3" t="n"/>
    </row>
    <row r="737" ht="15.75" customHeight="1" s="90">
      <c r="A737" s="3" t="n"/>
      <c r="B737" s="3" t="n"/>
    </row>
    <row r="738" ht="15.75" customHeight="1" s="90">
      <c r="A738" s="3" t="n"/>
      <c r="B738" s="3" t="n"/>
    </row>
    <row r="739" ht="15.75" customHeight="1" s="90">
      <c r="A739" s="3" t="n"/>
      <c r="B739" s="3" t="n"/>
    </row>
    <row r="740" ht="15.75" customHeight="1" s="90">
      <c r="A740" s="3" t="n"/>
      <c r="B740" s="3" t="n"/>
    </row>
    <row r="741" ht="15.75" customHeight="1" s="90">
      <c r="A741" s="3" t="n"/>
      <c r="B741" s="3" t="n"/>
    </row>
    <row r="742" ht="15.75" customHeight="1" s="90">
      <c r="A742" s="3" t="n"/>
      <c r="B742" s="3" t="n"/>
    </row>
    <row r="743" ht="15.75" customHeight="1" s="90">
      <c r="A743" s="3" t="n"/>
      <c r="B743" s="3" t="n"/>
    </row>
    <row r="744" ht="15.75" customHeight="1" s="90">
      <c r="A744" s="3" t="n"/>
      <c r="B744" s="3" t="n"/>
    </row>
    <row r="745" ht="15.75" customHeight="1" s="90">
      <c r="A745" s="3" t="n"/>
      <c r="B745" s="3" t="n"/>
    </row>
    <row r="746" ht="15.75" customHeight="1" s="90">
      <c r="A746" s="3" t="n"/>
      <c r="B746" s="3" t="n"/>
    </row>
    <row r="747" ht="15.75" customHeight="1" s="90">
      <c r="A747" s="3" t="n"/>
      <c r="B747" s="3" t="n"/>
    </row>
    <row r="748" ht="15.75" customHeight="1" s="90">
      <c r="A748" s="3" t="n"/>
      <c r="B748" s="3" t="n"/>
    </row>
    <row r="749" ht="15.75" customHeight="1" s="90">
      <c r="A749" s="3" t="n"/>
      <c r="B749" s="3" t="n"/>
    </row>
    <row r="750" ht="15.75" customHeight="1" s="90">
      <c r="A750" s="3" t="n"/>
      <c r="B750" s="3" t="n"/>
    </row>
    <row r="751" ht="15.75" customHeight="1" s="90">
      <c r="A751" s="3" t="n"/>
      <c r="B751" s="3" t="n"/>
    </row>
    <row r="752" ht="15.75" customHeight="1" s="90">
      <c r="A752" s="3" t="n"/>
      <c r="B752" s="3" t="n"/>
    </row>
    <row r="753" ht="15.75" customHeight="1" s="90">
      <c r="A753" s="3" t="n"/>
      <c r="B753" s="3" t="n"/>
    </row>
    <row r="754" ht="15.75" customHeight="1" s="90">
      <c r="A754" s="3" t="n"/>
      <c r="B754" s="3" t="n"/>
    </row>
    <row r="755" ht="15.75" customHeight="1" s="90">
      <c r="A755" s="3" t="n"/>
      <c r="B755" s="3" t="n"/>
    </row>
    <row r="756" ht="15.75" customHeight="1" s="90">
      <c r="A756" s="3" t="n"/>
      <c r="B756" s="3" t="n"/>
    </row>
    <row r="757" ht="15.75" customHeight="1" s="90">
      <c r="A757" s="3" t="n"/>
      <c r="B757" s="3" t="n"/>
    </row>
    <row r="758" ht="15.75" customHeight="1" s="90">
      <c r="A758" s="3" t="n"/>
      <c r="B758" s="3" t="n"/>
    </row>
    <row r="759" ht="15.75" customHeight="1" s="90">
      <c r="A759" s="3" t="n"/>
      <c r="B759" s="3" t="n"/>
    </row>
    <row r="760" ht="15.75" customHeight="1" s="90">
      <c r="A760" s="3" t="n"/>
      <c r="B760" s="3" t="n"/>
    </row>
    <row r="761" ht="15.75" customHeight="1" s="90">
      <c r="A761" s="3" t="n"/>
      <c r="B761" s="3" t="n"/>
    </row>
    <row r="762" ht="15.75" customHeight="1" s="90">
      <c r="A762" s="3" t="n"/>
      <c r="B762" s="3" t="n"/>
    </row>
    <row r="763" ht="15.75" customHeight="1" s="90">
      <c r="A763" s="3" t="n"/>
      <c r="B763" s="3" t="n"/>
    </row>
    <row r="764" ht="15.75" customHeight="1" s="90">
      <c r="A764" s="3" t="n"/>
      <c r="B764" s="3" t="n"/>
    </row>
    <row r="765" ht="15.75" customHeight="1" s="90">
      <c r="A765" s="3" t="n"/>
      <c r="B765" s="3" t="n"/>
    </row>
    <row r="766" ht="15.75" customHeight="1" s="90">
      <c r="A766" s="3" t="n"/>
      <c r="B766" s="3" t="n"/>
    </row>
    <row r="767" ht="15.75" customHeight="1" s="90">
      <c r="A767" s="3" t="n"/>
      <c r="B767" s="3" t="n"/>
    </row>
    <row r="768" ht="15.75" customHeight="1" s="90">
      <c r="A768" s="3" t="n"/>
      <c r="B768" s="3" t="n"/>
    </row>
    <row r="769" ht="15.75" customHeight="1" s="90">
      <c r="A769" s="3" t="n"/>
      <c r="B769" s="3" t="n"/>
    </row>
    <row r="770" ht="15.75" customHeight="1" s="90">
      <c r="A770" s="3" t="n"/>
      <c r="B770" s="3" t="n"/>
    </row>
    <row r="771" ht="15.75" customHeight="1" s="90">
      <c r="A771" s="3" t="n"/>
      <c r="B771" s="3" t="n"/>
    </row>
    <row r="772" ht="15.75" customHeight="1" s="90">
      <c r="A772" s="3" t="n"/>
      <c r="B772" s="3" t="n"/>
    </row>
    <row r="773" ht="15.75" customHeight="1" s="90">
      <c r="A773" s="3" t="n"/>
      <c r="B773" s="3" t="n"/>
    </row>
    <row r="774" ht="15.75" customHeight="1" s="90">
      <c r="A774" s="3" t="n"/>
      <c r="B774" s="3" t="n"/>
    </row>
    <row r="775" ht="15.75" customHeight="1" s="90">
      <c r="A775" s="3" t="n"/>
      <c r="B775" s="3" t="n"/>
    </row>
    <row r="776" ht="15.75" customHeight="1" s="90">
      <c r="A776" s="3" t="n"/>
      <c r="B776" s="3" t="n"/>
    </row>
    <row r="777" ht="15.75" customHeight="1" s="90">
      <c r="A777" s="3" t="n"/>
      <c r="B777" s="3" t="n"/>
    </row>
    <row r="778" ht="15.75" customHeight="1" s="90">
      <c r="A778" s="3" t="n"/>
      <c r="B778" s="3" t="n"/>
    </row>
    <row r="779" ht="15.75" customHeight="1" s="90">
      <c r="A779" s="3" t="n"/>
      <c r="B779" s="3" t="n"/>
    </row>
    <row r="780" ht="15.75" customHeight="1" s="90">
      <c r="A780" s="3" t="n"/>
      <c r="B780" s="3" t="n"/>
    </row>
    <row r="781" ht="15.75" customHeight="1" s="90">
      <c r="A781" s="3" t="n"/>
      <c r="B781" s="3" t="n"/>
    </row>
    <row r="782" ht="15.75" customHeight="1" s="90">
      <c r="A782" s="3" t="n"/>
      <c r="B782" s="3" t="n"/>
    </row>
    <row r="783" ht="15.75" customHeight="1" s="90">
      <c r="A783" s="3" t="n"/>
      <c r="B783" s="3" t="n"/>
    </row>
    <row r="784" ht="15.75" customHeight="1" s="90">
      <c r="A784" s="3" t="n"/>
      <c r="B784" s="3" t="n"/>
    </row>
    <row r="785" ht="15.75" customHeight="1" s="90">
      <c r="A785" s="3" t="n"/>
      <c r="B785" s="3" t="n"/>
    </row>
    <row r="786" ht="15.75" customHeight="1" s="90">
      <c r="A786" s="3" t="n"/>
      <c r="B786" s="3" t="n"/>
    </row>
    <row r="787" ht="15.75" customHeight="1" s="90">
      <c r="A787" s="3" t="n"/>
      <c r="B787" s="3" t="n"/>
    </row>
    <row r="788" ht="15.75" customHeight="1" s="90">
      <c r="A788" s="3" t="n"/>
      <c r="B788" s="3" t="n"/>
    </row>
    <row r="789" ht="15.75" customHeight="1" s="90">
      <c r="A789" s="3" t="n"/>
      <c r="B789" s="3" t="n"/>
    </row>
    <row r="790" ht="15.75" customHeight="1" s="90">
      <c r="A790" s="3" t="n"/>
      <c r="B790" s="3" t="n"/>
    </row>
    <row r="791" ht="15.75" customHeight="1" s="90">
      <c r="A791" s="3" t="n"/>
      <c r="B791" s="3" t="n"/>
    </row>
    <row r="792" ht="15.75" customHeight="1" s="90">
      <c r="A792" s="3" t="n"/>
      <c r="B792" s="3" t="n"/>
    </row>
    <row r="793" ht="15.75" customHeight="1" s="90">
      <c r="A793" s="3" t="n"/>
      <c r="B793" s="3" t="n"/>
    </row>
    <row r="794" ht="15.75" customHeight="1" s="90">
      <c r="A794" s="3" t="n"/>
      <c r="B794" s="3" t="n"/>
    </row>
    <row r="795" ht="15.75" customHeight="1" s="90">
      <c r="A795" s="3" t="n"/>
      <c r="B795" s="3" t="n"/>
    </row>
    <row r="796" ht="15.75" customHeight="1" s="90">
      <c r="A796" s="3" t="n"/>
      <c r="B796" s="3" t="n"/>
    </row>
    <row r="797" ht="15.75" customHeight="1" s="90">
      <c r="A797" s="3" t="n"/>
      <c r="B797" s="3" t="n"/>
    </row>
    <row r="798" ht="15.75" customHeight="1" s="90">
      <c r="A798" s="3" t="n"/>
      <c r="B798" s="3" t="n"/>
    </row>
    <row r="799" ht="15.75" customHeight="1" s="90">
      <c r="A799" s="3" t="n"/>
      <c r="B799" s="3" t="n"/>
    </row>
    <row r="800" ht="15.75" customHeight="1" s="90">
      <c r="A800" s="3" t="n"/>
      <c r="B800" s="3" t="n"/>
    </row>
    <row r="801" ht="15.75" customHeight="1" s="90">
      <c r="A801" s="3" t="n"/>
      <c r="B801" s="3" t="n"/>
    </row>
    <row r="802" ht="15.75" customHeight="1" s="90">
      <c r="A802" s="3" t="n"/>
      <c r="B802" s="3" t="n"/>
    </row>
    <row r="803" ht="15.75" customHeight="1" s="90">
      <c r="A803" s="3" t="n"/>
      <c r="B803" s="3" t="n"/>
    </row>
    <row r="804" ht="15.75" customHeight="1" s="90">
      <c r="A804" s="3" t="n"/>
      <c r="B804" s="3" t="n"/>
    </row>
    <row r="805" ht="15.75" customHeight="1" s="90">
      <c r="A805" s="3" t="n"/>
      <c r="B805" s="3" t="n"/>
    </row>
    <row r="806" ht="15.75" customHeight="1" s="90">
      <c r="A806" s="3" t="n"/>
      <c r="B806" s="3" t="n"/>
    </row>
    <row r="807" ht="15.75" customHeight="1" s="90">
      <c r="A807" s="3" t="n"/>
      <c r="B807" s="3" t="n"/>
    </row>
    <row r="808" ht="15.75" customHeight="1" s="90">
      <c r="A808" s="3" t="n"/>
      <c r="B808" s="3" t="n"/>
    </row>
    <row r="809" ht="15.75" customHeight="1" s="90">
      <c r="A809" s="3" t="n"/>
      <c r="B809" s="3" t="n"/>
    </row>
    <row r="810" ht="15.75" customHeight="1" s="90">
      <c r="A810" s="3" t="n"/>
      <c r="B810" s="3" t="n"/>
    </row>
    <row r="811" ht="15.75" customHeight="1" s="90">
      <c r="A811" s="3" t="n"/>
      <c r="B811" s="3" t="n"/>
    </row>
    <row r="812" ht="15.75" customHeight="1" s="90">
      <c r="A812" s="3" t="n"/>
      <c r="B812" s="3" t="n"/>
    </row>
    <row r="813" ht="15.75" customHeight="1" s="90">
      <c r="A813" s="3" t="n"/>
      <c r="B813" s="3" t="n"/>
    </row>
    <row r="814" ht="15.75" customHeight="1" s="90">
      <c r="A814" s="3" t="n"/>
      <c r="B814" s="3" t="n"/>
    </row>
    <row r="815" ht="15.75" customHeight="1" s="90">
      <c r="A815" s="3" t="n"/>
      <c r="B815" s="3" t="n"/>
    </row>
    <row r="816" ht="15.75" customHeight="1" s="90">
      <c r="A816" s="3" t="n"/>
      <c r="B816" s="3" t="n"/>
    </row>
    <row r="817" ht="15.75" customHeight="1" s="90">
      <c r="A817" s="3" t="n"/>
      <c r="B817" s="3" t="n"/>
    </row>
    <row r="818" ht="15.75" customHeight="1" s="90">
      <c r="A818" s="3" t="n"/>
      <c r="B818" s="3" t="n"/>
    </row>
    <row r="819" ht="15.75" customHeight="1" s="90">
      <c r="A819" s="3" t="n"/>
      <c r="B819" s="3" t="n"/>
    </row>
    <row r="820" ht="15.75" customHeight="1" s="90">
      <c r="A820" s="3" t="n"/>
      <c r="B820" s="3" t="n"/>
    </row>
    <row r="821" ht="15.75" customHeight="1" s="90">
      <c r="A821" s="3" t="n"/>
      <c r="B821" s="3" t="n"/>
    </row>
    <row r="822" ht="15.75" customHeight="1" s="90">
      <c r="A822" s="3" t="n"/>
      <c r="B822" s="3" t="n"/>
    </row>
    <row r="823" ht="15.75" customHeight="1" s="90">
      <c r="A823" s="3" t="n"/>
      <c r="B823" s="3" t="n"/>
    </row>
    <row r="824" ht="15.75" customHeight="1" s="90">
      <c r="A824" s="3" t="n"/>
      <c r="B824" s="3" t="n"/>
    </row>
    <row r="825" ht="15.75" customHeight="1" s="90">
      <c r="A825" s="3" t="n"/>
      <c r="B825" s="3" t="n"/>
    </row>
    <row r="826" ht="15.75" customHeight="1" s="90">
      <c r="A826" s="3" t="n"/>
      <c r="B826" s="3" t="n"/>
    </row>
    <row r="827" ht="15.75" customHeight="1" s="90">
      <c r="A827" s="3" t="n"/>
      <c r="B827" s="3" t="n"/>
    </row>
    <row r="828" ht="15.75" customHeight="1" s="90">
      <c r="A828" s="3" t="n"/>
      <c r="B828" s="3" t="n"/>
    </row>
    <row r="829" ht="15.75" customHeight="1" s="90">
      <c r="A829" s="3" t="n"/>
      <c r="B829" s="3" t="n"/>
    </row>
    <row r="830" ht="15.75" customHeight="1" s="90">
      <c r="A830" s="3" t="n"/>
      <c r="B830" s="3" t="n"/>
    </row>
    <row r="831" ht="15.75" customHeight="1" s="90">
      <c r="A831" s="3" t="n"/>
      <c r="B831" s="3" t="n"/>
    </row>
    <row r="832" ht="15.75" customHeight="1" s="90">
      <c r="A832" s="3" t="n"/>
      <c r="B832" s="3" t="n"/>
    </row>
    <row r="833" ht="15.75" customHeight="1" s="90">
      <c r="A833" s="3" t="n"/>
      <c r="B833" s="3" t="n"/>
    </row>
    <row r="834" ht="15.75" customHeight="1" s="90">
      <c r="A834" s="3" t="n"/>
      <c r="B834" s="3" t="n"/>
    </row>
    <row r="835" ht="15.75" customHeight="1" s="90">
      <c r="A835" s="3" t="n"/>
      <c r="B835" s="3" t="n"/>
    </row>
    <row r="836" ht="15.75" customHeight="1" s="90">
      <c r="A836" s="3" t="n"/>
      <c r="B836" s="3" t="n"/>
    </row>
    <row r="837" ht="15.75" customHeight="1" s="90">
      <c r="A837" s="3" t="n"/>
      <c r="B837" s="3" t="n"/>
    </row>
    <row r="838" ht="15.75" customHeight="1" s="90">
      <c r="A838" s="3" t="n"/>
      <c r="B838" s="3" t="n"/>
    </row>
    <row r="839" ht="15.75" customHeight="1" s="90">
      <c r="A839" s="3" t="n"/>
      <c r="B839" s="3" t="n"/>
    </row>
    <row r="840" ht="15.75" customHeight="1" s="90">
      <c r="A840" s="3" t="n"/>
      <c r="B840" s="3" t="n"/>
    </row>
    <row r="841" ht="15.75" customHeight="1" s="90">
      <c r="A841" s="3" t="n"/>
      <c r="B841" s="3" t="n"/>
    </row>
    <row r="842" ht="15.75" customHeight="1" s="90">
      <c r="A842" s="3" t="n"/>
      <c r="B842" s="3" t="n"/>
    </row>
    <row r="843" ht="15.75" customHeight="1" s="90">
      <c r="A843" s="3" t="n"/>
      <c r="B843" s="3" t="n"/>
    </row>
    <row r="844" ht="15.75" customHeight="1" s="90">
      <c r="A844" s="3" t="n"/>
      <c r="B844" s="3" t="n"/>
    </row>
    <row r="845" ht="15.75" customHeight="1" s="90">
      <c r="A845" s="3" t="n"/>
      <c r="B845" s="3" t="n"/>
    </row>
    <row r="846" ht="15.75" customHeight="1" s="90">
      <c r="A846" s="3" t="n"/>
      <c r="B846" s="3" t="n"/>
    </row>
    <row r="847" ht="15.75" customHeight="1" s="90">
      <c r="A847" s="3" t="n"/>
      <c r="B847" s="3" t="n"/>
    </row>
    <row r="848" ht="15.75" customHeight="1" s="90">
      <c r="A848" s="3" t="n"/>
      <c r="B848" s="3" t="n"/>
    </row>
    <row r="849" ht="15.75" customHeight="1" s="90">
      <c r="A849" s="3" t="n"/>
      <c r="B849" s="3" t="n"/>
    </row>
    <row r="850" ht="15.75" customHeight="1" s="90">
      <c r="A850" s="3" t="n"/>
      <c r="B850" s="3" t="n"/>
    </row>
    <row r="851" ht="15.75" customHeight="1" s="90">
      <c r="A851" s="3" t="n"/>
      <c r="B851" s="3" t="n"/>
    </row>
    <row r="852" ht="15.75" customHeight="1" s="90">
      <c r="A852" s="3" t="n"/>
      <c r="B852" s="3" t="n"/>
    </row>
    <row r="853" ht="15.75" customHeight="1" s="90">
      <c r="A853" s="3" t="n"/>
      <c r="B853" s="3" t="n"/>
    </row>
    <row r="854" ht="15.75" customHeight="1" s="90">
      <c r="A854" s="3" t="n"/>
      <c r="B854" s="3" t="n"/>
    </row>
    <row r="855" ht="15.75" customHeight="1" s="90">
      <c r="A855" s="3" t="n"/>
      <c r="B855" s="3" t="n"/>
    </row>
    <row r="856" ht="15.75" customHeight="1" s="90">
      <c r="A856" s="3" t="n"/>
      <c r="B856" s="3" t="n"/>
    </row>
    <row r="857" ht="15.75" customHeight="1" s="90">
      <c r="A857" s="3" t="n"/>
      <c r="B857" s="3" t="n"/>
    </row>
    <row r="858" ht="15.75" customHeight="1" s="90">
      <c r="A858" s="3" t="n"/>
      <c r="B858" s="3" t="n"/>
    </row>
    <row r="859" ht="15.75" customHeight="1" s="90">
      <c r="A859" s="3" t="n"/>
      <c r="B859" s="3" t="n"/>
    </row>
    <row r="860" ht="15.75" customHeight="1" s="90">
      <c r="A860" s="3" t="n"/>
      <c r="B860" s="3" t="n"/>
    </row>
    <row r="861" ht="15.75" customHeight="1" s="90">
      <c r="A861" s="3" t="n"/>
      <c r="B861" s="3" t="n"/>
    </row>
    <row r="862" ht="15.75" customHeight="1" s="90">
      <c r="A862" s="3" t="n"/>
      <c r="B862" s="3" t="n"/>
    </row>
    <row r="863" ht="15.75" customHeight="1" s="90">
      <c r="A863" s="3" t="n"/>
      <c r="B863" s="3" t="n"/>
    </row>
    <row r="864" ht="15.75" customHeight="1" s="90">
      <c r="A864" s="3" t="n"/>
      <c r="B864" s="3" t="n"/>
    </row>
    <row r="865" ht="15.75" customHeight="1" s="90">
      <c r="A865" s="3" t="n"/>
      <c r="B865" s="3" t="n"/>
    </row>
    <row r="866" ht="15.75" customHeight="1" s="90">
      <c r="A866" s="3" t="n"/>
      <c r="B866" s="3" t="n"/>
    </row>
    <row r="867" ht="15.75" customHeight="1" s="90">
      <c r="A867" s="3" t="n"/>
      <c r="B867" s="3" t="n"/>
    </row>
    <row r="868" ht="15.75" customHeight="1" s="90">
      <c r="A868" s="3" t="n"/>
      <c r="B868" s="3" t="n"/>
    </row>
    <row r="869" ht="15.75" customHeight="1" s="90">
      <c r="A869" s="3" t="n"/>
      <c r="B869" s="3" t="n"/>
    </row>
    <row r="870" ht="15.75" customHeight="1" s="90">
      <c r="A870" s="3" t="n"/>
      <c r="B870" s="3" t="n"/>
    </row>
    <row r="871" ht="15.75" customHeight="1" s="90">
      <c r="A871" s="3" t="n"/>
      <c r="B871" s="3" t="n"/>
    </row>
    <row r="872" ht="15.75" customHeight="1" s="90">
      <c r="A872" s="3" t="n"/>
      <c r="B872" s="3" t="n"/>
    </row>
    <row r="873" ht="15.75" customHeight="1" s="90">
      <c r="A873" s="3" t="n"/>
      <c r="B873" s="3" t="n"/>
    </row>
    <row r="874" ht="15.75" customHeight="1" s="90">
      <c r="A874" s="3" t="n"/>
      <c r="B874" s="3" t="n"/>
    </row>
    <row r="875" ht="15.75" customHeight="1" s="90">
      <c r="A875" s="3" t="n"/>
      <c r="B875" s="3" t="n"/>
    </row>
    <row r="876" ht="15.75" customHeight="1" s="90">
      <c r="A876" s="3" t="n"/>
      <c r="B876" s="3" t="n"/>
    </row>
    <row r="877" ht="15.75" customHeight="1" s="90">
      <c r="A877" s="3" t="n"/>
      <c r="B877" s="3" t="n"/>
    </row>
    <row r="878" ht="15.75" customHeight="1" s="90">
      <c r="A878" s="3" t="n"/>
      <c r="B878" s="3" t="n"/>
    </row>
    <row r="879" ht="15.75" customHeight="1" s="90">
      <c r="A879" s="3" t="n"/>
      <c r="B879" s="3" t="n"/>
    </row>
    <row r="880" ht="15.75" customHeight="1" s="90">
      <c r="A880" s="3" t="n"/>
      <c r="B880" s="3" t="n"/>
    </row>
    <row r="881" ht="15.75" customHeight="1" s="90">
      <c r="A881" s="3" t="n"/>
      <c r="B881" s="3" t="n"/>
    </row>
    <row r="882" ht="15.75" customHeight="1" s="90">
      <c r="A882" s="3" t="n"/>
      <c r="B882" s="3" t="n"/>
    </row>
    <row r="883" ht="15.75" customHeight="1" s="90">
      <c r="A883" s="3" t="n"/>
      <c r="B883" s="3" t="n"/>
    </row>
    <row r="884" ht="15.75" customHeight="1" s="90">
      <c r="A884" s="3" t="n"/>
      <c r="B884" s="3" t="n"/>
    </row>
    <row r="885" ht="15.75" customHeight="1" s="90">
      <c r="A885" s="3" t="n"/>
      <c r="B885" s="3" t="n"/>
    </row>
    <row r="886" ht="15.75" customHeight="1" s="90">
      <c r="A886" s="3" t="n"/>
      <c r="B886" s="3" t="n"/>
    </row>
    <row r="887" ht="15.75" customHeight="1" s="90">
      <c r="A887" s="3" t="n"/>
      <c r="B887" s="3" t="n"/>
    </row>
    <row r="888" ht="15.75" customHeight="1" s="90">
      <c r="A888" s="3" t="n"/>
      <c r="B888" s="3" t="n"/>
    </row>
    <row r="889" ht="15.75" customHeight="1" s="90">
      <c r="A889" s="3" t="n"/>
      <c r="B889" s="3" t="n"/>
    </row>
    <row r="890" ht="15.75" customHeight="1" s="90">
      <c r="A890" s="3" t="n"/>
      <c r="B890" s="3" t="n"/>
    </row>
    <row r="891" ht="15.75" customHeight="1" s="90">
      <c r="A891" s="3" t="n"/>
      <c r="B891" s="3" t="n"/>
    </row>
    <row r="892" ht="15.75" customHeight="1" s="90">
      <c r="A892" s="3" t="n"/>
      <c r="B892" s="3" t="n"/>
    </row>
    <row r="893" ht="15.75" customHeight="1" s="90">
      <c r="A893" s="3" t="n"/>
      <c r="B893" s="3" t="n"/>
    </row>
    <row r="894" ht="15.75" customHeight="1" s="90">
      <c r="A894" s="3" t="n"/>
      <c r="B894" s="3" t="n"/>
    </row>
    <row r="895" ht="15.75" customHeight="1" s="90">
      <c r="A895" s="3" t="n"/>
      <c r="B895" s="3" t="n"/>
    </row>
    <row r="896" ht="15.75" customHeight="1" s="90">
      <c r="A896" s="3" t="n"/>
      <c r="B896" s="3" t="n"/>
    </row>
    <row r="897" ht="15.75" customHeight="1" s="90">
      <c r="A897" s="3" t="n"/>
      <c r="B897" s="3" t="n"/>
    </row>
    <row r="898" ht="15.75" customHeight="1" s="90">
      <c r="A898" s="3" t="n"/>
      <c r="B898" s="3" t="n"/>
    </row>
    <row r="899" ht="15.75" customHeight="1" s="90">
      <c r="A899" s="3" t="n"/>
      <c r="B899" s="3" t="n"/>
    </row>
    <row r="900" ht="15.75" customHeight="1" s="90">
      <c r="A900" s="3" t="n"/>
      <c r="B900" s="3" t="n"/>
    </row>
    <row r="901" ht="15.75" customHeight="1" s="90">
      <c r="A901" s="3" t="n"/>
      <c r="B901" s="3" t="n"/>
    </row>
    <row r="902" ht="15.75" customHeight="1" s="90">
      <c r="A902" s="3" t="n"/>
      <c r="B902" s="3" t="n"/>
    </row>
    <row r="903" ht="15.75" customHeight="1" s="90">
      <c r="A903" s="3" t="n"/>
      <c r="B903" s="3" t="n"/>
    </row>
    <row r="904" ht="15.75" customHeight="1" s="90">
      <c r="A904" s="3" t="n"/>
      <c r="B904" s="3" t="n"/>
    </row>
    <row r="905" ht="15.75" customHeight="1" s="90">
      <c r="A905" s="3" t="n"/>
      <c r="B905" s="3" t="n"/>
    </row>
    <row r="906" ht="15.75" customHeight="1" s="90">
      <c r="A906" s="3" t="n"/>
      <c r="B906" s="3" t="n"/>
    </row>
    <row r="907" ht="15.75" customHeight="1" s="90">
      <c r="A907" s="3" t="n"/>
      <c r="B907" s="3" t="n"/>
    </row>
    <row r="908" ht="15.75" customHeight="1" s="90">
      <c r="A908" s="3" t="n"/>
      <c r="B908" s="3" t="n"/>
    </row>
    <row r="909" ht="15.75" customHeight="1" s="90">
      <c r="A909" s="3" t="n"/>
      <c r="B909" s="3" t="n"/>
    </row>
    <row r="910" ht="15.75" customHeight="1" s="90">
      <c r="A910" s="3" t="n"/>
      <c r="B910" s="3" t="n"/>
    </row>
    <row r="911" ht="15.75" customHeight="1" s="90">
      <c r="A911" s="3" t="n"/>
      <c r="B911" s="3" t="n"/>
    </row>
    <row r="912" ht="15.75" customHeight="1" s="90">
      <c r="A912" s="3" t="n"/>
      <c r="B912" s="3" t="n"/>
    </row>
    <row r="913" ht="15.75" customHeight="1" s="90">
      <c r="A913" s="3" t="n"/>
      <c r="B913" s="3" t="n"/>
    </row>
    <row r="914" ht="15.75" customHeight="1" s="90">
      <c r="A914" s="3" t="n"/>
      <c r="B914" s="3" t="n"/>
    </row>
    <row r="915" ht="15.75" customHeight="1" s="90">
      <c r="A915" s="3" t="n"/>
      <c r="B915" s="3" t="n"/>
    </row>
    <row r="916" ht="15.75" customHeight="1" s="90">
      <c r="A916" s="3" t="n"/>
      <c r="B916" s="3" t="n"/>
    </row>
    <row r="917" ht="15.75" customHeight="1" s="90">
      <c r="A917" s="3" t="n"/>
      <c r="B917" s="3" t="n"/>
    </row>
    <row r="918" ht="15.75" customHeight="1" s="90">
      <c r="A918" s="3" t="n"/>
      <c r="B918" s="3" t="n"/>
    </row>
    <row r="919" ht="15.75" customHeight="1" s="90">
      <c r="A919" s="3" t="n"/>
      <c r="B919" s="3" t="n"/>
    </row>
    <row r="920" ht="15.75" customHeight="1" s="90">
      <c r="A920" s="3" t="n"/>
      <c r="B920" s="3" t="n"/>
    </row>
    <row r="921" ht="15.75" customHeight="1" s="90">
      <c r="A921" s="3" t="n"/>
      <c r="B921" s="3" t="n"/>
    </row>
    <row r="922" ht="15.75" customHeight="1" s="90">
      <c r="A922" s="3" t="n"/>
      <c r="B922" s="3" t="n"/>
    </row>
    <row r="923" ht="15.75" customHeight="1" s="90">
      <c r="A923" s="3" t="n"/>
      <c r="B923" s="3" t="n"/>
    </row>
    <row r="924" ht="15.75" customHeight="1" s="90">
      <c r="A924" s="3" t="n"/>
      <c r="B924" s="3" t="n"/>
    </row>
    <row r="925" ht="15.75" customHeight="1" s="90">
      <c r="A925" s="3" t="n"/>
      <c r="B925" s="3" t="n"/>
    </row>
    <row r="926" ht="15.75" customHeight="1" s="90">
      <c r="A926" s="3" t="n"/>
      <c r="B926" s="3" t="n"/>
    </row>
    <row r="927" ht="15.75" customHeight="1" s="90">
      <c r="A927" s="3" t="n"/>
      <c r="B927" s="3" t="n"/>
    </row>
    <row r="928" ht="15.75" customHeight="1" s="90">
      <c r="A928" s="3" t="n"/>
      <c r="B928" s="3" t="n"/>
    </row>
    <row r="929" ht="15.75" customHeight="1" s="90">
      <c r="A929" s="3" t="n"/>
      <c r="B929" s="3" t="n"/>
    </row>
    <row r="930" ht="15.75" customHeight="1" s="90">
      <c r="A930" s="3" t="n"/>
      <c r="B930" s="3" t="n"/>
    </row>
    <row r="931" ht="15.75" customHeight="1" s="90">
      <c r="A931" s="3" t="n"/>
      <c r="B931" s="3" t="n"/>
    </row>
    <row r="932" ht="15.75" customHeight="1" s="90">
      <c r="A932" s="3" t="n"/>
      <c r="B932" s="3" t="n"/>
    </row>
    <row r="933" ht="15.75" customHeight="1" s="90">
      <c r="A933" s="3" t="n"/>
      <c r="B933" s="3" t="n"/>
    </row>
    <row r="934" ht="15.75" customHeight="1" s="90">
      <c r="A934" s="3" t="n"/>
      <c r="B934" s="3" t="n"/>
    </row>
    <row r="935" ht="15.75" customHeight="1" s="90">
      <c r="A935" s="3" t="n"/>
      <c r="B935" s="3" t="n"/>
    </row>
    <row r="936" ht="15.75" customHeight="1" s="90">
      <c r="A936" s="3" t="n"/>
      <c r="B936" s="3" t="n"/>
    </row>
    <row r="937" ht="15.75" customHeight="1" s="90">
      <c r="A937" s="3" t="n"/>
      <c r="B937" s="3" t="n"/>
    </row>
    <row r="938" ht="15.75" customHeight="1" s="90">
      <c r="A938" s="3" t="n"/>
      <c r="B938" s="3" t="n"/>
    </row>
    <row r="939" ht="15.75" customHeight="1" s="90">
      <c r="A939" s="3" t="n"/>
      <c r="B939" s="3" t="n"/>
    </row>
    <row r="940" ht="15.75" customHeight="1" s="90">
      <c r="A940" s="3" t="n"/>
      <c r="B940" s="3" t="n"/>
    </row>
    <row r="941" ht="15.75" customHeight="1" s="90">
      <c r="A941" s="3" t="n"/>
      <c r="B941" s="3" t="n"/>
    </row>
    <row r="942" ht="15.75" customHeight="1" s="90">
      <c r="A942" s="3" t="n"/>
      <c r="B942" s="3" t="n"/>
    </row>
    <row r="943" ht="15.75" customHeight="1" s="90">
      <c r="A943" s="3" t="n"/>
      <c r="B943" s="3" t="n"/>
    </row>
    <row r="944" ht="15.75" customHeight="1" s="90">
      <c r="A944" s="3" t="n"/>
      <c r="B944" s="3" t="n"/>
    </row>
    <row r="945" ht="15.75" customHeight="1" s="90">
      <c r="A945" s="3" t="n"/>
      <c r="B945" s="3" t="n"/>
    </row>
    <row r="946" ht="15.75" customHeight="1" s="90">
      <c r="A946" s="3" t="n"/>
      <c r="B946" s="3" t="n"/>
    </row>
    <row r="947" ht="15.75" customHeight="1" s="90">
      <c r="A947" s="3" t="n"/>
      <c r="B947" s="3" t="n"/>
    </row>
    <row r="948" ht="15.75" customHeight="1" s="90">
      <c r="A948" s="3" t="n"/>
      <c r="B948" s="3" t="n"/>
    </row>
    <row r="949" ht="15.75" customHeight="1" s="90">
      <c r="A949" s="3" t="n"/>
      <c r="B949" s="3" t="n"/>
    </row>
    <row r="950" ht="15.75" customHeight="1" s="90">
      <c r="A950" s="3" t="n"/>
      <c r="B950" s="3" t="n"/>
    </row>
    <row r="951" ht="15.75" customHeight="1" s="90">
      <c r="A951" s="3" t="n"/>
      <c r="B951" s="3" t="n"/>
    </row>
    <row r="952" ht="15.75" customHeight="1" s="90">
      <c r="A952" s="3" t="n"/>
      <c r="B952" s="3" t="n"/>
    </row>
    <row r="953" ht="15.75" customHeight="1" s="90">
      <c r="A953" s="3" t="n"/>
      <c r="B953" s="3" t="n"/>
    </row>
    <row r="954" ht="15.75" customHeight="1" s="90">
      <c r="A954" s="3" t="n"/>
      <c r="B954" s="3" t="n"/>
    </row>
    <row r="955" ht="15.75" customHeight="1" s="90">
      <c r="A955" s="3" t="n"/>
      <c r="B955" s="3" t="n"/>
    </row>
    <row r="956" ht="15.75" customHeight="1" s="90">
      <c r="A956" s="3" t="n"/>
      <c r="B956" s="3" t="n"/>
    </row>
    <row r="957" ht="15.75" customHeight="1" s="90">
      <c r="A957" s="3" t="n"/>
      <c r="B957" s="3" t="n"/>
    </row>
    <row r="958" ht="15.75" customHeight="1" s="90">
      <c r="A958" s="3" t="n"/>
      <c r="B958" s="3" t="n"/>
    </row>
    <row r="959" ht="15.75" customHeight="1" s="90">
      <c r="A959" s="3" t="n"/>
      <c r="B959" s="3" t="n"/>
    </row>
    <row r="960" ht="15.75" customHeight="1" s="90">
      <c r="A960" s="3" t="n"/>
      <c r="B960" s="3" t="n"/>
    </row>
    <row r="961" ht="15.75" customHeight="1" s="90">
      <c r="A961" s="3" t="n"/>
      <c r="B961" s="3" t="n"/>
    </row>
    <row r="962" ht="15.75" customHeight="1" s="90">
      <c r="A962" s="3" t="n"/>
      <c r="B962" s="3" t="n"/>
    </row>
    <row r="963" ht="15.75" customHeight="1" s="90">
      <c r="A963" s="3" t="n"/>
      <c r="B963" s="3" t="n"/>
    </row>
    <row r="964" ht="15.75" customHeight="1" s="90">
      <c r="A964" s="3" t="n"/>
      <c r="B964" s="3" t="n"/>
    </row>
    <row r="965" ht="15.75" customHeight="1" s="90">
      <c r="A965" s="3" t="n"/>
      <c r="B965" s="3" t="n"/>
    </row>
    <row r="966" ht="15.75" customHeight="1" s="90">
      <c r="A966" s="3" t="n"/>
      <c r="B966" s="3" t="n"/>
    </row>
    <row r="967" ht="15.75" customHeight="1" s="90">
      <c r="A967" s="3" t="n"/>
      <c r="B967" s="3" t="n"/>
    </row>
    <row r="968" ht="15.75" customHeight="1" s="90">
      <c r="A968" s="3" t="n"/>
      <c r="B968" s="3" t="n"/>
    </row>
    <row r="969" ht="15.75" customHeight="1" s="90">
      <c r="A969" s="3" t="n"/>
      <c r="B969" s="3" t="n"/>
    </row>
    <row r="970" ht="15.75" customHeight="1" s="90">
      <c r="A970" s="3" t="n"/>
      <c r="B970" s="3" t="n"/>
    </row>
    <row r="971" ht="15.75" customHeight="1" s="90">
      <c r="A971" s="3" t="n"/>
      <c r="B971" s="3" t="n"/>
    </row>
    <row r="972" ht="15.75" customHeight="1" s="90">
      <c r="A972" s="3" t="n"/>
      <c r="B972" s="3" t="n"/>
    </row>
    <row r="973" ht="15.75" customHeight="1" s="90">
      <c r="A973" s="3" t="n"/>
      <c r="B973" s="3" t="n"/>
    </row>
    <row r="974" ht="15.75" customHeight="1" s="90">
      <c r="A974" s="3" t="n"/>
      <c r="B974" s="3" t="n"/>
    </row>
    <row r="975" ht="15.75" customHeight="1" s="90">
      <c r="A975" s="3" t="n"/>
      <c r="B975" s="3" t="n"/>
    </row>
    <row r="976" ht="15.75" customHeight="1" s="90">
      <c r="A976" s="3" t="n"/>
      <c r="B976" s="3" t="n"/>
    </row>
    <row r="977" ht="15.75" customHeight="1" s="90">
      <c r="A977" s="3" t="n"/>
      <c r="B977" s="3" t="n"/>
    </row>
    <row r="978" ht="15.75" customHeight="1" s="90">
      <c r="A978" s="3" t="n"/>
      <c r="B978" s="3" t="n"/>
    </row>
    <row r="979" ht="15.75" customHeight="1" s="90">
      <c r="A979" s="3" t="n"/>
      <c r="B979" s="3" t="n"/>
    </row>
    <row r="980" ht="15.75" customHeight="1" s="90">
      <c r="A980" s="3" t="n"/>
      <c r="B980" s="3" t="n"/>
    </row>
    <row r="981" ht="15.75" customHeight="1" s="90">
      <c r="A981" s="3" t="n"/>
      <c r="B981" s="3" t="n"/>
    </row>
    <row r="982" ht="15.75" customHeight="1" s="90">
      <c r="A982" s="3" t="n"/>
      <c r="B982" s="3" t="n"/>
    </row>
    <row r="983" ht="15.75" customHeight="1" s="90">
      <c r="A983" s="3" t="n"/>
      <c r="B983" s="3" t="n"/>
    </row>
    <row r="984" ht="15.75" customHeight="1" s="90">
      <c r="A984" s="3" t="n"/>
      <c r="B984" s="3" t="n"/>
    </row>
    <row r="985" ht="15.75" customHeight="1" s="90">
      <c r="A985" s="3" t="n"/>
      <c r="B985" s="3" t="n"/>
    </row>
    <row r="986" ht="15.75" customHeight="1" s="90">
      <c r="A986" s="3" t="n"/>
      <c r="B986" s="3" t="n"/>
    </row>
    <row r="987" ht="15.75" customHeight="1" s="90">
      <c r="A987" s="3" t="n"/>
      <c r="B987" s="3" t="n"/>
    </row>
    <row r="988" ht="15.75" customHeight="1" s="90">
      <c r="A988" s="3" t="n"/>
      <c r="B988" s="3" t="n"/>
    </row>
    <row r="989" ht="15.75" customHeight="1" s="90">
      <c r="A989" s="3" t="n"/>
      <c r="B989" s="3" t="n"/>
    </row>
    <row r="990" ht="15.75" customHeight="1" s="90">
      <c r="A990" s="3" t="n"/>
      <c r="B990" s="3" t="n"/>
    </row>
    <row r="991" ht="15.75" customHeight="1" s="90">
      <c r="A991" s="3" t="n"/>
      <c r="B991" s="3" t="n"/>
    </row>
    <row r="992" ht="15.75" customHeight="1" s="90">
      <c r="A992" s="3" t="n"/>
      <c r="B992" s="3" t="n"/>
    </row>
    <row r="993" ht="15.75" customHeight="1" s="90">
      <c r="A993" s="3" t="n"/>
      <c r="B993" s="3" t="n"/>
    </row>
    <row r="994" ht="15.75" customHeight="1" s="90">
      <c r="A994" s="3" t="n"/>
      <c r="B994" s="3" t="n"/>
    </row>
    <row r="995" ht="15.75" customHeight="1" s="90">
      <c r="A995" s="3" t="n"/>
      <c r="B995" s="3" t="n"/>
    </row>
    <row r="996" ht="15.75" customHeight="1" s="90">
      <c r="A996" s="3" t="n"/>
      <c r="B996" s="3" t="n"/>
    </row>
    <row r="997" ht="15.75" customHeight="1" s="90">
      <c r="A997" s="3" t="n"/>
      <c r="B997" s="3" t="n"/>
    </row>
    <row r="998" ht="15.75" customHeight="1" s="90">
      <c r="A998" s="3" t="n"/>
      <c r="B998" s="3" t="n"/>
    </row>
    <row r="999" ht="15.75" customHeight="1" s="90">
      <c r="A999" s="3" t="n"/>
      <c r="B999" s="3" t="n"/>
    </row>
    <row r="1000" ht="15.75" customHeight="1" s="90">
      <c r="A1000" s="3" t="n"/>
      <c r="B1000" s="3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38" activePane="bottomLeft" state="frozen"/>
      <selection pane="bottomLeft" activeCell="C48" sqref="C48:F48"/>
    </sheetView>
  </sheetViews>
  <sheetFormatPr baseColWidth="8" defaultRowHeight="13.5"/>
  <cols>
    <col width="41.5703125" customWidth="1" style="90" min="1" max="1"/>
    <col width="28" customWidth="1" style="90" min="2" max="2"/>
    <col width="20" customWidth="1" style="90" min="3" max="5"/>
    <col width="22" customWidth="1" style="90" min="6" max="6"/>
  </cols>
  <sheetData>
    <row r="1" ht="21.95" customHeight="1" s="90">
      <c r="A1" s="114" t="inlineStr">
        <is>
          <t>📊  EKONOMIA GRY — DIGITAL WARS S1: Digitalizacja</t>
        </is>
      </c>
    </row>
    <row r="2" ht="20.1" customHeight="1" s="90">
      <c r="A2" s="115" t="inlineStr">
        <is>
          <t>Waluta: BITY  |  Zasada ogólna: Zasoby są ograniczone — gracz musi strategicznie wybierać karty</t>
        </is>
      </c>
    </row>
    <row r="3" ht="14.1" customHeight="1" s="90"/>
    <row r="4" ht="20.1" customHeight="1" s="90">
      <c r="A4" s="116" t="inlineStr">
        <is>
          <t>MAPA 1 — Budżet startowy</t>
        </is>
      </c>
    </row>
    <row r="5" ht="30" customHeight="1" s="90">
      <c r="A5" s="83" t="inlineStr">
        <is>
          <t>Budżet startowy</t>
        </is>
      </c>
      <c r="B5" s="84" t="inlineStr">
        <is>
          <t>40 bitów</t>
        </is>
      </c>
      <c r="C5" s="117" t="inlineStr">
        <is>
          <t>Wystarczy na 13–16 z 22 dostępnych kart (średni koszt karty = 2,6 bita)</t>
        </is>
      </c>
    </row>
    <row r="6" ht="30" customHeight="1" s="90">
      <c r="A6" s="83" t="inlineStr">
        <is>
          <t>Karty obowiązkowe</t>
        </is>
      </c>
      <c r="B6" s="84" t="inlineStr">
        <is>
          <t>Karta 5 + 11 + 17</t>
        </is>
      </c>
      <c r="C6" s="117" t="inlineStr">
        <is>
          <t>Łączny koszt: 9 bitów — enablery do Wejścia na rynek (karta 23)</t>
        </is>
      </c>
    </row>
    <row r="7" ht="30" customHeight="1" s="90">
      <c r="A7" s="83" t="inlineStr">
        <is>
          <t>Pozostały budżet po mandatory</t>
        </is>
      </c>
      <c r="B7" s="84" t="inlineStr">
        <is>
          <t>31 bitów</t>
        </is>
      </c>
      <c r="C7" s="117" t="inlineStr">
        <is>
          <t>Pozwala zagrać ~12 dowolnych dodatkowych kart PRE</t>
        </is>
      </c>
    </row>
    <row r="8" ht="30" customHeight="1" s="90">
      <c r="A8" s="83" t="inlineStr">
        <is>
          <t>Cel projektowy Map 1</t>
        </is>
      </c>
      <c r="B8" s="84" t="inlineStr">
        <is>
          <t>14–16 kart zagranych</t>
        </is>
      </c>
      <c r="C8" s="117" t="inlineStr">
        <is>
          <t>Gracz nie może zagrać wszystkich — musi priorytetyzować obszary strategiczne</t>
        </is>
      </c>
    </row>
    <row r="9" ht="30" customHeight="1" s="90">
      <c r="A9" s="83" t="inlineStr">
        <is>
          <t>Nagroda za szybkie wejście</t>
        </is>
      </c>
      <c r="B9" s="84" t="inlineStr">
        <is>
          <t>Brak</t>
        </is>
      </c>
      <c r="C9" s="117" t="inlineStr">
        <is>
          <t>Gra nie premiuje rychłego wejścia — premiuje głębokość przygotowania</t>
        </is>
      </c>
    </row>
    <row r="11" ht="20.1" customHeight="1" s="90">
      <c r="A11" s="118" t="inlineStr">
        <is>
          <t>MAPA 2 — Budżet rynkowy (dynamiczny)</t>
        </is>
      </c>
    </row>
    <row r="12" ht="32.1" customHeight="1" s="90">
      <c r="A12" s="85" t="inlineStr">
        <is>
          <t>Budżet bazowy</t>
        </is>
      </c>
      <c r="B12" s="86" t="inlineStr">
        <is>
          <t>32 bity</t>
        </is>
      </c>
      <c r="C12" s="119" t="inlineStr">
        <is>
          <t>Każdy zespół startuje na Mapie 2 z tym samym bazowym budżetem</t>
        </is>
      </c>
    </row>
    <row r="13" ht="32.1" customHeight="1" s="90">
      <c r="A13" s="85" t="inlineStr">
        <is>
          <t>Bonus przygotowania</t>
        </is>
      </c>
      <c r="B13" s="86" t="inlineStr">
        <is>
          <t>(kart_PRE / 22) × 12 bitów</t>
        </is>
      </c>
      <c r="C13" s="119" t="inlineStr">
        <is>
          <t>Maksymalny bonus: +12 bitów (jeśli zagrano wszystkie 22 karty PRE)</t>
        </is>
      </c>
    </row>
    <row r="14" ht="32.1" customHeight="1" s="90">
      <c r="A14" s="85" t="inlineStr">
        <is>
          <t>Formuła aplikacji</t>
        </is>
      </c>
      <c r="B14" s="86" t="n"/>
      <c r="C14" s="119" t="inlineStr">
        <is>
          <t>Aplikacja wylicza budżet Map 2 automatycznie po zakończeniu Map 1</t>
        </is>
      </c>
    </row>
    <row r="15" ht="32.1" customHeight="1" s="90">
      <c r="A15" s="85" t="inlineStr">
        <is>
          <t>Zakres budżetu Map 2</t>
        </is>
      </c>
      <c r="B15" s="86" t="inlineStr">
        <is>
          <t>34–44 bity</t>
        </is>
      </c>
      <c r="C15" s="119" t="inlineStr">
        <is>
          <t>Min: 3 karty PRE → ~34 bity | Max: 22 karty PRE → 44 bity</t>
        </is>
      </c>
    </row>
    <row r="16" ht="32.1" customHeight="1" s="90">
      <c r="A16" s="85" t="inlineStr">
        <is>
          <t>Zagrane karty POST</t>
        </is>
      </c>
      <c r="B16" s="86" t="inlineStr">
        <is>
          <t>11–14 kart</t>
        </is>
      </c>
      <c r="C16" s="119" t="inlineStr">
        <is>
          <t>Różnica między słabym a doskonałym przygotowaniem = 3 dodatkowe karty rynkowe</t>
        </is>
      </c>
    </row>
    <row r="17" ht="32.1" customHeight="1" s="90">
      <c r="A17" s="85" t="inlineStr">
        <is>
          <t>Cel projektowy Map 2</t>
        </is>
      </c>
      <c r="B17" s="86" t="inlineStr">
        <is>
          <t>11–13 kart zagranych</t>
        </is>
      </c>
      <c r="C17" s="119" t="inlineStr">
        <is>
          <t>Gracz musi wybrać strategię: widoczność vs zysk vs rynek vs konwersja</t>
        </is>
      </c>
    </row>
    <row r="19" ht="20.1" customHeight="1" s="90">
      <c r="A19" s="120" t="inlineStr">
        <is>
          <t>MNOŻNIK PRZYGOTOWANIA — wpływ Map 1 na efekty Map 2</t>
        </is>
      </c>
    </row>
    <row r="20" ht="21.95" customHeight="1" s="90">
      <c r="A20" s="87" t="inlineStr">
        <is>
          <t>Formuła</t>
        </is>
      </c>
      <c r="B20" s="121" t="inlineStr">
        <is>
          <t>Mnożnik_Wagi = MIN(2,0 ; 1 + kart_PRE_zagranych / 22)</t>
        </is>
      </c>
    </row>
    <row r="21" ht="18" customHeight="1" s="90">
      <c r="A21" s="87" t="inlineStr">
        <is>
          <t>3 kart PRE</t>
        </is>
      </c>
      <c r="B21" s="87" t="inlineStr">
        <is>
          <t>×1,14</t>
        </is>
      </c>
      <c r="C21" s="121" t="inlineStr">
        <is>
          <t>3 karty PRE (minimum) — efekty rynkowe o 14% silniejsze niż bazowe</t>
        </is>
      </c>
    </row>
    <row r="22" ht="18" customHeight="1" s="90">
      <c r="A22" s="87" t="inlineStr">
        <is>
          <t>8 kart PRE</t>
        </is>
      </c>
      <c r="B22" s="87" t="inlineStr">
        <is>
          <t>×1,36</t>
        </is>
      </c>
      <c r="C22" s="121" t="inlineStr">
        <is>
          <t>8 kart PRE — umiarkowane przygotowanie</t>
        </is>
      </c>
    </row>
    <row r="23" ht="18" customHeight="1" s="90">
      <c r="A23" s="87" t="inlineStr">
        <is>
          <t>14 kart PRE</t>
        </is>
      </c>
      <c r="B23" s="87" t="inlineStr">
        <is>
          <t>×1,64</t>
        </is>
      </c>
      <c r="C23" s="121" t="inlineStr">
        <is>
          <t>14 kart PRE — dobre przygotowanie</t>
        </is>
      </c>
    </row>
    <row r="24" ht="18" customHeight="1" s="90">
      <c r="A24" s="87" t="inlineStr">
        <is>
          <t>19 kart PRE</t>
        </is>
      </c>
      <c r="B24" s="87" t="inlineStr">
        <is>
          <t>×1,86</t>
        </is>
      </c>
      <c r="C24" s="121" t="inlineStr">
        <is>
          <t>19 kart PRE — bardzo dobre przygotowanie</t>
        </is>
      </c>
    </row>
    <row r="25" ht="18" customHeight="1" s="90">
      <c r="A25" s="87" t="inlineStr">
        <is>
          <t>22 kart PRE</t>
        </is>
      </c>
      <c r="B25" s="87" t="inlineStr">
        <is>
          <t>×2,00</t>
        </is>
      </c>
      <c r="C25" s="121" t="inlineStr">
        <is>
          <t>22 karty PRE (maksimum) — każda karta rynkowa działa 2× silniej niż bazowo</t>
        </is>
      </c>
    </row>
    <row r="28" ht="21.95" customHeight="1" s="90">
      <c r="A28" s="114" t="inlineStr">
        <is>
          <t>⚖️  ZASADY WAG — CARDSWEIGHTS (jak karty wpływają na macierze Mapy 2)</t>
        </is>
      </c>
    </row>
    <row r="29" ht="20.1" customHeight="1" s="90">
      <c r="A29" s="115" t="inlineStr">
        <is>
          <t>Struktura: każda karta ma 4 wiersze w CardsWeights — po jednym dla każdej macierzy (ZYSK / VISIBILITY / RYNEK / KONWERSJA)</t>
        </is>
      </c>
    </row>
    <row r="31" ht="20.1" customHeight="1" s="90">
      <c r="A31" s="116" t="inlineStr">
        <is>
          <t>Weights_X i Weights_Y — co oznaczają?</t>
        </is>
      </c>
    </row>
    <row r="32" ht="27.95" customHeight="1" s="90">
      <c r="A32" s="122" t="inlineStr">
        <is>
          <t>Weights_X</t>
        </is>
      </c>
      <c r="C32" s="123" t="inlineStr">
        <is>
          <t>Przesunięcie pionka na osi X danej macierzy (pozioma oś każdej macierzy 4×4 na Mapie 2)</t>
        </is>
      </c>
    </row>
    <row r="33" ht="27.95" customHeight="1" s="90">
      <c r="A33" s="122" t="inlineStr">
        <is>
          <t>Weights_Y</t>
        </is>
      </c>
      <c r="C33" s="123" t="inlineStr">
        <is>
          <t>Przesunięcie pionka na osi Y danej macierzy (pionowa oś każdej macierzy 4×4 na Mapie 2)</t>
        </is>
      </c>
    </row>
    <row r="34" ht="27.95" customHeight="1" s="90">
      <c r="A34" s="122" t="inlineStr">
        <is>
          <t>Boosters_X/Y</t>
        </is>
      </c>
      <c r="C34" s="123" t="inlineStr">
        <is>
          <t>Mnożnik przyspieszający ruch — wartość 1 = brak boostera. Boostery &gt;1 stosowane przy kartach synergicznych.</t>
        </is>
      </c>
    </row>
    <row r="36" ht="20.1" customHeight="1" s="90">
      <c r="A36" s="116" t="inlineStr">
        <is>
          <t>REGUŁY PROJEKTOWANIA WAG</t>
        </is>
      </c>
    </row>
    <row r="37" ht="45" customHeight="1" s="90">
      <c r="A37" s="88" t="inlineStr">
        <is>
          <t>REGUŁA 1</t>
        </is>
      </c>
      <c r="B37" s="124" t="inlineStr">
        <is>
          <t>Każda karta POST ma jedną MACIERZ GŁÓWNĄ i do dwóch macierzy pomocniczych</t>
        </is>
      </c>
      <c r="E37" s="124" t="inlineStr">
        <is>
          <t>Przykład: Karta 36 Subskrypcja: ZYSK jest główny (50,55) → firma zarabia na modelu MRR. RYNEK pomocniczy (15,18) → retencja rośnie.</t>
        </is>
      </c>
    </row>
    <row r="38" ht="45" customHeight="1" s="90">
      <c r="A38" s="88" t="inlineStr">
        <is>
          <t>REGUŁA 2</t>
        </is>
      </c>
      <c r="B38" s="124" t="inlineStr">
        <is>
          <t>Waga karty PRE na macierzach = przygotowanie pośrednie (wartości 3–20)</t>
        </is>
      </c>
      <c r="E38" s="124" t="inlineStr">
        <is>
          <t>Przykład: Karta 14 Plan marketingowy: VISIBILITY wysoka (18,20) — bo dobry plan jest fundamentem widoczności na Mapie 2.</t>
        </is>
      </c>
    </row>
    <row r="39" ht="45" customHeight="1" s="90">
      <c r="A39" s="88" t="inlineStr">
        <is>
          <t>REGUŁA 3</t>
        </is>
      </c>
      <c r="B39" s="124" t="inlineStr">
        <is>
          <t>Karta ENTRY daje równy impuls startowy na wszystkich macierzach (25,25)</t>
        </is>
      </c>
      <c r="E39" s="124" t="inlineStr">
        <is>
          <t>Przykład: Wejście na rynek uruchamia wszystkie procesy jednocześnie — bez wyróżnienia żadnego z nich.</t>
        </is>
      </c>
    </row>
    <row r="40" ht="45" customHeight="1" s="90">
      <c r="A40" s="88" t="inlineStr">
        <is>
          <t>REGUŁA 4</t>
        </is>
      </c>
      <c r="B40" s="124" t="inlineStr">
        <is>
          <t>Suma wag X na wszystkich 4 macierzach dla karty POST wynosi 55–75 pkt</t>
        </is>
      </c>
      <c r="E40" s="124" t="inlineStr">
        <is>
          <t>Przykład: Karta 24 SEO: X: 3+45+8+10=66. Karta 36 Subskrypcja: X: 50+5+15+8=78. Karty premium kosztują więcej i dają więcej.</t>
        </is>
      </c>
    </row>
    <row r="41" ht="45" customHeight="1" s="90">
      <c r="A41" s="88" t="inlineStr">
        <is>
          <t>REGUŁA 5</t>
        </is>
      </c>
      <c r="B41" s="124" t="inlineStr">
        <is>
          <t>Karty skupione na jednej macierzy mają ją silniej (35–55) i słabiej inne (&lt;15)</t>
        </is>
      </c>
      <c r="E41" s="124" t="inlineStr">
        <is>
          <t>Przykład: Karta 37 Optymalizacja kosztów: ZYSK (35,40) silna, pozostałe ≤3 — bo korekta kosztów nie poprawia widoczności.</t>
        </is>
      </c>
    </row>
    <row r="42" ht="45" customHeight="1" s="90">
      <c r="A42" s="88" t="inlineStr">
        <is>
          <t>REGUŁA 6</t>
        </is>
      </c>
      <c r="B42" s="124" t="inlineStr">
        <is>
          <t>Weights_X ≤ Weights_Y w macierzy ZYSK i RYNEK; Weights_Y ≤ Weights_X w VISIBILITY i KONWERSJA</t>
        </is>
      </c>
      <c r="E42" s="124" t="inlineStr">
        <is>
          <t>Przykład: Zysk i Rynek: łatwiej rosnąć w osi Y (rentowność/lojalność) niż X (skalowalność/penetracja) w e-commerce startowym.</t>
        </is>
      </c>
    </row>
    <row r="43" ht="45" customHeight="1" s="90">
      <c r="A43" s="88" t="inlineStr">
        <is>
          <t>REGUŁA 7</t>
        </is>
      </c>
      <c r="B43" s="124" t="inlineStr">
        <is>
          <t>Mnożnik przygotowania jest aplikowany przez system dopiero po zakończeniu Mapy 1</t>
        </is>
      </c>
      <c r="E43" s="124" t="inlineStr">
        <is>
          <t>Przykład: W Excelu widoczne są zawsze wagi BAZOWE. Aplikacja mnoży je przez MIN(2,0 ; 1+PRE/22) w momencie zagrywania karty POST.</t>
        </is>
      </c>
    </row>
    <row r="45" ht="20.1" customHeight="1" s="90">
      <c r="A45" s="116" t="inlineStr">
        <is>
          <t>MACIERZE — dominujące karty POST według macierzy głównej</t>
        </is>
      </c>
    </row>
    <row r="46" ht="36" customHeight="1" s="90">
      <c r="A46" s="125" t="inlineStr">
        <is>
          <t>ZYSK 🟡</t>
        </is>
      </c>
      <c r="C46" s="126" t="inlineStr">
        <is>
          <t>Karta 36 Subskrypcja (50,55) | Karta 35 Cross-sell (40,45) | Karta 37 Koszty (35,40) | Karta 41 BI (20,25) | Karta 42 Sezon (20,25)</t>
        </is>
      </c>
    </row>
    <row r="47" ht="36" customHeight="1" s="90">
      <c r="A47" s="127" t="inlineStr">
        <is>
          <t>VISIBILITY 🔵</t>
        </is>
      </c>
      <c r="C47" s="128" t="inlineStr">
        <is>
          <t>Karta 24 SEO (50,55) | Karta 25 Google Ads (45,50) | Karta 26 Social media (40,45) | Karta 27 Content (30,35) | Karta 33 Influencer (35,40)</t>
        </is>
      </c>
    </row>
    <row r="48" ht="36" customHeight="1" s="90">
      <c r="A48" s="129" t="inlineStr">
        <is>
          <t>RYNEK 🟢</t>
        </is>
      </c>
      <c r="C48" s="130" t="inlineStr">
        <is>
          <t>Karta 31 Lojalność (45,50) | Karta 32 Marketplace (40,45) | Karta 39 Ekspansja (45,50) | Karta 38 Recenzje (20,25)</t>
        </is>
      </c>
    </row>
    <row r="49" ht="36" customHeight="1" s="90">
      <c r="A49" s="131" t="inlineStr">
        <is>
          <t>KONWERSJA 🟣</t>
        </is>
      </c>
      <c r="C49" s="132" t="inlineStr">
        <is>
          <t>Karta 29 UX optym (45,50) | Karta 28 Email auto (40,45) | Karta 30 A/B Test (35,40) | Karta 34 Remarketing (35,40) | Karta 43 Ceneo (20,25)</t>
        </is>
      </c>
    </row>
  </sheetData>
  <mergeCells count="55">
    <mergeCell ref="E43:F43"/>
    <mergeCell ref="B42:D42"/>
    <mergeCell ref="A48:B48"/>
    <mergeCell ref="C48:F48"/>
    <mergeCell ref="C17:F17"/>
    <mergeCell ref="C23:F23"/>
    <mergeCell ref="C8:F8"/>
    <mergeCell ref="A49:B49"/>
    <mergeCell ref="C7:F7"/>
    <mergeCell ref="E42:F42"/>
    <mergeCell ref="C32:F32"/>
    <mergeCell ref="E39:F39"/>
    <mergeCell ref="B38:D38"/>
    <mergeCell ref="C13:F13"/>
    <mergeCell ref="A2:F2"/>
    <mergeCell ref="B37:D37"/>
    <mergeCell ref="E38:F38"/>
    <mergeCell ref="C49:F49"/>
    <mergeCell ref="C34:F34"/>
    <mergeCell ref="C6:F6"/>
    <mergeCell ref="B40:D40"/>
    <mergeCell ref="A46:B46"/>
    <mergeCell ref="C15:F15"/>
    <mergeCell ref="C33:F33"/>
    <mergeCell ref="A4:F4"/>
    <mergeCell ref="C24:F24"/>
    <mergeCell ref="C5:F5"/>
    <mergeCell ref="E40:F40"/>
    <mergeCell ref="A29:F29"/>
    <mergeCell ref="C14:F14"/>
    <mergeCell ref="A28:F28"/>
    <mergeCell ref="A19:F19"/>
    <mergeCell ref="B41:D41"/>
    <mergeCell ref="A33:B33"/>
    <mergeCell ref="A47:B47"/>
    <mergeCell ref="A31:F31"/>
    <mergeCell ref="A32:B32"/>
    <mergeCell ref="C16:F16"/>
    <mergeCell ref="C25:F25"/>
    <mergeCell ref="C47:F47"/>
    <mergeCell ref="C22:F22"/>
    <mergeCell ref="C9:F9"/>
    <mergeCell ref="A11:F11"/>
    <mergeCell ref="A36:F36"/>
    <mergeCell ref="B20:F20"/>
    <mergeCell ref="A1:F1"/>
    <mergeCell ref="C12:F12"/>
    <mergeCell ref="E41:F41"/>
    <mergeCell ref="A45:F45"/>
    <mergeCell ref="C46:F46"/>
    <mergeCell ref="C21:F21"/>
    <mergeCell ref="E37:F37"/>
    <mergeCell ref="B43:D43"/>
    <mergeCell ref="B39:D39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2026-02-24T08:51:45Z</dcterms:created>
  <dcterms:modified xmlns:dcterms="http://purl.org/dc/terms/" xmlns:xsi="http://www.w3.org/2001/XMLSchema-instance" xsi:type="dcterms:W3CDTF">2026-05-28T08:23:14Z</dcterms:modified>
  <cp:lastModifiedBy>Jakub Racz</cp:lastModifiedBy>
</cp:coreProperties>
</file>
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Boards" sheetId="1" state="visible" r:id="rId3"/>
    <sheet name="Decisions" sheetId="2" state="visible" r:id="rId4"/>
    <sheet name="Feedbacks" sheetId="3" state="visible" r:id="rId5"/>
    <sheet name="Feedback" sheetId="4" state="visible" r:id="rId6"/>
    <sheet name="Processes" sheetId="5" state="visible" r:id="rId7"/>
    <sheet name="Cards" sheetId="6" state="visible" r:id="rId8"/>
    <sheet name="CardsWeights" sheetId="7" state="visible" r:id="rId9"/>
    <sheet name="CardsEnablers" sheetId="8" state="visible" r:id="rId10"/>
    <sheet name="EconomyRul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<sst xmlns="http://schemas.openxmlformats.org/spreadsheetml/2006/main" count="856" uniqueCount="312">
  <si>
    <t xml:space="preserve">Name</t>
  </si>
  <si>
    <t xml:space="preserve">Labels_Up</t>
  </si>
  <si>
    <t xml:space="preserve">Labels_Right</t>
  </si>
  <si>
    <t xml:space="preserve">Description_Down</t>
  </si>
  <si>
    <t xml:space="preserve">Description_Left</t>
  </si>
  <si>
    <t xml:space="preserve">Rows</t>
  </si>
  <si>
    <t xml:space="preserve">Cols</t>
  </si>
  <si>
    <t xml:space="preserve">Border_Color</t>
  </si>
  <si>
    <t xml:space="preserve">Cell_Color</t>
  </si>
  <si>
    <t xml:space="preserve">Borders_Colors</t>
  </si>
  <si>
    <t xml:space="preserve">Cells_Descriptions</t>
  </si>
  <si>
    <t xml:space="preserve">Eksperymenty ryknowe</t>
  </si>
  <si>
    <t xml:space="preserve">Skalowalność modelu przychodu;Trafność komunikatu;Jakość doświadczenia klienta;Penetracja segmentu;</t>
  </si>
  <si>
    <t xml:space="preserve">Marża/Rentowność;Skuteczność lejka sprzedażowego;Zasięg/Reach;Lojalność/Retencja;</t>
  </si>
  <si>
    <t xml:space="preserve">#595959</t>
  </si>
  <si>
    <t xml:space="preserve">#212121</t>
  </si>
  <si>
    <t xml:space="preserve">#5faf4c;#f9e44d;#00b8e4;#e32e81</t>
  </si>
  <si>
    <t xml:space="preserve">Zysk;Widoczność;Udział w rynku;Motywacja Zespołu</t>
  </si>
  <si>
    <t xml:space="preserve">Weryfikacja Hipotez</t>
  </si>
  <si>
    <t xml:space="preserve">Podstawowa;Zintegrowana;Inteligentna;Autonomiczna</t>
  </si>
  <si>
    <t xml:space="preserve">Operacyjna;Adaptacyjna;Strategiczna;Innowacyjna</t>
  </si>
  <si>
    <t xml:space="preserve">Automatyzacja Procesów</t>
  </si>
  <si>
    <t xml:space="preserve">Zwinność Procesów</t>
  </si>
  <si>
    <t xml:space="preserve">#fefae0</t>
  </si>
  <si>
    <t xml:space="preserve">#008000;#FFFF00;#FFA500;#FF0000</t>
  </si>
  <si>
    <t xml:space="preserve">Cards_Id</t>
  </si>
  <si>
    <t xml:space="preserve">Decisions_Short_Desc</t>
  </si>
  <si>
    <t xml:space="preserve">Decisions_Long_Desc</t>
  </si>
  <si>
    <t xml:space="preserve">Decisions_Cost_Bits</t>
  </si>
  <si>
    <t xml:space="preserve">Decisions_Cost_Bits_Weight</t>
  </si>
  <si>
    <t xml:space="preserve">Enablers_Id</t>
  </si>
  <si>
    <t xml:space="preserve">Card_Phase</t>
  </si>
  <si>
    <t xml:space="preserve">Default_Weight_Y</t>
  </si>
  <si>
    <t xml:space="preserve">Default_Booster_X</t>
  </si>
  <si>
    <t xml:space="preserve">Default_Booster_Y</t>
  </si>
  <si>
    <t xml:space="preserve">Phase</t>
  </si>
  <si>
    <t xml:space="preserve">Mapa Założeń (Assumption Map)</t>
  </si>
  <si>
    <t xml:space="preserve">Twój dział R&amp;D ma dziesięć pomysłów na nowego grilla i zero pewności który z nich ma sens. Zanim ktokolwiek wyda choćby złotówkę na prototyp, siadasz z całym zespołem przy flipcharcie i wypisujecie wszystko co zakładacie — kto kupi, dlaczego zapłaci, czy firma da radę to wyprodukować. Każde założenie trafia na mapę: jak ważne jest dla powodzenia projektu i jak dobrze jest dziś udokumentowane. To nie jest planowanie — to szczery rachunek sumienia przed pierwszym wydatkiem.</t>
  </si>
  <si>
    <t xml:space="preserve">PRZYGOTOWAWCZA (Mapa 1)</t>
  </si>
  <si>
    <t xml:space="preserve">Segmentacja klientów innowacji</t>
  </si>
  <si>
    <t xml:space="preserve">Nie każdy, kto grilluje, kupi Twój innowacyjny produkt. Zanim zaczniesz projektować cokolwiek, potrzebujesz odpowiedzi na jedno pytanie: kto jest Twoim pierwszym klientem — entuzjasta technologii który śledzi Kickstartera w niedzielne poranki, czy ojciec rodziny który szuka czegoś lepszego niż stary ruszt? Wychodzisz z biura i zaczynasz obserwować, rozmawiać, słuchać. Bez porządnej segmentacji każde kolejne działanie będzie jak strzelanie w ciemności.</t>
  </si>
  <si>
    <t xml:space="preserve">Profil klienta (Value Proposition Design)</t>
  </si>
  <si>
    <t xml:space="preserve">Siadasz i wchodzisz w buty klienta — nie tego idealnego z prezentacji, ale prawdziwego człowieka z jego frustracjami i marzeniami. Co chce osiągnąć przy grillu? Co go irytuje w tym co już ma? Co sprawi że po zakupie poczuje że wygrał? Wypełniasz Profil Klienta: zadania do wykonania, bóle do uśmierzenia, zyski do osiągnięcia. To nie marketing — to empatia zamieniona w strategię.</t>
  </si>
  <si>
    <t xml:space="preserve">Mapa Wartości (Value Map)</t>
  </si>
  <si>
    <t xml:space="preserve">Masz Profil Klienta w jednej ręce i pomysł na produkt w drugiej. Teraz przychodzi moment prawdy: czy to co oferujesz naprawdę odpowiada na to czego potrzebuje? Wypełniasz Mapę Wartości — co konkretnie robi Twój grill, które bolączki klienta usuwa, jakie korzyści kreuje. Gdy obydwie strony do siebie pasują jak puzzle, masz coś czego nie da się wymyślić przy biurku: prawdziwe dopasowanie wartości do potrzeby.</t>
  </si>
  <si>
    <t xml:space="preserve">3</t>
  </si>
  <si>
    <t xml:space="preserve">Identyfikacja hipotez atrakcyjności</t>
  </si>
  <si>
    <t xml:space="preserve">Twój grill na wodór wygląda świetnie na tablicy. Ale czy ktokolwiek go chce? Formułujesz pierwsze hipotezy atrakcyjności — konkretne, mierzalne zdania o tym kto ma kupić, za ile i dlaczego. „Co najmniej jeden na pięciu odwiedzających stronę zapisze się na listę oczekujących" — to hipoteza. „Ludziom się spodoba" — to życzenie. Tylko falsyfikowalne pytania dają prawdziwe odpowiedzi.</t>
  </si>
  <si>
    <t xml:space="preserve">Identyfikacja hipotez wykonalności</t>
  </si>
  <si>
    <t xml:space="preserve">Pomysł jest. Teraz pytanie twarde: czy firma jest w stanie to zbudować? Kto dostarczy ogniwa paliwowe? Jak długo trwa certyfikacja urządzenia gazowego? Czy w Polsce jest ktokolwiek kto ma kompetencje w spawaniu zbiorników ciśnieniowych do paliwa alternatywnego? Formułujesz hipotezy wykonalności — bo lepiej zadać te pytania teraz, przy tablicy, niż za rok przy gotowym prototypie który nie może trafić do sprzedaży.</t>
  </si>
  <si>
    <t xml:space="preserve">Identyfikacja hipotez opłacalności</t>
  </si>
  <si>
    <t xml:space="preserve">Produkt może być genialny i technicznie wykonalny — ale czy model finansowy ma sens? Ile kosztuje wyprodukowanie jednej sztuki? Ile klientów musicie sprzedać żeby wyjść na zero? Czy przy cenie którą klient jest skłonny zapłacić firma w ogóle zarabia? Zapisujesz hipotezy opłacalności — liczby które muszą być prawdą żeby cały projekt miał sens biznesowy, a nie tylko innowacyjny.</t>
  </si>
  <si>
    <t xml:space="preserve">Desk research – rynek grilli innowacyjnych</t>
  </si>
  <si>
    <t xml:space="preserve">Zanim ruszysz z własną głową w mur, sprawdzasz co już wiadomo. Raporty branżowe, dane sprzedażowe z Europy, artykuły patentowe, wywiady z ekspertami. Ktoś gdzieś już próbował czegoś podobnego — i albo mu wyszło, albo nie. Obie informacje są bezcenne. Godzina dobrego researchu może zaoszczędzić trzy miesiące złudzeń.</t>
  </si>
  <si>
    <t xml:space="preserve">Analiza trendów green economy i regulacji UE</t>
  </si>
  <si>
    <t xml:space="preserve">Twój innowacyjny grill zużywa o 90% mniej CO2 niż tradycyjny węglowy — ale czy rynek to nagradza czy ignoruje? Sprawdzasz co się dzieje w regulacjach środowiskowych UE, jak zmienia się preferencje konsumentów i gdzie idą dotacje na czystą energię. Ekologia to nie tylko moralny wybór — to coraz częściej warunek wejścia na rynek i argument sprzedażowy który działa.</t>
  </si>
  <si>
    <t xml:space="preserve">Wywiad z klientami (Customer Discovery)</t>
  </si>
  <si>
    <t xml:space="preserve">Odkładasz raporty i wychodzisz do ludzi. Umawiasz się na kawę z właścicielami domków letniskowych, managerami restauracji, entuzjastami BBQ — i po prostu słuchasz. Nie pytasz „czy kupiłbyś nasz produkt", bo to złe pytanie. Pytasz o frustracje, o rytuały, o to jak wygląda idealny wieczór przy grillu. Jedna szczera rozmowa z prawdziwym człowiekiem jest warta więcej niż sto ankiet wypełnionych przez znajomych.</t>
  </si>
  <si>
    <t xml:space="preserve">2</t>
  </si>
  <si>
    <t xml:space="preserve">Ankieta walidacyjna online</t>
  </si>
  <si>
    <t xml:space="preserve">Rozmowy z klientami dały Ci wgląd w 15 osób. To za mało żeby podejmować strategiczne decyzje. Budujesz ankietę online i kierujesz ją do setek potencjalnych nabywców — z pytaniami o ceny, funkcje i gotowość zakupu. Dane statystyczne uzupełniają historię którą zebrałeś w wywiadach. Liczby i opowieści razem dają obraz który trudno zakwestionować.</t>
  </si>
  <si>
    <t xml:space="preserve">Analiza konkurencji innowacyjnej</t>
  </si>
  <si>
    <t xml:space="preserve">Ktoś gdzieś już próbował sprzedać innowacyjnego grilla — i albo zarobił majątek, albo cicho zwinął żagle. Przeglądasz Kickstartery, patenty, prototypy startupów i strategie wielkich marek. Szukasz luk które nikt nie zagospodarował i błędów których możesz uniknąć. Dobra analiza konkurencji to bezpłatna szkoła biznesu finansowana cudzymi porażkami.</t>
  </si>
  <si>
    <t xml:space="preserve">Prototyp koncepcji (Concept Prototype)</t>
  </si>
  <si>
    <t xml:space="preserve">Idea na papierze to jeszcze nie produkt. Budujesz pierwszy namacalny artefakt — nieważne czy to render 3D, model kartonowy, czy animacja pokazująca jak działa. Kładziesz to przed potencjalnymi klientami i obserwujesz ich twarze. Zanim powiesz cokolwiek, oni powiedzą Ci więcej niż jakikolwiek raport: czy biorą to do rąk z ciekawością czy z dystansem.</t>
  </si>
  <si>
    <t xml:space="preserve">Karta Testu #1 – walidacja atrakcyjności</t>
  </si>
  <si>
    <t xml:space="preserve">Masz hipotezę dotyczącą tego czy klienci chcą Twojego produktu. Teraz czas ją sprawdzić w sposób naukowy — nie przez intuicję, lecz przez zaprojektowany eksperyment. Definiujesz co testujesz, jak zmierzysz wynik i co będzie oznaczać sukces. Landing page, rozmowy, pre-order — wybierasz metodę, ustalasz kryterium, uruchamiasz test. Wynik albo utwierdza Cię w kierunku, albo ratuje przed kosztownym błędem.</t>
  </si>
  <si>
    <t xml:space="preserve">1,3</t>
  </si>
  <si>
    <t xml:space="preserve">Karta Testu #2 – walidacja wykonalności</t>
  </si>
  <si>
    <t xml:space="preserve">Rynek chce produktu — ale czy firma jest w stanie go dostarczyć? Projektujesz eksperyment który weryfikuje wykonalność: kontaktujesz się z dostawcami komponentów, sprawdzasz dostępność technologii, rozmawiasz z potencjalnymi partnerami produkcyjnymi. Czasem okazuje się że bariera technologiczna jest do pokonania. Czasem okazuje się że certyfikacja zajmuje 18 miesięcy. Lepiej wiedzieć teraz.</t>
  </si>
  <si>
    <t xml:space="preserve">6</t>
  </si>
  <si>
    <t xml:space="preserve">Karta Testu #3 – walidacja opłacalności</t>
  </si>
  <si>
    <t xml:space="preserve">Produkt może być atrakcyjny i wykonalny — ale czy model finansowy trzyma się kupy? Projektujesz eksperyment który sprawdza ile klienci naprawdę są skłonni zapłacić i przy jakim wolumenie firma zaczyna zarabiać. Fałszywe drzwi z ceną, mini-sprzedaż pilotażowa, analiza unit economics — wyniki tego testu decydują czy wchodzisz dalej czy szukasz innej ścieżki monetyzacji.</t>
  </si>
  <si>
    <t xml:space="preserve">7,17</t>
  </si>
  <si>
    <t xml:space="preserve">Model finansowy innowacji</t>
  </si>
  <si>
    <t xml:space="preserve">Siadasz z arkuszem kalkulacyjnym i zadajesz sobie najtrudniejsze pytania: ile kosztuje jeden egzemplarz? Kiedy wychodzisz na zero? Ile kapitału potrzeba do pierwszego zamówienia produkcyjnego? Model finansowy nie musi być precyzyjny — musi być uczciwy. Liczby które udowadniają że projekt jest niemożliwy są równie cenne jak te które pokazują że jest opłacalny.</t>
  </si>
  <si>
    <t xml:space="preserve">Business Model Canvas innowacji</t>
  </si>
  <si>
    <t xml:space="preserve">Rysujesz cały model biznesowy na jednej kartce. Dziewięć bloków, które muszą do siebie pasować: kto jest klientem, co mu oferujesz, jak do niego dotrzesz, na czym zarobisz, czego potrzebujesz, z kim będziesz współpracować i ile to będzie kosztować. Canvas ujawnia sprzeczności które w tekście są niewidoczne. Dopóki nie możesz tego narysować, naprawdę tego nie rozumiesz.</t>
  </si>
  <si>
    <t xml:space="preserve">Analiza ekologiczna i ślad węglowy (LCA uproszczony)</t>
  </si>
  <si>
    <t xml:space="preserve">Twój innowacyjny grill ma być zielony — ale czy naprawdę jest? Liczysz ślad węglowy produktu od surowców przez produkcję po utylizację. Porównujesz emisje do tradycyjnego grilla węglowego. Szukasz gorących punktów gdzie można ciąć emisje bez cięcia funkcjonalności. To nie greenwashing — to inżynieria środowiskowa która przekłada się na twarde argumenty sprzedażowe.</t>
  </si>
  <si>
    <t xml:space="preserve">Priorytetyzacja hipotez – wybór 2 do Mapy 2</t>
  </si>
  <si>
    <t xml:space="preserve">Macie dziesięć hipotez, ograniczony budżet i jeden rynek. Czas na najtrudniejszą decyzję fazy badawczej: które dwie hipotezy przejdą na Mapę 2? Rozkładacie na stole wszystkie zebrane dowody — dane z wywiadów, wyniki ankiet, modele finansowe, bariery technologiczne. Debatujecie, argumentujecie, a potem decydujecie. Nie wybieracie ulubionych — wybieracie te z najlepszym stosunkiem szansy do ryzyka.</t>
  </si>
  <si>
    <t xml:space="preserve">1,14</t>
  </si>
  <si>
    <t xml:space="preserve">Analiza IP i regulacje techniczne</t>
  </si>
  <si>
    <t xml:space="preserve">Twój innowacyjny grill wkracza na ziemię niczyją patentów i certyfikatów. Sprawdzasz czy ktoś już opatentował kluczowy mechanizm, jak długo trwa uzyskanie certyfikatu CE dla urządzenia ciśnieniowego, jakie normy bezpieczeństwa obowiązują w UE dla nowego rodzaju paliwa. Jedna wizyta w bibliotece patentowej teraz może zaoszczędzić rok sądowych perturbacji później.</t>
  </si>
  <si>
    <t xml:space="preserve">Mapowanie ścieżki klienta innowacji</t>
  </si>
  <si>
    <t xml:space="preserve">Jak klient trafi na Twój produkt, zanim go oficjalnie wypromujesz? Jak go przekonasz do wypróbowania czegoś zupełnie nowego? Co się stanie po zakupie i co sprawi że wróci? Rysujesz kompletną ścieżkę klienta — od pierwszego kontaktu z ideą do momentu gdy poleca produkt znajomemu. Każdy punkt tej ścieżki to decyzja projektowa, nie przypadek.</t>
  </si>
  <si>
    <t xml:space="preserve">★ URUCHOMIENIE EKSPERYMENTÓW RYNKOWYCH ★</t>
  </si>
  <si>
    <t xml:space="preserve">Koniec analizy. Czas na działanie. Dwie wybrane hipotezy opuszczają laboratorium i trafiają na rynek — z całym ryzykiem i potencjałem który ze sobą niosą. Od tej chwili uczysz się nie z raportów lecz z reakcji prawdziwych ludzi na prawdziwy produkt. Każda decyzja na Mapie 2 będzie niosła ze sobą konsekwencje — silniejsze tym bardziej, im lepiej przygotowałeś się na tej Mapie.</t>
  </si>
  <si>
    <t xml:space="preserve">20,13</t>
  </si>
  <si>
    <t xml:space="preserve">WEJŚCIE NA RYNEK</t>
  </si>
  <si>
    <t xml:space="preserve">Landing page MVP</t>
  </si>
  <si>
    <t xml:space="preserve">Twój produkt nie istnieje jeszcze fizycznie — ale może już istnieć w internecie. Budujesz stronę która opisuje innowację językiem korzyści, pokazuje wizualizacje i pyta wprost: czy chcesz być wśród pierwszych? Każdy zapis to głos w ankiecie którego nie dało się sfałszować. Współczynnik konwersji strony powie Ci więcej o atrakcyjności produktu niż miesięczny workshop z ekspertami.</t>
  </si>
  <si>
    <t xml:space="preserve">RYNKOWA (Mapa 2)</t>
  </si>
  <si>
    <t xml:space="preserve">Pre-sprzedaż i crowdfunding</t>
  </si>
  <si>
    <t xml:space="preserve">Zamiast czekać na inwestora, idziesz prosto do klientów — i prosisz ich żeby sfinansowali produkcję zamówieniami z góry. Kampania crowdfundingowa to jednocześnie test popytu, źródło finansowania i generator pierwszej społeczności wokół innowacji. Jeśli tysiąc osób płaci żeby dostać produkt który jeszcze nie istnieje — masz najsilniejszy możliwy dowód że warto go zbudować.</t>
  </si>
  <si>
    <t xml:space="preserve">24,27</t>
  </si>
  <si>
    <t xml:space="preserve">Eksperyment cenowy (Price Discovery)</t>
  </si>
  <si>
    <t xml:space="preserve">Ile naprawdę klienci zapłacą za innowację? Nie tyle ile deklarują w ankiecie — ile faktycznie klikają "kup" gdy widzą konkretną cyfrę. Testujesz różne punkty cenowe, obserwujesz zachowania, liczysz konwersje przy każdej wersji. Optymalna cena to nie ta przy której sprzedajesz najwięcej sztuk — to ta przy której maksymalizujesz przychód. Różnica potrafi wynieść kilkadziesiąt procent marży.</t>
  </si>
  <si>
    <t xml:space="preserve">Kampania social media dla innowacji</t>
  </si>
  <si>
    <t xml:space="preserve">Jeszcze zanim produkt trafi do sprzedaży, zaczynasz budować społeczność. Pokazujesz kulisy prac, dajesz ludziom poczucie że są częścią czegoś nowego i ekscytującego. Każdy obserwator to potencjalny klient, każdy komentarz to darmowe badanie rynku, każde udostępnienie to zasięg za który nie zapłaciłeś. Rosnące zaangażowanie organiczne to najlepszy możliwy dowód że idea rezonuje.</t>
  </si>
  <si>
    <t xml:space="preserve">Partnerstwo z influencerem eco/grill</t>
  </si>
  <si>
    <t xml:space="preserve">Szukasz kogoś kto ma zaufanie Twojego przyszłego klienta i proponujesz mu współpracę: przetestuj produkt, powiedz co o nim myślisz, podziel się ze swoją społecznością. Autentyczna recenzja od osoby którą obserwatorzy lubią i którym ufają trafia głębiej niż jakikolwiek banner reklamowy. Barterowo, afiliacyjnie albo ambasadorsko — wybierasz model i zamawiasz rozmowę.</t>
  </si>
  <si>
    <t xml:space="preserve">Test kanału dystrybucji</t>
  </si>
  <si>
    <t xml:space="preserve">Masz produkt — ale gdzie klient ma go kupić? Własny sklep, marketplace, salon AGD, targi branżowe, B2B do restauracji? Uruchamiasz testy w kilku kanałach jednocześnie i mierzysz kluczowe pytanie: gdzie koszt pozyskania klienta jest najniższy a marża najwyższa? Odkrycie właściwego kanału sprzedaży często decyduje o biznesie bardziej niż sam produkt.</t>
  </si>
  <si>
    <t xml:space="preserve">Prototyp funkcjonalny (alpha/beta)</t>
  </si>
  <si>
    <t xml:space="preserve">Koniec z renderami i makietami — czas na coś co naprawdę działa. Budujesz prototyp który można włączyć, dotknąć, nakarmić węglem albo wodorem i zaobserwować jak reaguje. To jest moment kiedy inżynieria przestaje być teorią. Pierwsze reakcje użytkowników na działające urządzenie — ich twarz gdy je włączają po raz pierwszy — mówią więcej niż jakakolwiek ankieta.</t>
  </si>
  <si>
    <t xml:space="preserve">15</t>
  </si>
  <si>
    <t xml:space="preserve">Testy użytkowników (Usability Testing)</t>
  </si>
  <si>
    <t xml:space="preserve">Zapraszasz grupę potencjalnych klientów do testowania prototypu i obserwujesz — nie oceniasz, nie pomagasz, nie komentujesz. Uczestnik ma jedno zadanie: używać grilla tak jak by to zrobił w domu, mówiąc na głos co myśli. Każde zatrzymanie w niepewności, każdy błąd użytkowania, każde westchnienie frustracji to bezcenny materiał. Pięć takich sesji odkrywa 85% problemów użyteczności.</t>
  </si>
  <si>
    <t xml:space="preserve">30</t>
  </si>
  <si>
    <t xml:space="preserve">Iteracja produktu na bazie danych</t>
  </si>
  <si>
    <t xml:space="preserve">Dane wróciły z pola i mówią co nie działa. Czas na decyzję: które problemy naprawić w tej iteracji, a które odłożyć na później? Wybierasz jedną zmienną, wdrażasz poprawkę, wypuszczasz na rynek i obserwujesz wynik. Nie zmieniasz wszystkiego naraz bo wtedy nie wiesz co zadziałało. Szybka pętla uczenia to jedyna broń innowatora przeciwko korporacji z nieskończonym budżetem.</t>
  </si>
  <si>
    <t xml:space="preserve">Program pilotażowy z klientami</t>
  </si>
  <si>
    <t xml:space="preserve">Wybierasz dwadzieścia osób z Twojego segmentu docelowego i dajesz im produkt na sześć tygodni. Nie demo, nie beta — prawdziwe urządzenie w prawdziwym użytku. W zamian prosisz o szczerość: co działa, co nie, czego brakuje, czy poleciliby znajomym. Uczestnicy programu pilotażowego stają się Twoimi pierwszymi ambasadorami — albo Twoją najważniejszą bazą danych o tym co naprawić.</t>
  </si>
  <si>
    <t xml:space="preserve">30,31</t>
  </si>
  <si>
    <t xml:space="preserve">Partnerstwo technologiczne i R&amp;D</t>
  </si>
  <si>
    <t xml:space="preserve">Sam nie wymyślisz wszystkiego. Kontaktujesz się z uczelnią techniczną lub instytutem badawczym i pytasz: czy macie laboratorium, kompetencje i chęć żeby rozwiązać ten konkretny problem inżynieryjny razem z nami? Partnerstwo R&amp;D oznacza szybszy dostęp do wiedzy, podzielone ryzyko technologiczne i często otwarcie drzwi do grantów badawczych na które samodzielnie nie miałbyś szansy.</t>
  </si>
  <si>
    <t xml:space="preserve">Certyfikacja ekologiczna produktu</t>
  </si>
  <si>
    <t xml:space="preserve">„Ekologiczny" mówią wszyscy. Ty chcesz to udowodnić. Uruchamiasz proces certyfikacji środowiskowej — EU Ecolabel, EPD, Carbon Footprint — który wymaga twardych danych, zewnętrznej weryfikacji i publicznie dostępnego raportu. Certyfikat to bariera wejścia dla imitatorów i przepustka do przetargów publicznych gdzie ekologia jest już wymogiem formalnym, nie opcjonalnym ozdobnikiem.</t>
  </si>
  <si>
    <t xml:space="preserve">19</t>
  </si>
  <si>
    <t xml:space="preserve">PR i media coverage innowacji</t>
  </si>
  <si>
    <t xml:space="preserve">Twój innowacyjny grill zasługuje na historię. Piszesz press release: nie „nowy grill na rynku" lecz „pierwsze urządzenie BBQ z certyfikatem zeroemisyjnym w Polsce". Wysyłasz do redakcji kulinarnych, technologicznych, ekologicznych i lifestyle'owych. Jedno medialne echo w odpowiednim medium robi więcej dla wiarygodności niż trzy miesiące kampanii reklamowej.</t>
  </si>
  <si>
    <t xml:space="preserve">Pirate Metrics – analiza lejka AARRR</t>
  </si>
  <si>
    <t xml:space="preserve">Zatrzymujesz się i patrzysz na liczby z innej perspektywy — nie „ile sprzedaliśmy" lecz „gdzie tracimy klientów". Ilu weszło na stronę? Ilu aktywowało się i wróciło? Ilu poleciło produkt znajomemu? Ilu w końcu zapłaciło? Lejek AARRR pokazuje nie wynik tylko symptom: niska retencja mówi że produkt nie dostarcza wartości, niski referral mówi że klienci nie są zachwyceni, niski przychód mówi że coś nie gra z ceną lub modelem.</t>
  </si>
  <si>
    <t xml:space="preserve">Build-Measure-Learn sprint</t>
  </si>
  <si>
    <t xml:space="preserve">Dwa tygodnie, jedna hipoteza. Definiujecie co chcecie sprawdzić, budujecie minimalny możliwy eksperyment, uruchamiacie go, mierzycie wynik i wyciągacie wniosek. Potem zaczyna się kolejny sprint. Build-Measure-Learn to nie metodologia dla startupów — to rytm pracy każdego zespołu który chce się uczyć szybciej niż konkurencja i marnować mniej zasobów na złe kierunki.</t>
  </si>
  <si>
    <t xml:space="preserve">Strategia pivot lub persevere</t>
  </si>
  <si>
    <t xml:space="preserve">Dane zebrane przez ostatnie tygodnie mówią jedno — ale odwaga strategiczna to coś innego. Siedzisz z zespołem i zadajecie sobie trudne pytanie: czy idziemy dalej tą drogą bo dane to potwierdzają, czy dlatego że włożyliśmy w to za dużo żeby się wycofać? Pivot oparty na dowodach to siła, nie słabość. Kontynuacja złego kierunku z powodu kosztów utopionych to najdroższy błąd w innowacji.</t>
  </si>
  <si>
    <t xml:space="preserve">Ekspansja na drugi segment klientów</t>
  </si>
  <si>
    <t xml:space="preserve">Twoja innowacja znalazła pierwszych klientów w jednym segmencie. Teraz pytanie: kto jeszcze jej potrzebuje? Restauratorzy którzy szukają efektownego rozwiązania na tarasy? Kempingi które chcą się wyróżnić ofertą eco? Firmy cateringowe które muszą raportować ślad węglowy? Każdy nowy segment to nowa hipoteza — nie zakładaj że to co zadziałało w pierwszym, zadziała automatycznie w kolejnym.</t>
  </si>
  <si>
    <t xml:space="preserve">33</t>
  </si>
  <si>
    <t xml:space="preserve">Plan komercjalizacji i skalowania</t>
  </si>
  <si>
    <t xml:space="preserve">Pilotaż zakończony, dane zebrane, produkt gotowy. Teraz musisz zaplanować jak przejść od 20 zadowolonych klientów do 2000. Definiujesz kamienie milowe produkcji, strukturę cen dla różnych kanałów, harmonogram certyfikacji i plan zatrudnienia. Bez tego planu skalowanie to chaotyczne gaszenie pożarów. Z tym planem — to zarządzana akcja.</t>
  </si>
  <si>
    <t xml:space="preserve">System zbierania i analizy feedbacku</t>
  </si>
  <si>
    <t xml:space="preserve">Klienci mówią — ale czy słyszysz? Budujesz system który zbiera opinie w czasie rzeczywistym: ankiety NPS po zakupie, zachowania na stronie, rozmowy w czacie, publiczne recenzje. Alerty które mówią Ci gdy ktoś jest niezadowolony, zanim napisze o tym na forum. Firma która słyszy klientów szybciej niż konkurencja zawsze ma szansę naprawić zanim problem stanie się kryzysem.</t>
  </si>
  <si>
    <t xml:space="preserve">Model finansowy skalowania</t>
  </si>
  <si>
    <t xml:space="preserve">Pilotaż był rentowny przy 20 klientach. Ale co się stanie przy 200? Przy 2000? Budujesz model finansowy który liczy co się dzieje z kosztem jednostkowym przy każdym progu wolumenu, jak rośnie zapotrzebowanie na kapitał obrotowy i kiedy firma potrzebuje kolejnego zastrzyku finansowania. Pułapka wielu innowacji to rentowność na małej skali i straty przy wzroście — model to odkrywa zawczasu.</t>
  </si>
  <si>
    <t xml:space="preserve">41</t>
  </si>
  <si>
    <t xml:space="preserve">Projektowanie cyrkularne (Circular Design)</t>
  </si>
  <si>
    <t xml:space="preserve">Twój grill nie jest po prostu sprzedany — jest zaprojektowany tak żeby po dziesięciu latach stać się surowcem a nie śmieciem. Moduły wymienne zamiast jednorazowej konstrukcji, materiały z recyclingu, program skupu zużytych jednostek. Projektowanie cyrkularne to nie koszt — to argument dla rosnącej grupy klientów którzy pytają nie tylko „ile kosztuje?" ale „co się z nim stanie za dekadę?".</t>
  </si>
  <si>
    <t xml:space="preserve">Zielona propozycja wartości – eco-storytelling</t>
  </si>
  <si>
    <t xml:space="preserve">Certyfikat masz, dane środowiskowe zebrane — teraz czas żeby to opowiedzieć w sposób który sprzedaje. „Ten grill w ciągu pięciu lat zaoszczędzi 340 kg CO2 w porównaniu do tradycyjnego węglowego" działa mocniej niż „produkt przyjazny środowisku". Budujesz narrację ekologiczną opartą na konkretnych liczbach i weryfikowalnych faktach — bo w erze Green Claims Directive EU każde twierdzenie musi być udokumentowane, a nie tylko brzmi dobrze.</t>
  </si>
  <si>
    <t xml:space="preserve">Partnerstwo w ekosystemie zielonej energii</t>
  </si>
  <si>
    <t xml:space="preserve">Twój grill na wodór ma sens tylko wtedy gdy klient ma dostęp do wodoru. Kontaktujesz się z dostawcami zielonej energii, producentami instalacji fotowoltaicznych i sieciami tankowania H2. Proponujesz pakiet: grill plus taryfa OZE, grill plus solar, grill plus dostęp do stacji H2. Partnerstwo ekosystemowe sprawia że Twój produkt przestaje być urządzeniem a staje się bramą do nowego stylu życia.</t>
  </si>
  <si>
    <t xml:space="preserve">Status</t>
  </si>
  <si>
    <t xml:space="preserve">Feedbacks_Long_Description</t>
  </si>
  <si>
    <t xml:space="preserve">Mapa Założeń gotowa – masz przejrzysty obraz co wiesz, czego nie wiesz i co musisz przetestować w pierwszej kolejności. Priorytet eksperymentów jest oczywisty: prawa górna ćwiartka – ważne i nieudokumentowane.</t>
  </si>
  <si>
    <t xml:space="preserve">Twój wczesny adopter ma twarz i imię. Każda kolejna decyzja projektowa i marketingowa będzie celniejsza bo wiesz dla kogo budujesz produkt.</t>
  </si>
  <si>
    <t xml:space="preserve">Profil klienta wypełniony – znasz jego Jobs-to-be-done, Pains i Gains. Masz fundament pod propozycję wartości która będzie rezonować.</t>
  </si>
  <si>
    <t xml:space="preserve">Mapa Wartości gotowa i dopasowana do Profilu Klienta. Dopasowanie (Fit) potwierdzone – propozycja wartości adresuje realne bóle i pożądane zyski klienta.</t>
  </si>
  <si>
    <t xml:space="preserve">Bez Profilu Klienta Twoja Mapa Wartości opisuje produkt który Ty chcesz zbudować – nie to czego potrzebuje klient. Kreatory korzyści i uśmierzacze bólu są skrojone pod własne przekonania zamiast pod udokumentowane potrzeby. Ryzyko: stracisz zasoby projektując funkcje których nikt nie potrzebuje.</t>
  </si>
  <si>
    <t xml:space="preserve">Hipotezy atrakcyjności sformułowane konkretnie i mierzalnie. Wiesz co musisz udowodnić rynkowi i masz kryteria sukcesu dla każdego testu.</t>
  </si>
  <si>
    <t xml:space="preserve">Hipotezy wykonalności zdefiniowane. Znasz swoje krytyczne zależności technologiczne i partnerskie – możesz zacząć je weryfikować.</t>
  </si>
  <si>
    <t xml:space="preserve">Hipotezy opłacalności sformułowane. Rozumiesz przy jakich założeniach model biznesowy zarabia – i wiesz co musisz sprawdzić.</t>
  </si>
  <si>
    <t xml:space="preserve">Desk research zakończony. Masz szeroki kontekst rynkowy, znasz graczy i wiesz gdzie są luki które możesz zagospodarować.</t>
  </si>
  <si>
    <t xml:space="preserve">Trendy green economy i regulacje UE zmapowane. Twoja innowacja może wyprzedzać wymagania rynku zamiast za nimi gonić.</t>
  </si>
  <si>
    <t xml:space="preserve">Wywiady z klientami przeprowadzone. Masz prawdziwe cytaty, rzeczywiste frustacje i autentyczne pragnienia klientów z właściwego segmentu.</t>
  </si>
  <si>
    <t xml:space="preserve">Bez zdefiniowanego segmentu rozmowy z klientami to losowa próba – każda osoba ma inną perspektywę i wyciąganie wniosków jest niemożliwe. Pytasz przypadkowych ludzi o zdanie zamiast weryfikować hipotezy z właściwą grupą docelową. Ryzyko: błędne dane prowadzą do błędnych decyzji z fałszywą pewnością.</t>
  </si>
  <si>
    <t xml:space="preserve">Ankieta walidacyjna zwróciła dane statystyczne z właściwego segmentu. Masz twarde liczby potwierdzające lub podważające hipotezy atrakcyjności.</t>
  </si>
  <si>
    <t xml:space="preserve">Ankieta bez zdefiniowanego segmentu trafi do niewłaściwych osób. Dane statystyczne będą nieistotne bo mierzysz zainteresowanie grupy która i tak by nie kupiła. Ryzyko: wyniki mogą zarówno fałszywie potwierdzić jak i fałszywie obalić hipotezy atrakcyjności.</t>
  </si>
  <si>
    <t xml:space="preserve">Konkurencja zbadana. Wiesz kto próbował i jak mu poszło. Twoja nisza jest wyraźniej widoczna – możesz ją celowo zagospodarować.</t>
  </si>
  <si>
    <t xml:space="preserve">Prototyp koncepcji gotowy i pokazany klientom. Ich pierwsza reakcja jest już cennym sygnałem rynkowym.</t>
  </si>
  <si>
    <t xml:space="preserve">Karta Testu atrakcyjności przeprowadzona. Masz twarde dowody (lub ich brak) na temat zainteresowania klientów – decyzja opiera się na faktach.</t>
  </si>
  <si>
    <t xml:space="preserve">Bez Mapy Założeń i Profilu Klienta testujesz bez celu. Nie wiesz jaką hipotezę weryfikujesz ani dla kogo. Eksperyment daje dane ale nie daje odpowiedzi. Ryzyko: przepalasz budżet testowy na eksperymenty które nie redukują najważniejszych ryzyk projektu.</t>
  </si>
  <si>
    <t xml:space="preserve">Karta Testu wykonalności przeprowadzona. Wiesz czy masz dostęp do niezbędnych zasobów i partnerów technologicznych.</t>
  </si>
  <si>
    <t xml:space="preserve">Bez wcześniej zidentyfikowanych hipotez wykonalności nie wiesz co testować. Test jest ogólny zamiast skupiony na krytycznych zależnościach. Ryzyko: przeoczysz kluczową barierę wykonalności (np. czas certyfikacji H2 = 18 miesięcy) bo nie pytałeś właściwego pytania.</t>
  </si>
  <si>
    <t xml:space="preserve">Karta Testu opłacalności przeprowadzona. Dowody wskazują że model finansowy jest realny przy założonych wolumenach i cenach.</t>
  </si>
  <si>
    <t xml:space="preserve">Bez modelu finansowego nie masz punktu odniesienia dla wyników testu opłacalności. Nie wiesz ile % respondentów gotowych do zapłaty wystarczy by model był rentowny. Ryzyko: interpretujesz wyniki w próżni i podejmujesz błędne decyzje o kontynuacji lub zatrzymaniu projektu.</t>
  </si>
  <si>
    <t xml:space="preserve">Model finansowy innowacji gotowy. Masz jasność co do break-even, unit economics i zapotrzebowania na kapitał.</t>
  </si>
  <si>
    <t xml:space="preserve">Business Model Canvas wypełniony i spójny wewnętrznie. Widzisz jak elementy modelu wzmacniają się wzajemnie.</t>
  </si>
  <si>
    <t xml:space="preserve">Analiza LCA przeprowadzona. Znasz ślad węglowy produktu i masz bazę pod certyfikację i komunikację green economy.</t>
  </si>
  <si>
    <t xml:space="preserve">Dwie hipotezy wybrane do Mapy 2 na podstawie danych. Zespół jest wyrównany co do kierunku.</t>
  </si>
  <si>
    <t xml:space="preserve">Bez Mapy Założeń wybierasz hipotezy intuicyjnie lub na podstawie faworytów. Bez choćby jednego Testu decyzja nie jest oparta na dowodach. Ryzyko: wybierasz hipotezy które wyglądają dobrze a nie te które mają najlepszy potencjał – i wchodzisz na rynek z nieuweryfikowanymi założeniami.</t>
  </si>
  <si>
    <t xml:space="preserve">Kwestie IP i regulacyjne zbadane. Masz wolną drogę prawną do rynku lub wiesz co adresować.</t>
  </si>
  <si>
    <t xml:space="preserve">Ścieżka klienta innowacji zmapowana. Rozumiesz każdy punkt kontaktu od Awareness do Loyalty.</t>
  </si>
  <si>
    <t xml:space="preserve">Eksperymenty rynkowe uruchomione. Hipotezy trafiają na prawdziwy rynek – uczysz się szybciej niż cokolwiek co działo się przy biurku.</t>
  </si>
  <si>
    <t xml:space="preserve">Bez priorytetyzacji hipotez nie masz zdefiniowanego co testujesz na Mapie 2. Bez prototypu koncepcji klienci nie mają nic konkretnego na co mogą reagować. Eksperymenty rynkowe startują w próżni. Ryzyko: Mapa 2 staje się chaotycznym testowaniem bez struktury – zasoby rozpraszają się a wnioski są niespójne.</t>
  </si>
  <si>
    <t xml:space="preserve">Landing page działa i zbiera konwersje. Masz twarde dane o zainteresowaniu rynku zanim produkt istnieje.</t>
  </si>
  <si>
    <t xml:space="preserve">Kampania pre-sprzedaży zakończona sukcesem. Potwierdziłeś popyt realną gotówką klientów – najsilniejszy dowód opłacalności.</t>
  </si>
  <si>
    <t xml:space="preserve">Bez landing page brak miejsca dokąd kierować ruch z kampanii – tracisz każdą złotówkę wydaną na promocję. Bez social media brak zasięgu do kampanii crowdfundingowej. Ryzyko: kampania pre-sprzedaży zbiera ułamek potencjalnych zamówień i możesz nie osiągnąć progu minimów kampanii.</t>
  </si>
  <si>
    <t xml:space="preserve">Eksperyment cenowy przeprowadzony. Znasz optymalny punkt cenowy maksymalizujący przychód.</t>
  </si>
  <si>
    <t xml:space="preserve">Kampania social media buduje zaangażowaną społeczność. Organiczny wzrost świadczy o autentyczności idei.</t>
  </si>
  <si>
    <t xml:space="preserve">Influencer przetestował produkt i podzielił się opinią. Dotarłeś do zaangażowanej widowni z wiarygodną rekomendacją.</t>
  </si>
  <si>
    <t xml:space="preserve">Optymalny kanał dystrybucji zidentyfikowany z danymi o CAC i marży.</t>
  </si>
  <si>
    <t xml:space="preserve">Prototyp funkcjonalny działa i jest w rękach klientów. Reakcje użytkowników są bezcennym materiałem.</t>
  </si>
  <si>
    <t xml:space="preserve">Bez walidacji wykonalności budowanie prototypu funkcjonalnego grozi trafieniem na blokadę technologiczną lub regulacyjną w zaawansowanym etapie prac. Ryzyko: inwestujesz dziesiątki tysięcy w prototyp który nie może być certyfikowany lub produkowany w Polsce.</t>
  </si>
  <si>
    <t xml:space="preserve">Testy użytkowników ujawniły kluczowe insighty. Masz konkretną listę usprawnień do wdrożenia.</t>
  </si>
  <si>
    <t xml:space="preserve">Testy użytkowności na prototypie który nie działa poprawnie nie dają wartościowych danych – uczestnicy oceniają błędy techniczne zamiast doświadczenie produktu. Ryzyko: wyniki testów są zaburzane przez problemy techniczne a nie odzwierciedlają rzeczywistej użytkowalności.</t>
  </si>
  <si>
    <t xml:space="preserve">Iteracja wdrożona. Produkt jest lepszy po każdym cyklu BML.</t>
  </si>
  <si>
    <t xml:space="preserve">Program pilotażowy zakończony. Masz klientów referencyjnych, bogate dane i pierwsze polecenia.</t>
  </si>
  <si>
    <t xml:space="preserve">Pilotaż bez działającego prototypu to testowanie obietnicą zamiast produktem. Bez testów użytkownika trafiasz z wadliwym produktem do klientów referencyjnych i niszczysz relację zanim się zbuduje. Ryzyko: pierwsi klienci stają się krytykami zamiast ambasadorami – i te opinie będą publiczne.</t>
  </si>
  <si>
    <t xml:space="preserve">Partnerstwo technologiczne nawiązane. Masz dostęp do kompetencji R&amp;D i podzielone ryzyko.</t>
  </si>
  <si>
    <t xml:space="preserve">Certyfikacja ekologiczna uzyskana. Komunikacja green economy jest teraz wiarygodna i udokumentowana.</t>
  </si>
  <si>
    <t xml:space="preserve">Certyfikacja bez przeprowadzonej analizy LCA jest niemożliwa – certyfikujące organy wymagają udokumentowanych danych środowiskowych. Ryzyko: tracisz czas i pieniądze na proces certyfikacji który zostanie odrzucony na etapie dokumentacji.</t>
  </si>
  <si>
    <t xml:space="preserve">Media piszą o Twojej innowacji bez budżetu reklamowego.</t>
  </si>
  <si>
    <t xml:space="preserve">Metryki AARRR zmierzone. Wiesz gdzie w lejku tracisz klientów i gdzie leży dźwignia wzrostu.</t>
  </si>
  <si>
    <t xml:space="preserve">Sprint BML zamknięty. Pętla uczenia się działa – z każdym cyklem bliżej product-market fit.</t>
  </si>
  <si>
    <t xml:space="preserve">Decyzja pivot/persevere podjęta na podstawie danych. Niezależnie od kierunku – podjąłeś ją świadomie.</t>
  </si>
  <si>
    <t xml:space="preserve">Drugi segment klientów zidentyfikowany i wstępnie zwalidowany.</t>
  </si>
  <si>
    <t xml:space="preserve">Ekspansja na nowy segment bez walidacji w pierwszym to skalowanie nieznanego na nieznane. Bez danych z pilotażu nie wiesz co działało i dlaczego – nie masz niczego do replikacji. Ryzyko: podwajasz koszty operacyjne bez podwajania zysku.</t>
  </si>
  <si>
    <t xml:space="preserve">Plan komercjalizacji gotowy z kamieniami milowymi i budżetem.</t>
  </si>
  <si>
    <t xml:space="preserve">System feedbacku działa i dostarcza ciągły strumień danych w czasie rzeczywistym.</t>
  </si>
  <si>
    <t xml:space="preserve">Model finansowy skalowania gotowy. Wiesz kiedy wzrost jest rentowny i ile kapitału potrzebujesz.</t>
  </si>
  <si>
    <t xml:space="preserve">Model finansowy skalowania bez planu komercjalizacji to kalkulacja bez harmonogramu. Nie wiesz kiedy nastąpią przychody, jakie są koszty per etap, i kiedy potrzebujesz kolejnego zastrzyku kapitału. Ryzyko: błędna prognoza cash flow prowadzi do kryzysu płynności przy skalowaniu.</t>
  </si>
  <si>
    <t xml:space="preserve">Circular Design zastosowany. Twój grill ma wbudowaną ścieżkę do recyklingu i modularność naprawy – to argument sprzedażowy i przyszłościowy wymóg regulacyjny.</t>
  </si>
  <si>
    <t xml:space="preserve">Eco-storytelling przygotowany z twardymi danymi. Twoja komunikacja ekologiczna jest wiarygodna, weryfikowalna i sprzedaje innowację.</t>
  </si>
  <si>
    <t xml:space="preserve">Partnerstwa w ekosystemie zielonej energii nawiązane. Twój grill stał się elementem szerszej wartości dla klienta i zyskał switching costs.</t>
  </si>
  <si>
    <t xml:space="preserve">PRAWDA</t>
  </si>
  <si>
    <t xml:space="preserve">FAŁSZ</t>
  </si>
  <si>
    <t xml:space="preserve">Processes_Id</t>
  </si>
  <si>
    <t xml:space="preserve">Processes_Desc</t>
  </si>
  <si>
    <t xml:space="preserve">Processes_Long_Desc</t>
  </si>
  <si>
    <t xml:space="preserve">Processes_Color</t>
  </si>
  <si>
    <t xml:space="preserve">Processes_Weight</t>
  </si>
  <si>
    <t xml:space="preserve">Default_Weight_X</t>
  </si>
  <si>
    <t xml:space="preserve">ZYSK</t>
  </si>
  <si>
    <t xml:space="preserve">Oś Y: Rentowność innowacji (Ujemna → Próg rentowności → Zysk jednostkowy → Wysoka marża skalowalna) | Oś X: Etap komercjalizacji (Prototyp → Pilotaż → Wdrożenie → Pełna komercjalizacja). Zakotwiczenie: Osterwalder – BMC: Strumienie Przychodów vs Struktura Kosztów + Testing Business Ideas: hipotezy opłacalności.</t>
  </si>
  <si>
    <t xml:space="preserve">1F3864</t>
  </si>
  <si>
    <t xml:space="preserve">WIDOCZNOŚĆ</t>
  </si>
  <si>
    <t xml:space="preserve">Oś Y: Rozpoznawalność innowacji (Nieznana → Niszowa → Rośnie → Szeroko rozpoznawalna) | Oś X: Trafność przekazu innowacji (Ogólny → Skierowany → Rezonujący → Viralowy/Word-of-mouth). Zakotwiczenie: Osterwalder – BMC: Kanały + AARRR: Acquisition + Activation.</t>
  </si>
  <si>
    <t xml:space="preserve">2E75B6</t>
  </si>
  <si>
    <t xml:space="preserve">UDZIAŁ W RYNKU</t>
  </si>
  <si>
    <t xml:space="preserve">Oś Y: Lojalność pierwszych klientów (Jednorazowi → Powracający → Stali → Ambasadorzy/Społeczność) | Oś X: Dyfuzja innowacji wg Rogersa (Entuzjaści → Wczesna większość → Główny nurt → Lider kategorii). Zakotwiczenie: Rogers: Diffusion of Innovation + Moore: Crossing the Chasm + AARRR: Retention + Referral.</t>
  </si>
  <si>
    <t xml:space="preserve">375623</t>
  </si>
  <si>
    <t xml:space="preserve">MOTYWACJA ZESPOŁU</t>
  </si>
  <si>
    <t xml:space="preserve">Oś Y: Morale i zaangażowanie (Demotywacja → Rezygnacja → Zaangażowanie → Wysoka energia/Flow) | Oś X: Klarowność kierunku innowacji (Chaos → Hipotezy → Dowody → Jasna wizja). Zakotwiczenie: Lean Startup: Validated Learning jako motor motywacji + Testing Business Ideas: learning loops jako rytm pracy.</t>
  </si>
  <si>
    <t xml:space="preserve">7030A0</t>
  </si>
  <si>
    <t xml:space="preserve">Weights_X</t>
  </si>
  <si>
    <t xml:space="preserve">Weights_Y</t>
  </si>
  <si>
    <t xml:space="preserve">Boosters_X</t>
  </si>
  <si>
    <t xml:space="preserve">Boosters_Y</t>
  </si>
  <si>
    <t xml:space="preserve">Process_Name</t>
  </si>
  <si>
    <t xml:space="preserve">PRZYGOTOWAWCZA</t>
  </si>
  <si>
    <t xml:space="preserve">RYNKOWA</t>
  </si>
  <si>
    <t xml:space="preserve">Enabler_Logic</t>
  </si>
  <si>
    <t xml:space="preserve">Mapa Wartości musi być projektowana w odniesieniu do konkretnego Profilu Klienta – inaczej tworzysz rozwiązanie bez problemu do rozwiązania. Pain Relievers bez Pains to fikcja.</t>
  </si>
  <si>
    <t xml:space="preserve">Wywiady powinny być przeprowadzane z wcześniej zdefiniowaną grupą docelową – bez segmentacji rozmawiasz z przypadkowymi ludźmi i nie możesz uogólniać wniosków.</t>
  </si>
  <si>
    <t xml:space="preserve">Ankieta musi być skierowana do konkretnego segmentu – generyczna ankieta daje generyczne (i bezużyteczne) wyniki.</t>
  </si>
  <si>
    <t xml:space="preserve">Karta Testu atrakcyjności bazuje na hipotezach sformułowanych na Mapie Założeń – bez niej testujesz bez pytania które chcesz zadać.</t>
  </si>
  <si>
    <t xml:space="preserve">Test musi weryfikować dopasowanie wartości do konkretnego profilu klienta – bez Profilu Klienta nie wiesz kogo pytasz.</t>
  </si>
  <si>
    <t xml:space="preserve">Karta Testu wykonalności sprawdza konkretne hipotezy wykonalności wcześniej zidentyfikowane – nie możesz testować tego co nieokreślone.</t>
  </si>
  <si>
    <t xml:space="preserve">Test opłacalności weryfikuje konkretne hipotezy finansowe – bez nich nie masz kryterium sukcesu testu.</t>
  </si>
  <si>
    <t xml:space="preserve">Model finansowy dostarcza liczb (próg rentowności, CAC threshold, margin target) których potrzebujesz do zaprojektowania sensownego kryterium sukcesu eksperymentu.</t>
  </si>
  <si>
    <t xml:space="preserve">Priorytetyzacja hipotez musi wychodzić z Mapy Założeń która porządkuje je według ważności i dokumentacji – bez niej wybierasz ulubione a nie najważniejsze.</t>
  </si>
  <si>
    <t xml:space="preserve">Priorytetyzacja powinna uwzględniać wyniki przynajmniej jednego testu atrakcyjności – inaczej to opinia a nie decyzja oparta na dowodach.</t>
  </si>
  <si>
    <t xml:space="preserve">Wejście na rynek musi być poprzedzone wyborem hipotez do weryfikacji – bez tego Mapa 2 jest chaosem bez kierunku.</t>
  </si>
  <si>
    <t xml:space="preserve">Prototyp koncepcji musi istnieć przed eksperymentami rynkowymi – klienci muszą mieć na co reagować.</t>
  </si>
  <si>
    <t xml:space="preserve">Kampania pre-sprzedaży wymaga landing page który zbiera zainteresowanie i konwertuje ruch w zapisy/zamówienia.</t>
  </si>
  <si>
    <t xml:space="preserve">Social media napędzają ruch do kampanii pre-order – bez zasięgu organicznego kampania jest niewidoczna.</t>
  </si>
  <si>
    <t xml:space="preserve">Budowa prototypu funkcjonalnego wymaga wcześniejszej walidacji wykonalności – żeby nie budować w kierunku udowodnionej niemożliwości.</t>
  </si>
  <si>
    <t xml:space="preserve">Testy użytkowności przeprowadza się na działającym prototypie – testowanie konceptu daje inne dane niż testowanie produktu.</t>
  </si>
  <si>
    <t xml:space="preserve">Program pilotażowy wymaga działającego prototypu który klienci będą realnie używać przez tygodnie.</t>
  </si>
  <si>
    <t xml:space="preserve">Pilotaż powinien uwzględniać wnioski z testów użyteczności – żeby nie obciążać klientów pilotażowych problemami które można było wcześniej wykryć.</t>
  </si>
  <si>
    <t xml:space="preserve">Certyfikacja ekologiczna opiera się na danych z analizy LCA – organy certyfikujące wymagają udokumentowanych liczb, nie deklaracji.</t>
  </si>
  <si>
    <t xml:space="preserve">Ekspansja na nowe segmenty bazuje na sprawdzonych mechanizmach z pilotażu – bez niego skalujesz nieznane.</t>
  </si>
  <si>
    <t xml:space="preserve">Model finansowy skalowania musi bazować na planie komercjalizacji – potrzebujesz harmonogramu żeby prognozować cash flow.</t>
  </si>
  <si>
    <t xml:space="preserve">📊  EKONOMIA GRY — IGNITE S2: Innowacja v2</t>
  </si>
  <si>
    <t xml:space="preserve">Waluta: BITY  |  Zasada ogólna: Zasoby są ograniczone — gracz musi strategicznie wybierać hipotezy do weryfikacji</t>
  </si>
  <si>
    <t xml:space="preserve">MAPA 1 — Budżet startowy (Faza Weryfikacji Hipotez)</t>
  </si>
  <si>
    <t xml:space="preserve">Budżet startowy</t>
  </si>
  <si>
    <t xml:space="preserve">45 bitów</t>
  </si>
  <si>
    <t xml:space="preserve">Wystarczy na 14–17 z 24 dostępnych kart (średni koszt karty = 2,5 bita)</t>
  </si>
  <si>
    <t xml:space="preserve">Karty obowiązkowe</t>
  </si>
  <si>
    <t xml:space="preserve">Karta 1 + 13 + 14</t>
  </si>
  <si>
    <t xml:space="preserve">Łączny koszt: 8 bitów — enablery do Uruchomienia eksperymentów (karta 23)</t>
  </si>
  <si>
    <t xml:space="preserve">Pozostały budżet po mandatory</t>
  </si>
  <si>
    <t xml:space="preserve">37 bitów</t>
  </si>
  <si>
    <t xml:space="preserve">Pozwala zagrać ~15 dodatkowych kart PRE według strategii</t>
  </si>
  <si>
    <t xml:space="preserve">Cel projektowy Mapa 1</t>
  </si>
  <si>
    <t xml:space="preserve">14–17 kart zagranych</t>
  </si>
  <si>
    <t xml:space="preserve">Gracz nie może zagrać wszystkich — musi priorytetyzować obszary badawcze</t>
  </si>
  <si>
    <t xml:space="preserve">Nowe karty green (44)</t>
  </si>
  <si>
    <t xml:space="preserve">Circular Design – 2 bity</t>
  </si>
  <si>
    <t xml:space="preserve">Opcjonalna karta zielonej ekonomii wzmacniająca certyfikację i Mapa 2</t>
  </si>
  <si>
    <t xml:space="preserve">MAPA 2 — Budżet eksperymentów rynkowych (dynamiczny)</t>
  </si>
  <si>
    <t xml:space="preserve">Budżet bazowy</t>
  </si>
  <si>
    <t xml:space="preserve">34 bity</t>
  </si>
  <si>
    <t xml:space="preserve">Każdy zespół startuje na Mapie 2 z tym samym bazowym budżetem</t>
  </si>
  <si>
    <t xml:space="preserve">Bonus przygotowania</t>
  </si>
  <si>
    <t xml:space="preserve">(kart_PRE / 24) × 14 bitów</t>
  </si>
  <si>
    <t xml:space="preserve">Maksymalny bonus: +14 bitów (jeśli zagrano wszystkie 24 karty PRE)</t>
  </si>
  <si>
    <t xml:space="preserve">Formuła aplikacji</t>
  </si>
  <si>
    <t xml:space="preserve">Aplikacja wylicza budżet Map 2 automatycznie po zakończeniu Map 1</t>
  </si>
  <si>
    <t xml:space="preserve">Nowe karty green (45, 46)</t>
  </si>
  <si>
    <t xml:space="preserve">Eco-storytelling 3b + Partnerstwo 4b</t>
  </si>
  <si>
    <t xml:space="preserve">Opcjonalne karty zielonej ekonomii w Mapie 2</t>
  </si>
  <si>
    <t xml:space="preserve">MNOŻNIK PRZYGOTOWANIA — wpływ Mapy 1 na efekty Mapy 2</t>
  </si>
  <si>
    <t xml:space="preserve">Formuła</t>
  </si>
  <si>
    <t xml:space="preserve">Mnożnik_Wagi = MIN(2,0 ; 1 + kart_PRE_zagranych / 24)</t>
  </si>
  <si>
    <t xml:space="preserve">3 kart PRE</t>
  </si>
  <si>
    <t xml:space="preserve">×1,13</t>
  </si>
  <si>
    <t xml:space="preserve">minimum — efekty rynkowe o 13% silniejsze niż bazowe</t>
  </si>
  <si>
    <t xml:space="preserve">12 kart PRE</t>
  </si>
  <si>
    <t xml:space="preserve">×1,50</t>
  </si>
  <si>
    <t xml:space="preserve">dobre przygotowanie</t>
  </si>
  <si>
    <t xml:space="preserve">24 kart PRE</t>
  </si>
  <si>
    <t xml:space="preserve">×2,00</t>
  </si>
  <si>
    <t xml:space="preserve">maximum — każda karta rynkowa działa 2× silniej niż bazowo</t>
  </si>
  <si>
    <t xml:space="preserve">MECHANIKA HIPOTEZ</t>
  </si>
  <si>
    <t xml:space="preserve">Pula hipotez startowa</t>
  </si>
  <si>
    <t xml:space="preserve">10 hipotez do wyboru</t>
  </si>
  <si>
    <t xml:space="preserve">np.: grill na wodór, podczerwień, IoT/smart, circular/modular, bioetanol, solar-powered, electric induction, slow-burn charcoal+filter, grill dla leworęcznych, wersja dla niepełnosprawnych</t>
  </si>
  <si>
    <t xml:space="preserve">Wybór do analizy</t>
  </si>
  <si>
    <t xml:space="preserve">Zespół wybiera 4</t>
  </si>
  <si>
    <t xml:space="preserve">Na Mapie 1 analizuje się 4 wybrane hipotezy</t>
  </si>
  <si>
    <t xml:space="preserve">Wybór do Mapy 2</t>
  </si>
  <si>
    <t xml:space="preserve">Finalnie 2 hipotezy</t>
  </si>
  <si>
    <t xml:space="preserve">Karta 20 formalizuje wybór 2 hipotez przechodzących na Mapę 2</t>
  </si>
  <si>
    <t xml:space="preserve">Rozgrywka per hipoteza</t>
  </si>
  <si>
    <t xml:space="preserve">Mapa 2 działa per hipoteza</t>
  </si>
  <si>
    <t xml:space="preserve">Zasoby Mapy 2 są alokowane między dwie hipotezy — dywersyfikacja vs koncentracja</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</si>
</sst>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sz val="11"/>
      <color theme="1"/>
      <name val="Aptos Narrow"/>
      <family val="0"/>
      <charset val="1"/>
    </font>
    <font>
      <sz val="11"/>
      <color theme="1"/>
      <name val="Arial"/>
      <family val="0"/>
      <charset val="1"/>
    </font>
    <font>
      <sz val="11"/>
      <color theme="1"/>
      <name val="Consolas"/>
      <family val="0"/>
      <charset val="1"/>
    </font>
    <font>
      <b val="true"/>
      <sz val="10"/>
      <color rgb="FFFFFFFF"/>
      <name val="Arial"/>
      <family val="0"/>
      <charset val="1"/>
    </font>
    <font>
      <sz val="9"/>
      <color rgb="FF000000"/>
      <name val="Arial"/>
      <family val="0"/>
      <charset val="1"/>
    </font>
    <font>
      <sz val="10"/>
      <color theme="1"/>
      <name val="Arial"/>
      <family val="0"/>
      <charset val="1"/>
    </font>
    <font>
      <sz val="10"/>
      <color theme="1"/>
      <name val="Aptos Narrow"/>
      <family val="0"/>
      <charset val="1"/>
    </font>
    <font>
      <sz val="9"/>
      <color theme="1"/>
      <name val="Arial"/>
      <family val="0"/>
      <charset val="1"/>
    </font>
    <font>
      <b val="true"/>
      <sz val="9"/>
      <color rgb="FF000000"/>
      <name val="Arial"/>
      <family val="0"/>
      <charset val="1"/>
    </font>
  </fonts>
  <fills count="16">
    <fill>
      <patternFill patternType="none"/>
    </fill>
    <fill>
      <patternFill patternType="gray125"/>
    </fill>
    <fill>
      <patternFill patternType="solid">
        <fgColor rgb="FF1F3864"/>
        <bgColor rgb="FF333399"/>
      </patternFill>
    </fill>
    <fill>
      <patternFill patternType="solid">
        <fgColor rgb="FFF2F7FB"/>
        <bgColor rgb="FFFFFFFF"/>
      </patternFill>
    </fill>
    <fill>
      <patternFill patternType="solid">
        <fgColor rgb="FFBDD7EE"/>
        <bgColor rgb="FFCCCCCC"/>
      </patternFill>
    </fill>
    <fill>
      <patternFill patternType="solid">
        <fgColor rgb="FFFFFFFF"/>
        <bgColor rgb="FFF2F7FB"/>
      </patternFill>
    </fill>
    <fill>
      <patternFill patternType="solid">
        <fgColor rgb="FFFFD966"/>
        <bgColor rgb="FFFFCC00"/>
      </patternFill>
    </fill>
    <fill>
      <patternFill patternType="solid">
        <fgColor rgb="FFC6EFCE"/>
        <bgColor rgb="FFE2EFDA"/>
      </patternFill>
    </fill>
    <fill>
      <patternFill patternType="solid">
        <fgColor rgb="FFE2EFDA"/>
        <bgColor rgb="FFD6E4F0"/>
      </patternFill>
    </fill>
    <fill>
      <patternFill patternType="solid">
        <fgColor rgb="FFFFE0E0"/>
        <bgColor rgb="FFEAE0F0"/>
      </patternFill>
    </fill>
    <fill>
      <patternFill patternType="solid">
        <fgColor rgb="FF2E75B6"/>
        <bgColor rgb="FF0066CC"/>
      </patternFill>
    </fill>
    <fill>
      <patternFill patternType="solid">
        <fgColor rgb="FF375623"/>
        <bgColor rgb="FF333300"/>
      </patternFill>
    </fill>
    <fill>
      <patternFill patternType="solid">
        <fgColor rgb="FFFFF2CC"/>
        <bgColor rgb="FFFFE0E0"/>
      </patternFill>
    </fill>
    <fill>
      <patternFill patternType="solid">
        <fgColor rgb="FFD6E4F0"/>
        <bgColor rgb="FFEAE0F0"/>
      </patternFill>
    </fill>
    <fill>
      <patternFill patternType="solid">
        <fgColor rgb="FFEAE0F0"/>
        <bgColor rgb="FFD6E4F0"/>
      </patternFill>
    </fill>
    <fill>
      <patternFill patternType="solid">
        <fgColor rgb="FF7030A0"/>
        <bgColor rgb="FF993366"/>
      </patternFill>
    </fill>
  </fills>
  <borders count="3">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8" fillId="5" borderId="1" xfId="0" applyFont="true" applyBorder="true" applyAlignment="true" applyProtection="true">
      <alignment horizontal="general" vertical="top" textRotation="0" wrapText="tru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true" applyAlignment="true" applyProtection="true">
      <alignment horizontal="right"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8" fillId="8" borderId="1"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8" fillId="9" borderId="1" xfId="0" applyFont="true" applyBorder="tru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1" fillId="4" borderId="2" xfId="0" applyFont="true" applyBorder="true" applyAlignment="true" applyProtection="true">
      <alignment horizontal="general" vertical="top" textRotation="0" wrapText="true" indent="0" shrinkToFit="false"/>
      <protection locked="true" hidden="false"/>
    </xf>
    <xf numFmtId="164" fontId="11" fillId="7" borderId="2" xfId="0" applyFont="true" applyBorder="tru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7" fillId="10" borderId="1" xfId="0" applyFont="true" applyBorder="true" applyAlignment="true" applyProtection="true">
      <alignment horizontal="center" vertical="center" textRotation="0" wrapText="true" indent="0" shrinkToFit="false"/>
      <protection locked="true" hidden="false"/>
    </xf>
    <xf numFmtId="164" fontId="7" fillId="11" borderId="1" xfId="0" applyFont="true" applyBorder="true" applyAlignment="true" applyProtection="true">
      <alignment horizontal="center" vertical="center" textRotation="0" wrapText="true" indent="0" shrinkToFit="false"/>
      <protection locked="true" hidden="false"/>
    </xf>
    <xf numFmtId="164" fontId="8" fillId="12" borderId="1" xfId="0" applyFont="true" applyBorder="true" applyAlignment="true" applyProtection="true">
      <alignment horizontal="general" vertical="top" textRotation="0" wrapText="true" indent="0" shrinkToFit="false"/>
      <protection locked="true" hidden="false"/>
    </xf>
    <xf numFmtId="164" fontId="8" fillId="13" borderId="1" xfId="0" applyFont="true" applyBorder="true" applyAlignment="true" applyProtection="true">
      <alignment horizontal="general" vertical="top" textRotation="0" wrapText="true" indent="0" shrinkToFit="false"/>
      <protection locked="true" hidden="false"/>
    </xf>
    <xf numFmtId="164" fontId="8" fillId="14"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7" fillId="15" borderId="1" xfId="0" applyFont="true" applyBorder="true" applyAlignment="true" applyProtection="true">
      <alignment horizontal="center" vertical="center" textRotation="0" wrapText="true" indent="0" shrinkToFit="false"/>
      <protection locked="true" hidden="false"/>
    </xf>
    <xf numFmtId="164" fontId="8" fillId="12" borderId="1" xfId="0" applyFont="true" applyBorder="true" applyAlignment="true" applyProtection="true">
      <alignment horizontal="center" vertical="center" textRotation="0" wrapText="false" indent="0" shrinkToFit="false"/>
      <protection locked="true" hidden="false"/>
    </xf>
    <xf numFmtId="164" fontId="8" fillId="13" borderId="1" xfId="0" applyFont="true" applyBorder="true" applyAlignment="true" applyProtection="true">
      <alignment horizontal="center" vertical="center" textRotation="0" wrapText="false" indent="0" shrinkToFit="false"/>
      <protection locked="true" hidden="false"/>
    </xf>
    <xf numFmtId="164" fontId="8" fillId="8" borderId="1" xfId="0" applyFont="true" applyBorder="true" applyAlignment="true" applyProtection="true">
      <alignment horizontal="center" vertical="center" textRotation="0" wrapText="false" indent="0" shrinkToFit="false"/>
      <protection locked="true" hidden="false"/>
    </xf>
    <xf numFmtId="164" fontId="8" fillId="14" borderId="1" xfId="0" applyFont="true" applyBorder="true" applyAlignment="true" applyProtection="true">
      <alignment horizontal="center" vertical="center"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Calibri"/>
        <charset val="1"/>
        <family val="2"/>
        <color rgb="FF000000"/>
        <sz val="11"/>
      </font>
      <fill>
        <patternFill>
          <bgColor rgb="FF00FF00"/>
        </patternFill>
      </fill>
    </dxf>
    <dxf>
      <font>
        <name val="Calibri"/>
        <charset val="1"/>
        <family val="2"/>
        <color rgb="FF000000"/>
        <sz val="11"/>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E2EFDA"/>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7FB"/>
      <rgbColor rgb="FFC6EFCE"/>
      <rgbColor rgb="FFFFE0E0"/>
      <rgbColor rgb="FFCCCCCC"/>
      <rgbColor rgb="FFEAE0F0"/>
      <rgbColor rgb="FFD6E4F0"/>
      <rgbColor rgb="FFFFD966"/>
      <rgbColor rgb="FF2E75B6"/>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8576"/>
  <sheetViews>
    <sheetView showFormulas="false" showGridLines="true" showRowColHeaders="true" showZeros="true" rightToLeft="false" tabSelected="true" showOutlineSymbols="true" defaultGridColor="true" view="normal" topLeftCell="G1" colorId="64" zoomScale="110" zoomScaleNormal="110" zoomScalePageLayoutView="100" workbookViewId="0">
      <selection pane="topLeft" activeCell="I2" activeCellId="0" sqref="I2"/>
    </sheetView>
  </sheetViews>
  <sheetFormatPr defaultColWidth="11.53515625" defaultRowHeight="15" customHeight="true" zeroHeight="false" outlineLevelRow="0" outlineLevelCol="0"/>
  <cols>
    <col collapsed="false" customWidth="true" hidden="false" outlineLevel="0" max="1" min="1" style="1" width="25.6"/>
    <col collapsed="false" customWidth="true" hidden="false" outlineLevel="0" max="2" min="2" style="1" width="87.08"/>
    <col collapsed="false" customWidth="true" hidden="false" outlineLevel="0" max="3" min="3" style="1" width="91.93"/>
    <col collapsed="false" customWidth="true" hidden="false" outlineLevel="0" max="4" min="4" style="1" width="31.44"/>
    <col collapsed="false" customWidth="true" hidden="false" outlineLevel="0" max="5" min="5" style="1" width="25.17"/>
    <col collapsed="false" customWidth="true" hidden="false" outlineLevel="0" max="6" min="6" style="1" width="10.51"/>
    <col collapsed="false" customWidth="true" hidden="false" outlineLevel="0" max="7" min="7" style="1" width="13.41"/>
    <col collapsed="false" customWidth="true" hidden="false" outlineLevel="0" max="8" min="8" style="1" width="28.7"/>
    <col collapsed="false" customWidth="true" hidden="false" outlineLevel="0" max="9" min="9" style="1" width="18.96"/>
    <col collapsed="false" customWidth="true" hidden="false" outlineLevel="0" max="10" min="10" style="1" width="57.29"/>
    <col collapsed="false" customWidth="true" hidden="false" outlineLevel="0" max="11" min="11" style="1" width="37.84"/>
    <col collapsed="false" customWidth="true" hidden="false" outlineLevel="0" max="26" min="12" style="1" width="8.48"/>
  </cols>
  <sheetData>
    <row r="1" customFormat="false" ht="13.5" hidden="false" customHeight="true" outlineLevel="0" collapsed="false">
      <c r="A1" s="2" t="s">
        <v>0</v>
      </c>
      <c r="B1" s="2" t="s">
        <v>1</v>
      </c>
      <c r="C1" s="2" t="s">
        <v>2</v>
      </c>
      <c r="D1" s="2" t="s">
        <v>3</v>
      </c>
      <c r="E1" s="2" t="s">
        <v>4</v>
      </c>
      <c r="F1" s="2" t="s">
        <v>5</v>
      </c>
      <c r="G1" s="2" t="s">
        <v>6</v>
      </c>
      <c r="H1" s="2" t="s">
        <v>7</v>
      </c>
      <c r="I1" s="2" t="s">
        <v>8</v>
      </c>
      <c r="J1" s="2" t="s">
        <v>9</v>
      </c>
      <c r="K1" s="3" t="s">
        <v>10</v>
      </c>
    </row>
    <row r="2" customFormat="false" ht="13.5" hidden="false" customHeight="true" outlineLevel="0" collapsed="false">
      <c r="A2" s="3" t="s">
        <v>11</v>
      </c>
      <c r="B2" s="4" t="s">
        <v>12</v>
      </c>
      <c r="C2" s="4" t="s">
        <v>13</v>
      </c>
      <c r="D2" s="2"/>
      <c r="E2" s="2"/>
      <c r="F2" s="2" t="n">
        <v>8</v>
      </c>
      <c r="G2" s="2" t="n">
        <v>8</v>
      </c>
      <c r="H2" s="2" t="s">
        <v>14</v>
      </c>
      <c r="I2" s="5" t="s">
        <v>15</v>
      </c>
      <c r="J2" s="3" t="s">
        <v>16</v>
      </c>
      <c r="K2" s="3" t="s">
        <v>17</v>
      </c>
    </row>
    <row r="3" customFormat="false" ht="13.5" hidden="false" customHeight="true" outlineLevel="0" collapsed="false">
      <c r="A3" s="3" t="s">
        <v>18</v>
      </c>
      <c r="B3" s="2" t="s">
        <v>19</v>
      </c>
      <c r="C3" s="2" t="s">
        <v>20</v>
      </c>
      <c r="D3" s="2" t="s">
        <v>21</v>
      </c>
      <c r="E3" s="2" t="s">
        <v>22</v>
      </c>
      <c r="F3" s="2" t="n">
        <v>8</v>
      </c>
      <c r="G3" s="2" t="n">
        <v>8</v>
      </c>
      <c r="H3" s="3" t="s">
        <v>15</v>
      </c>
      <c r="I3" s="2" t="s">
        <v>23</v>
      </c>
      <c r="J3" s="2" t="s">
        <v>24</v>
      </c>
    </row>
    <row r="4" customFormat="false" ht="13.5" hidden="false" customHeight="true" outlineLevel="0" collapsed="false"/>
    <row r="5" customFormat="false" ht="13.5" hidden="false" customHeight="true" outlineLevel="0" collapsed="false"/>
    <row r="6" customFormat="false" ht="13.5" hidden="false" customHeight="true" outlineLevel="0" collapsed="false"/>
    <row r="7" customFormat="false" ht="13.5" hidden="false" customHeight="true" outlineLevel="0" collapsed="false"/>
    <row r="8" customFormat="false" ht="13.5" hidden="false" customHeight="true" outlineLevel="0" collapsed="false"/>
    <row r="9" customFormat="false" ht="13.5" hidden="false" customHeight="true" outlineLevel="0" collapsed="false"/>
    <row r="10" customFormat="false" ht="13.5" hidden="false" customHeight="true" outlineLevel="0" collapsed="false"/>
    <row r="11" customFormat="false" ht="13.5" hidden="false" customHeight="true" outlineLevel="0" collapsed="false"/>
    <row r="12" customFormat="false" ht="13.5" hidden="false" customHeight="true" outlineLevel="0" collapsed="false"/>
    <row r="13" customFormat="false" ht="13.5" hidden="false" customHeight="true" outlineLevel="0" collapsed="false"/>
    <row r="14" customFormat="false" ht="13.5" hidden="false" customHeight="true" outlineLevel="0" collapsed="false"/>
    <row r="15" customFormat="false" ht="13.5" hidden="false" customHeight="true" outlineLevel="0" collapsed="false"/>
    <row r="16" customFormat="false" ht="13.5" hidden="false" customHeight="true" outlineLevel="0" collapsed="false"/>
    <row r="17" customFormat="false" ht="13.5" hidden="false" customHeight="true" outlineLevel="0" collapsed="false"/>
    <row r="18" customFormat="false" ht="13.5" hidden="false" customHeight="true" outlineLevel="0" collapsed="false"/>
    <row r="19" customFormat="false" ht="13.5" hidden="false" customHeight="true" outlineLevel="0" collapsed="false"/>
    <row r="20" customFormat="false" ht="13.5" hidden="false" customHeight="true" outlineLevel="0" collapsed="false"/>
    <row r="21" customFormat="false" ht="13.5" hidden="false" customHeight="true" outlineLevel="0" collapsed="false"/>
    <row r="22" customFormat="false" ht="13.5" hidden="false" customHeight="true" outlineLevel="0" collapsed="false"/>
    <row r="23" customFormat="false" ht="13.5" hidden="false" customHeight="true" outlineLevel="0" collapsed="false"/>
    <row r="24" customFormat="false" ht="13.5" hidden="false" customHeight="true" outlineLevel="0" collapsed="false"/>
    <row r="25" customFormat="false" ht="13.5" hidden="false" customHeight="true" outlineLevel="0" collapsed="false"/>
    <row r="26" customFormat="false" ht="13.5" hidden="false" customHeight="true" outlineLevel="0" collapsed="false"/>
    <row r="27" customFormat="false" ht="13.5" hidden="false" customHeight="true" outlineLevel="0" collapsed="false"/>
    <row r="28" customFormat="false" ht="13.5" hidden="false" customHeight="true" outlineLevel="0" collapsed="false"/>
    <row r="29" customFormat="false" ht="13.5" hidden="false" customHeight="true" outlineLevel="0" collapsed="false"/>
    <row r="30" customFormat="false" ht="13.5" hidden="false" customHeight="true" outlineLevel="0" collapsed="false"/>
    <row r="31" customFormat="false" ht="13.5" hidden="false" customHeight="true" outlineLevel="0" collapsed="false"/>
    <row r="32" customFormat="false" ht="13.5" hidden="false" customHeight="true" outlineLevel="0" collapsed="false"/>
    <row r="33" customFormat="false" ht="13.5" hidden="false" customHeight="true" outlineLevel="0" collapsed="false"/>
    <row r="34" customFormat="false" ht="13.5" hidden="false" customHeight="true" outlineLevel="0" collapsed="false"/>
    <row r="35" customFormat="false" ht="13.5" hidden="false" customHeight="true" outlineLevel="0" collapsed="false"/>
    <row r="36" customFormat="false" ht="13.5" hidden="false" customHeight="true" outlineLevel="0" collapsed="false"/>
    <row r="37" customFormat="false" ht="13.5" hidden="false" customHeight="true" outlineLevel="0" collapsed="false"/>
    <row r="38" customFormat="false" ht="13.5" hidden="false" customHeight="true" outlineLevel="0" collapsed="false"/>
    <row r="39" customFormat="false" ht="13.5" hidden="false" customHeight="true" outlineLevel="0" collapsed="false"/>
    <row r="40" customFormat="false" ht="13.5" hidden="false" customHeight="true" outlineLevel="0" collapsed="false"/>
    <row r="41" customFormat="false" ht="13.5" hidden="false" customHeight="true" outlineLevel="0" collapsed="false"/>
    <row r="42" customFormat="false" ht="13.5" hidden="false" customHeight="true" outlineLevel="0" collapsed="false"/>
    <row r="43" customFormat="false" ht="13.5" hidden="false" customHeight="true" outlineLevel="0" collapsed="false"/>
    <row r="44" customFormat="false" ht="13.5" hidden="false" customHeight="true" outlineLevel="0" collapsed="false"/>
    <row r="45" customFormat="false" ht="13.5" hidden="false" customHeight="true" outlineLevel="0" collapsed="false"/>
    <row r="46" customFormat="false" ht="13.5" hidden="false" customHeight="true" outlineLevel="0" collapsed="false"/>
    <row r="47" customFormat="false" ht="13.5" hidden="false" customHeight="true" outlineLevel="0" collapsed="false"/>
    <row r="48" customFormat="false" ht="13.5" hidden="false" customHeight="true" outlineLevel="0" collapsed="false"/>
    <row r="49" customFormat="false" ht="13.5" hidden="false" customHeight="true" outlineLevel="0" collapsed="false"/>
    <row r="50" customFormat="false" ht="13.5" hidden="false" customHeight="true" outlineLevel="0" collapsed="false"/>
    <row r="51" customFormat="false" ht="13.5" hidden="false" customHeight="true" outlineLevel="0" collapsed="false"/>
    <row r="52" customFormat="false" ht="13.5" hidden="false" customHeight="true" outlineLevel="0" collapsed="false"/>
    <row r="53" customFormat="false" ht="13.5" hidden="false" customHeight="true" outlineLevel="0" collapsed="false"/>
    <row r="54" customFormat="false" ht="13.5" hidden="false" customHeight="true" outlineLevel="0" collapsed="false"/>
    <row r="55" customFormat="false" ht="13.5" hidden="false" customHeight="true" outlineLevel="0" collapsed="false"/>
    <row r="56" customFormat="false" ht="13.5" hidden="false" customHeight="true" outlineLevel="0" collapsed="false"/>
    <row r="57" customFormat="false" ht="13.5" hidden="false" customHeight="true" outlineLevel="0" collapsed="false"/>
    <row r="58" customFormat="false" ht="13.5" hidden="false" customHeight="true" outlineLevel="0" collapsed="false"/>
    <row r="59" customFormat="false" ht="13.5" hidden="false" customHeight="true" outlineLevel="0" collapsed="false"/>
    <row r="60" customFormat="false" ht="13.5" hidden="false" customHeight="true" outlineLevel="0" collapsed="false"/>
    <row r="61" customFormat="false" ht="13.5" hidden="false" customHeight="true" outlineLevel="0" collapsed="false"/>
    <row r="62" customFormat="false" ht="13.5" hidden="false" customHeight="true" outlineLevel="0" collapsed="false"/>
    <row r="63" customFormat="false" ht="13.5" hidden="false" customHeight="true" outlineLevel="0" collapsed="false"/>
    <row r="64" customFormat="false" ht="13.5" hidden="false" customHeight="true" outlineLevel="0" collapsed="false"/>
    <row r="65" customFormat="false" ht="13.5" hidden="false" customHeight="true" outlineLevel="0" collapsed="false"/>
    <row r="66" customFormat="false" ht="13.5" hidden="false" customHeight="true" outlineLevel="0" collapsed="false"/>
    <row r="67" customFormat="false" ht="13.5" hidden="false" customHeight="true" outlineLevel="0" collapsed="false"/>
    <row r="68" customFormat="false" ht="13.5" hidden="false" customHeight="true" outlineLevel="0" collapsed="false"/>
    <row r="69" customFormat="false" ht="13.5" hidden="false" customHeight="true" outlineLevel="0" collapsed="false"/>
    <row r="70" customFormat="false" ht="13.5" hidden="false" customHeight="true" outlineLevel="0" collapsed="false"/>
    <row r="71" customFormat="false" ht="13.5" hidden="false" customHeight="true" outlineLevel="0" collapsed="false"/>
    <row r="72" customFormat="false" ht="13.5" hidden="false" customHeight="true" outlineLevel="0" collapsed="false"/>
    <row r="73" customFormat="false" ht="13.5" hidden="false" customHeight="true" outlineLevel="0" collapsed="false"/>
    <row r="74" customFormat="false" ht="13.5" hidden="false" customHeight="true" outlineLevel="0" collapsed="false"/>
    <row r="75" customFormat="false" ht="13.5" hidden="false" customHeight="true" outlineLevel="0" collapsed="false"/>
    <row r="76" customFormat="false" ht="13.5" hidden="false" customHeight="true" outlineLevel="0" collapsed="false"/>
    <row r="77" customFormat="false" ht="13.5" hidden="false" customHeight="true" outlineLevel="0" collapsed="false"/>
    <row r="78" customFormat="false" ht="13.5" hidden="false" customHeight="true" outlineLevel="0" collapsed="false"/>
    <row r="79" customFormat="false" ht="13.5" hidden="false" customHeight="true" outlineLevel="0" collapsed="false"/>
    <row r="80" customFormat="false" ht="13.5" hidden="false" customHeight="true" outlineLevel="0" collapsed="false"/>
    <row r="81" customFormat="false" ht="13.5" hidden="false" customHeight="true" outlineLevel="0" collapsed="false"/>
    <row r="82" customFormat="false" ht="13.5" hidden="false" customHeight="true" outlineLevel="0" collapsed="false"/>
    <row r="83" customFormat="false" ht="13.5" hidden="false" customHeight="true" outlineLevel="0" collapsed="false"/>
    <row r="84" customFormat="false" ht="13.5" hidden="false" customHeight="true" outlineLevel="0" collapsed="false"/>
    <row r="85" customFormat="false" ht="13.5" hidden="false" customHeight="true" outlineLevel="0" collapsed="false"/>
    <row r="86" customFormat="false" ht="13.5" hidden="false" customHeight="true" outlineLevel="0" collapsed="false"/>
    <row r="87" customFormat="false" ht="13.5" hidden="false" customHeight="true" outlineLevel="0" collapsed="false"/>
    <row r="88" customFormat="false" ht="13.5" hidden="false" customHeight="true" outlineLevel="0" collapsed="false"/>
    <row r="89" customFormat="false" ht="13.5" hidden="false" customHeight="true" outlineLevel="0" collapsed="false"/>
    <row r="90" customFormat="false" ht="13.5" hidden="false" customHeight="true" outlineLevel="0" collapsed="false"/>
    <row r="91" customFormat="false" ht="13.5" hidden="false" customHeight="true" outlineLevel="0" collapsed="false"/>
    <row r="92" customFormat="false" ht="13.5" hidden="false" customHeight="true" outlineLevel="0" collapsed="false"/>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row r="97" customFormat="false" ht="13.5" hidden="false" customHeight="true" outlineLevel="0" collapsed="false"/>
    <row r="98" customFormat="false" ht="13.5" hidden="false" customHeight="true" outlineLevel="0" collapsed="false"/>
    <row r="99" customFormat="false" ht="13.5" hidden="false" customHeight="true" outlineLevel="0" collapsed="false"/>
    <row r="100" customFormat="false" ht="13.5" hidden="false" customHeight="true" outlineLevel="0" collapsed="false"/>
    <row r="101" customFormat="false" ht="13.5" hidden="false" customHeight="true" outlineLevel="0" collapsed="false"/>
    <row r="102" customFormat="false" ht="13.5" hidden="false" customHeight="true" outlineLevel="0" collapsed="false"/>
    <row r="103" customFormat="false" ht="13.5" hidden="false" customHeight="true" outlineLevel="0" collapsed="false"/>
    <row r="104" customFormat="false" ht="13.5" hidden="false" customHeight="true" outlineLevel="0" collapsed="false"/>
    <row r="105" customFormat="false" ht="13.5" hidden="false" customHeight="true" outlineLevel="0" collapsed="false"/>
    <row r="106" customFormat="false" ht="13.5" hidden="false" customHeight="true" outlineLevel="0" collapsed="false"/>
    <row r="107" customFormat="false" ht="13.5" hidden="false" customHeight="true" outlineLevel="0" collapsed="false"/>
    <row r="108" customFormat="false" ht="13.5" hidden="false" customHeight="true" outlineLevel="0" collapsed="false"/>
    <row r="109" customFormat="false" ht="13.5" hidden="false" customHeight="true" outlineLevel="0" collapsed="false"/>
    <row r="110" customFormat="false" ht="13.5" hidden="false" customHeight="true" outlineLevel="0" collapsed="false"/>
    <row r="111" customFormat="false" ht="13.5" hidden="false" customHeight="true" outlineLevel="0" collapsed="false"/>
    <row r="112" customFormat="false" ht="13.5" hidden="false" customHeight="true" outlineLevel="0" collapsed="false"/>
    <row r="113" customFormat="false" ht="13.5" hidden="false" customHeight="true" outlineLevel="0" collapsed="false"/>
    <row r="114" customFormat="false" ht="13.5" hidden="false" customHeight="true" outlineLevel="0" collapsed="false"/>
    <row r="115" customFormat="false" ht="13.5" hidden="false" customHeight="true" outlineLevel="0" collapsed="false"/>
    <row r="116" customFormat="false" ht="13.5" hidden="false" customHeight="true" outlineLevel="0" collapsed="false"/>
    <row r="117" customFormat="false" ht="13.5" hidden="false" customHeight="true" outlineLevel="0" collapsed="false"/>
    <row r="118" customFormat="false" ht="13.5" hidden="false" customHeight="true" outlineLevel="0" collapsed="false"/>
    <row r="119" customFormat="false" ht="13.5" hidden="false" customHeight="true" outlineLevel="0" collapsed="false"/>
    <row r="120" customFormat="false" ht="13.5" hidden="false" customHeight="true" outlineLevel="0" collapsed="false"/>
    <row r="121" customFormat="false" ht="13.5" hidden="false" customHeight="true" outlineLevel="0" collapsed="false"/>
    <row r="122" customFormat="false" ht="13.5" hidden="false" customHeight="true" outlineLevel="0" collapsed="false"/>
    <row r="123" customFormat="false" ht="13.5" hidden="false" customHeight="true" outlineLevel="0" collapsed="false"/>
    <row r="124" customFormat="false" ht="13.5" hidden="false" customHeight="true" outlineLevel="0" collapsed="false"/>
    <row r="125" customFormat="false" ht="13.5" hidden="false" customHeight="true" outlineLevel="0" collapsed="false"/>
    <row r="126" customFormat="false" ht="13.5" hidden="false" customHeight="true" outlineLevel="0" collapsed="false"/>
    <row r="127" customFormat="false" ht="13.5" hidden="false" customHeight="true" outlineLevel="0" collapsed="false"/>
    <row r="128" customFormat="false" ht="13.5" hidden="false" customHeight="true" outlineLevel="0" collapsed="false"/>
    <row r="129" customFormat="false" ht="13.5" hidden="false" customHeight="true" outlineLevel="0" collapsed="false"/>
    <row r="130" customFormat="false" ht="13.5" hidden="false" customHeight="true" outlineLevel="0" collapsed="false"/>
    <row r="131" customFormat="false" ht="13.5" hidden="false" customHeight="true" outlineLevel="0" collapsed="false"/>
    <row r="132" customFormat="false" ht="13.5" hidden="false" customHeight="true" outlineLevel="0" collapsed="false"/>
    <row r="133" customFormat="false" ht="13.5" hidden="false" customHeight="true" outlineLevel="0" collapsed="false"/>
    <row r="134" customFormat="false" ht="13.5" hidden="false" customHeight="true" outlineLevel="0" collapsed="false"/>
    <row r="135" customFormat="false" ht="13.5" hidden="false" customHeight="true" outlineLevel="0" collapsed="false"/>
    <row r="136" customFormat="false" ht="13.5" hidden="false" customHeight="true" outlineLevel="0" collapsed="false"/>
    <row r="137" customFormat="false" ht="13.5" hidden="false" customHeight="true" outlineLevel="0" collapsed="false"/>
    <row r="138" customFormat="false" ht="13.5" hidden="false" customHeight="true" outlineLevel="0" collapsed="false"/>
    <row r="139" customFormat="false" ht="13.5" hidden="false" customHeight="true" outlineLevel="0" collapsed="false"/>
    <row r="140" customFormat="false" ht="13.5" hidden="false" customHeight="true" outlineLevel="0" collapsed="false"/>
    <row r="141" customFormat="false" ht="13.5" hidden="false" customHeight="true" outlineLevel="0" collapsed="false"/>
    <row r="142" customFormat="false" ht="13.5" hidden="false" customHeight="true" outlineLevel="0" collapsed="false"/>
    <row r="143" customFormat="false" ht="13.5" hidden="false" customHeight="true" outlineLevel="0" collapsed="false"/>
    <row r="144" customFormat="false" ht="13.5" hidden="false" customHeight="true" outlineLevel="0" collapsed="false"/>
    <row r="145" customFormat="false" ht="13.5" hidden="false" customHeight="true" outlineLevel="0" collapsed="false"/>
    <row r="146" customFormat="false" ht="13.5" hidden="false" customHeight="true" outlineLevel="0" collapsed="false"/>
    <row r="147" customFormat="false" ht="13.5" hidden="false" customHeight="true" outlineLevel="0" collapsed="false"/>
    <row r="148" customFormat="false" ht="13.5" hidden="false" customHeight="true" outlineLevel="0" collapsed="false"/>
    <row r="149" customFormat="false" ht="13.5" hidden="false" customHeight="true" outlineLevel="0" collapsed="false"/>
    <row r="150" customFormat="false" ht="13.5" hidden="false" customHeight="true" outlineLevel="0" collapsed="false"/>
    <row r="151" customFormat="false" ht="13.5" hidden="false" customHeight="true" outlineLevel="0" collapsed="false"/>
    <row r="152" customFormat="false" ht="13.5" hidden="false" customHeight="true" outlineLevel="0" collapsed="false"/>
    <row r="153" customFormat="false" ht="13.5" hidden="false" customHeight="true" outlineLevel="0" collapsed="false"/>
    <row r="154" customFormat="false" ht="13.5" hidden="false" customHeight="true" outlineLevel="0" collapsed="false"/>
    <row r="155" customFormat="false" ht="13.5" hidden="false" customHeight="true" outlineLevel="0" collapsed="false"/>
    <row r="156" customFormat="false" ht="13.5" hidden="false" customHeight="true" outlineLevel="0" collapsed="false"/>
    <row r="157" customFormat="false" ht="13.5" hidden="false" customHeight="true" outlineLevel="0" collapsed="false"/>
    <row r="158" customFormat="false" ht="13.5" hidden="false" customHeight="true" outlineLevel="0" collapsed="false"/>
    <row r="159" customFormat="false" ht="13.5" hidden="false" customHeight="true" outlineLevel="0" collapsed="false"/>
    <row r="160" customFormat="false" ht="13.5" hidden="false" customHeight="true" outlineLevel="0" collapsed="false"/>
    <row r="161" customFormat="false" ht="13.5" hidden="false" customHeight="true" outlineLevel="0" collapsed="false"/>
    <row r="162" customFormat="false" ht="13.5" hidden="false" customHeight="true" outlineLevel="0" collapsed="false"/>
    <row r="163" customFormat="false" ht="13.5" hidden="false" customHeight="true" outlineLevel="0" collapsed="false"/>
    <row r="164" customFormat="false" ht="13.5" hidden="false" customHeight="true" outlineLevel="0" collapsed="false"/>
    <row r="165" customFormat="false" ht="13.5" hidden="false" customHeight="true" outlineLevel="0" collapsed="false"/>
    <row r="166" customFormat="false" ht="13.5" hidden="false" customHeight="true" outlineLevel="0" collapsed="false"/>
    <row r="167" customFormat="false" ht="13.5" hidden="false" customHeight="true" outlineLevel="0" collapsed="false"/>
    <row r="168" customFormat="false" ht="13.5" hidden="false" customHeight="true" outlineLevel="0" collapsed="false"/>
    <row r="169" customFormat="false" ht="13.5" hidden="false" customHeight="true" outlineLevel="0" collapsed="false"/>
    <row r="170" customFormat="false" ht="13.5" hidden="false" customHeight="true" outlineLevel="0" collapsed="false"/>
    <row r="171" customFormat="false" ht="13.5" hidden="false" customHeight="true" outlineLevel="0" collapsed="false"/>
    <row r="172" customFormat="false" ht="13.5" hidden="false" customHeight="true" outlineLevel="0" collapsed="false"/>
    <row r="173" customFormat="false" ht="13.5" hidden="false" customHeight="true" outlineLevel="0" collapsed="false"/>
    <row r="174" customFormat="false" ht="13.5" hidden="false" customHeight="true" outlineLevel="0" collapsed="false"/>
    <row r="175" customFormat="false" ht="13.5" hidden="false" customHeight="true" outlineLevel="0" collapsed="false"/>
    <row r="176" customFormat="false" ht="13.5" hidden="false" customHeight="true" outlineLevel="0" collapsed="false"/>
    <row r="177" customFormat="false" ht="13.5" hidden="false" customHeight="true" outlineLevel="0" collapsed="false"/>
    <row r="178" customFormat="false" ht="13.5" hidden="false" customHeight="true" outlineLevel="0" collapsed="false"/>
    <row r="179" customFormat="false" ht="13.5" hidden="false" customHeight="true" outlineLevel="0" collapsed="false"/>
    <row r="180" customFormat="false" ht="13.5" hidden="false" customHeight="true" outlineLevel="0" collapsed="false"/>
    <row r="181" customFormat="false" ht="13.5" hidden="false" customHeight="true" outlineLevel="0" collapsed="false"/>
    <row r="182" customFormat="false" ht="13.5" hidden="false" customHeight="true" outlineLevel="0" collapsed="false"/>
    <row r="183" customFormat="false" ht="13.5" hidden="false" customHeight="true" outlineLevel="0" collapsed="false"/>
    <row r="184" customFormat="false" ht="13.5" hidden="false" customHeight="true" outlineLevel="0" collapsed="false"/>
    <row r="185" customFormat="false" ht="13.5" hidden="false" customHeight="true" outlineLevel="0" collapsed="false"/>
    <row r="186" customFormat="false" ht="13.5" hidden="false" customHeight="true" outlineLevel="0" collapsed="false"/>
    <row r="187" customFormat="false" ht="13.5" hidden="false" customHeight="true" outlineLevel="0" collapsed="false"/>
    <row r="188" customFormat="false" ht="13.5" hidden="false" customHeight="true" outlineLevel="0" collapsed="false"/>
    <row r="189" customFormat="false" ht="13.5" hidden="false" customHeight="true" outlineLevel="0" collapsed="false"/>
    <row r="190" customFormat="false" ht="13.5" hidden="false" customHeight="true" outlineLevel="0" collapsed="false"/>
    <row r="191" customFormat="false" ht="13.5" hidden="false" customHeight="true" outlineLevel="0" collapsed="false"/>
    <row r="192" customFormat="false" ht="13.5" hidden="false" customHeight="true" outlineLevel="0" collapsed="false"/>
    <row r="193" customFormat="false" ht="13.5" hidden="false" customHeight="true" outlineLevel="0" collapsed="false"/>
    <row r="194" customFormat="false" ht="13.5" hidden="false" customHeight="true" outlineLevel="0" collapsed="false"/>
    <row r="195" customFormat="false" ht="13.5" hidden="false" customHeight="true" outlineLevel="0" collapsed="false"/>
    <row r="196" customFormat="false" ht="13.5" hidden="false" customHeight="true" outlineLevel="0" collapsed="false"/>
    <row r="197" customFormat="false" ht="13.5" hidden="false" customHeight="true" outlineLevel="0" collapsed="false"/>
    <row r="198" customFormat="false" ht="13.5" hidden="false" customHeight="true" outlineLevel="0" collapsed="false"/>
    <row r="199" customFormat="false" ht="13.5" hidden="false" customHeight="true" outlineLevel="0" collapsed="false"/>
    <row r="200" customFormat="false" ht="13.5" hidden="false" customHeight="true" outlineLevel="0" collapsed="false"/>
    <row r="201" customFormat="false" ht="13.5" hidden="false" customHeight="true" outlineLevel="0" collapsed="false"/>
    <row r="202" customFormat="false" ht="13.5" hidden="false" customHeight="true" outlineLevel="0" collapsed="false"/>
    <row r="203" customFormat="false" ht="13.5" hidden="false" customHeight="true" outlineLevel="0" collapsed="false"/>
    <row r="204" customFormat="false" ht="13.5" hidden="false" customHeight="true" outlineLevel="0" collapsed="false"/>
    <row r="205" customFormat="false" ht="13.5" hidden="false" customHeight="true" outlineLevel="0" collapsed="false"/>
    <row r="206" customFormat="false" ht="13.5" hidden="false" customHeight="true" outlineLevel="0" collapsed="false"/>
    <row r="207" customFormat="false" ht="13.5" hidden="false" customHeight="true" outlineLevel="0" collapsed="false"/>
    <row r="208" customFormat="false" ht="13.5" hidden="false" customHeight="true" outlineLevel="0" collapsed="false"/>
    <row r="209" customFormat="false" ht="13.5" hidden="false" customHeight="true" outlineLevel="0" collapsed="false"/>
    <row r="210" customFormat="false" ht="13.5" hidden="false" customHeight="true" outlineLevel="0" collapsed="false"/>
    <row r="211" customFormat="false" ht="13.5" hidden="false" customHeight="true" outlineLevel="0" collapsed="false"/>
    <row r="212" customFormat="false" ht="13.5" hidden="false" customHeight="true" outlineLevel="0" collapsed="false"/>
    <row r="213" customFormat="false" ht="13.5" hidden="false" customHeight="true" outlineLevel="0" collapsed="false"/>
    <row r="214" customFormat="false" ht="13.5" hidden="false" customHeight="true" outlineLevel="0" collapsed="false"/>
    <row r="215" customFormat="false" ht="13.5" hidden="false" customHeight="true" outlineLevel="0" collapsed="false"/>
    <row r="216" customFormat="false" ht="13.5" hidden="false" customHeight="true" outlineLevel="0" collapsed="false"/>
    <row r="217" customFormat="false" ht="13.5" hidden="false" customHeight="true" outlineLevel="0" collapsed="false"/>
    <row r="218" customFormat="false" ht="13.5" hidden="false" customHeight="true" outlineLevel="0" collapsed="false"/>
    <row r="219" customFormat="false" ht="13.5" hidden="false" customHeight="true" outlineLevel="0" collapsed="false"/>
    <row r="220" customFormat="false" ht="13.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Roman,Regularna"&amp;12&amp;Kffffff&amp;A</oddHeader>
    <oddFooter>&amp;C&amp;"Times New Roman,Regularna"&amp;12&amp;KffffffStrona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24" activeCellId="0" sqref="G24"/>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2"/>
    <col collapsed="false" customWidth="true" hidden="false" outlineLevel="0" max="3" min="3" style="1" width="72"/>
    <col collapsed="false" customWidth="true" hidden="false" outlineLevel="0" max="5" min="4" style="1" width="12"/>
    <col collapsed="false" customWidth="true" hidden="false" outlineLevel="0" max="6" min="6" style="1" width="14"/>
    <col collapsed="false" customWidth="true" hidden="false" outlineLevel="0" max="7" min="7" style="1" width="28"/>
  </cols>
  <sheetData>
    <row r="1" customFormat="false" ht="27.75" hidden="false" customHeight="true" outlineLevel="0" collapsed="false">
      <c r="A1" s="6" t="s">
        <v>25</v>
      </c>
      <c r="B1" s="6" t="s">
        <v>26</v>
      </c>
      <c r="C1" s="6" t="s">
        <v>27</v>
      </c>
      <c r="D1" s="6" t="s">
        <v>28</v>
      </c>
      <c r="E1" s="6" t="s">
        <v>29</v>
      </c>
      <c r="F1" s="6" t="s">
        <v>30</v>
      </c>
      <c r="G1" s="6" t="s">
        <v>31</v>
      </c>
      <c r="H1" s="6" t="s">
        <v>32</v>
      </c>
      <c r="I1" s="6" t="s">
        <v>33</v>
      </c>
      <c r="J1" s="6" t="s">
        <v>34</v>
      </c>
      <c r="K1" s="6" t="s">
        <v>35</v>
      </c>
    </row>
    <row r="2" customFormat="false" ht="64.15" hidden="false" customHeight="false" outlineLevel="0" collapsed="false">
      <c r="A2" s="7" t="n">
        <v>1</v>
      </c>
      <c r="B2" s="7" t="s">
        <v>36</v>
      </c>
      <c r="C2" s="7" t="s">
        <v>37</v>
      </c>
      <c r="D2" s="7" t="n">
        <v>3</v>
      </c>
      <c r="E2" s="7" t="n">
        <v>1</v>
      </c>
      <c r="F2" s="7"/>
      <c r="G2" s="7" t="s">
        <v>38</v>
      </c>
      <c r="H2" s="7"/>
      <c r="I2" s="7"/>
      <c r="J2" s="7"/>
      <c r="K2" s="8" t="n">
        <v>1</v>
      </c>
    </row>
    <row r="3" customFormat="false" ht="53.7" hidden="false" customHeight="false" outlineLevel="0" collapsed="false">
      <c r="A3" s="9" t="n">
        <v>2</v>
      </c>
      <c r="B3" s="9" t="s">
        <v>39</v>
      </c>
      <c r="C3" s="9" t="s">
        <v>40</v>
      </c>
      <c r="D3" s="9" t="n">
        <v>2</v>
      </c>
      <c r="E3" s="9" t="n">
        <v>1</v>
      </c>
      <c r="F3" s="9"/>
      <c r="G3" s="9" t="s">
        <v>38</v>
      </c>
      <c r="H3" s="9"/>
      <c r="I3" s="9"/>
      <c r="J3" s="9"/>
      <c r="K3" s="8" t="n">
        <v>1</v>
      </c>
    </row>
    <row r="4" customFormat="false" ht="53.7" hidden="false" customHeight="false" outlineLevel="0" collapsed="false">
      <c r="A4" s="7" t="n">
        <v>3</v>
      </c>
      <c r="B4" s="7" t="s">
        <v>41</v>
      </c>
      <c r="C4" s="7" t="s">
        <v>42</v>
      </c>
      <c r="D4" s="7" t="n">
        <v>2</v>
      </c>
      <c r="E4" s="7" t="n">
        <v>1</v>
      </c>
      <c r="F4" s="7"/>
      <c r="G4" s="7" t="s">
        <v>38</v>
      </c>
      <c r="H4" s="7"/>
      <c r="I4" s="7"/>
      <c r="J4" s="7"/>
      <c r="K4" s="8" t="n">
        <v>1</v>
      </c>
    </row>
    <row r="5" customFormat="false" ht="53.7" hidden="false" customHeight="false" outlineLevel="0" collapsed="false">
      <c r="A5" s="9" t="n">
        <v>4</v>
      </c>
      <c r="B5" s="9" t="s">
        <v>43</v>
      </c>
      <c r="C5" s="9" t="s">
        <v>44</v>
      </c>
      <c r="D5" s="9" t="n">
        <v>2</v>
      </c>
      <c r="E5" s="9" t="n">
        <v>1</v>
      </c>
      <c r="F5" s="9" t="s">
        <v>45</v>
      </c>
      <c r="G5" s="9" t="s">
        <v>38</v>
      </c>
      <c r="H5" s="9"/>
      <c r="I5" s="9"/>
      <c r="J5" s="9"/>
      <c r="K5" s="8" t="n">
        <v>1</v>
      </c>
    </row>
    <row r="6" customFormat="false" ht="53.7" hidden="false" customHeight="false" outlineLevel="0" collapsed="false">
      <c r="A6" s="7" t="n">
        <v>5</v>
      </c>
      <c r="B6" s="7" t="s">
        <v>46</v>
      </c>
      <c r="C6" s="7" t="s">
        <v>47</v>
      </c>
      <c r="D6" s="7" t="n">
        <v>2</v>
      </c>
      <c r="E6" s="7" t="n">
        <v>1</v>
      </c>
      <c r="F6" s="7"/>
      <c r="G6" s="7" t="s">
        <v>38</v>
      </c>
      <c r="H6" s="7"/>
      <c r="I6" s="7"/>
      <c r="J6" s="7"/>
      <c r="K6" s="8" t="n">
        <v>1</v>
      </c>
    </row>
    <row r="7" customFormat="false" ht="53.7" hidden="false" customHeight="false" outlineLevel="0" collapsed="false">
      <c r="A7" s="9" t="n">
        <v>6</v>
      </c>
      <c r="B7" s="9" t="s">
        <v>48</v>
      </c>
      <c r="C7" s="9" t="s">
        <v>49</v>
      </c>
      <c r="D7" s="9" t="n">
        <v>2</v>
      </c>
      <c r="E7" s="9" t="n">
        <v>1</v>
      </c>
      <c r="F7" s="9"/>
      <c r="G7" s="9" t="s">
        <v>38</v>
      </c>
      <c r="H7" s="9"/>
      <c r="I7" s="9"/>
      <c r="J7" s="9"/>
      <c r="K7" s="8" t="n">
        <v>1</v>
      </c>
    </row>
    <row r="8" customFormat="false" ht="53.7" hidden="false" customHeight="false" outlineLevel="0" collapsed="false">
      <c r="A8" s="7" t="n">
        <v>7</v>
      </c>
      <c r="B8" s="7" t="s">
        <v>50</v>
      </c>
      <c r="C8" s="7" t="s">
        <v>51</v>
      </c>
      <c r="D8" s="7" t="n">
        <v>2</v>
      </c>
      <c r="E8" s="7" t="n">
        <v>1</v>
      </c>
      <c r="F8" s="7"/>
      <c r="G8" s="7" t="s">
        <v>38</v>
      </c>
      <c r="H8" s="7"/>
      <c r="I8" s="7"/>
      <c r="J8" s="7"/>
      <c r="K8" s="8" t="n">
        <v>1</v>
      </c>
    </row>
    <row r="9" customFormat="false" ht="43.25" hidden="false" customHeight="false" outlineLevel="0" collapsed="false">
      <c r="A9" s="9" t="n">
        <v>8</v>
      </c>
      <c r="B9" s="9" t="s">
        <v>52</v>
      </c>
      <c r="C9" s="9" t="s">
        <v>53</v>
      </c>
      <c r="D9" s="9" t="n">
        <v>2</v>
      </c>
      <c r="E9" s="9" t="n">
        <v>1</v>
      </c>
      <c r="F9" s="9"/>
      <c r="G9" s="9" t="s">
        <v>38</v>
      </c>
      <c r="H9" s="9"/>
      <c r="I9" s="9"/>
      <c r="J9" s="9"/>
      <c r="K9" s="8" t="n">
        <v>1</v>
      </c>
    </row>
    <row r="10" customFormat="false" ht="53.7" hidden="false" customHeight="false" outlineLevel="0" collapsed="false">
      <c r="A10" s="7" t="n">
        <v>9</v>
      </c>
      <c r="B10" s="7" t="s">
        <v>54</v>
      </c>
      <c r="C10" s="7" t="s">
        <v>55</v>
      </c>
      <c r="D10" s="7" t="n">
        <v>2</v>
      </c>
      <c r="E10" s="7" t="n">
        <v>1</v>
      </c>
      <c r="F10" s="7"/>
      <c r="G10" s="7" t="s">
        <v>38</v>
      </c>
      <c r="H10" s="7"/>
      <c r="I10" s="7"/>
      <c r="J10" s="7"/>
      <c r="K10" s="8" t="n">
        <v>1</v>
      </c>
    </row>
    <row r="11" customFormat="false" ht="53.7" hidden="false" customHeight="false" outlineLevel="0" collapsed="false">
      <c r="A11" s="9" t="n">
        <v>10</v>
      </c>
      <c r="B11" s="9" t="s">
        <v>56</v>
      </c>
      <c r="C11" s="9" t="s">
        <v>57</v>
      </c>
      <c r="D11" s="9" t="n">
        <v>3</v>
      </c>
      <c r="E11" s="9" t="n">
        <v>1</v>
      </c>
      <c r="F11" s="9" t="s">
        <v>58</v>
      </c>
      <c r="G11" s="9" t="s">
        <v>38</v>
      </c>
      <c r="H11" s="9"/>
      <c r="I11" s="9"/>
      <c r="J11" s="9"/>
      <c r="K11" s="8" t="n">
        <v>1</v>
      </c>
    </row>
    <row r="12" customFormat="false" ht="43.25" hidden="false" customHeight="false" outlineLevel="0" collapsed="false">
      <c r="A12" s="7" t="n">
        <v>11</v>
      </c>
      <c r="B12" s="7" t="s">
        <v>59</v>
      </c>
      <c r="C12" s="7" t="s">
        <v>60</v>
      </c>
      <c r="D12" s="7" t="n">
        <v>2</v>
      </c>
      <c r="E12" s="7" t="n">
        <v>1</v>
      </c>
      <c r="F12" s="7" t="s">
        <v>58</v>
      </c>
      <c r="G12" s="7" t="s">
        <v>38</v>
      </c>
      <c r="H12" s="7"/>
      <c r="I12" s="7"/>
      <c r="J12" s="7"/>
      <c r="K12" s="8" t="n">
        <v>1</v>
      </c>
    </row>
    <row r="13" customFormat="false" ht="43.25" hidden="false" customHeight="false" outlineLevel="0" collapsed="false">
      <c r="A13" s="9" t="n">
        <v>12</v>
      </c>
      <c r="B13" s="9" t="s">
        <v>61</v>
      </c>
      <c r="C13" s="9" t="s">
        <v>62</v>
      </c>
      <c r="D13" s="9" t="n">
        <v>2</v>
      </c>
      <c r="E13" s="9" t="n">
        <v>1</v>
      </c>
      <c r="F13" s="9"/>
      <c r="G13" s="9" t="s">
        <v>38</v>
      </c>
      <c r="H13" s="9"/>
      <c r="I13" s="9"/>
      <c r="J13" s="9"/>
      <c r="K13" s="8" t="n">
        <v>1</v>
      </c>
    </row>
    <row r="14" customFormat="false" ht="43.25" hidden="false" customHeight="false" outlineLevel="0" collapsed="false">
      <c r="A14" s="7" t="n">
        <v>13</v>
      </c>
      <c r="B14" s="7" t="s">
        <v>63</v>
      </c>
      <c r="C14" s="7" t="s">
        <v>64</v>
      </c>
      <c r="D14" s="7" t="n">
        <v>3</v>
      </c>
      <c r="E14" s="7" t="n">
        <v>1</v>
      </c>
      <c r="F14" s="7"/>
      <c r="G14" s="7" t="s">
        <v>38</v>
      </c>
      <c r="H14" s="7"/>
      <c r="I14" s="7"/>
      <c r="J14" s="7"/>
      <c r="K14" s="8" t="n">
        <v>1</v>
      </c>
    </row>
    <row r="15" customFormat="false" ht="53.7" hidden="false" customHeight="false" outlineLevel="0" collapsed="false">
      <c r="A15" s="9" t="n">
        <v>14</v>
      </c>
      <c r="B15" s="9" t="s">
        <v>65</v>
      </c>
      <c r="C15" s="9" t="s">
        <v>66</v>
      </c>
      <c r="D15" s="9" t="n">
        <v>2</v>
      </c>
      <c r="E15" s="9" t="n">
        <v>1</v>
      </c>
      <c r="F15" s="9" t="s">
        <v>67</v>
      </c>
      <c r="G15" s="9" t="s">
        <v>38</v>
      </c>
      <c r="H15" s="9"/>
      <c r="I15" s="9"/>
      <c r="J15" s="9"/>
      <c r="K15" s="8" t="n">
        <v>1</v>
      </c>
    </row>
    <row r="16" customFormat="false" ht="53.7" hidden="false" customHeight="false" outlineLevel="0" collapsed="false">
      <c r="A16" s="7" t="n">
        <v>15</v>
      </c>
      <c r="B16" s="7" t="s">
        <v>68</v>
      </c>
      <c r="C16" s="7" t="s">
        <v>69</v>
      </c>
      <c r="D16" s="7" t="n">
        <v>2</v>
      </c>
      <c r="E16" s="7" t="n">
        <v>1</v>
      </c>
      <c r="F16" s="7" t="s">
        <v>70</v>
      </c>
      <c r="G16" s="7" t="s">
        <v>38</v>
      </c>
      <c r="H16" s="7"/>
      <c r="I16" s="7"/>
      <c r="J16" s="7"/>
      <c r="K16" s="8" t="n">
        <v>1</v>
      </c>
    </row>
    <row r="17" customFormat="false" ht="53.7" hidden="false" customHeight="false" outlineLevel="0" collapsed="false">
      <c r="A17" s="9" t="n">
        <v>16</v>
      </c>
      <c r="B17" s="9" t="s">
        <v>71</v>
      </c>
      <c r="C17" s="9" t="s">
        <v>72</v>
      </c>
      <c r="D17" s="9" t="n">
        <v>2</v>
      </c>
      <c r="E17" s="9" t="n">
        <v>1</v>
      </c>
      <c r="F17" s="9" t="s">
        <v>73</v>
      </c>
      <c r="G17" s="9" t="s">
        <v>38</v>
      </c>
      <c r="H17" s="9"/>
      <c r="I17" s="9"/>
      <c r="J17" s="9"/>
      <c r="K17" s="8" t="n">
        <v>1</v>
      </c>
    </row>
    <row r="18" customFormat="false" ht="43.25" hidden="false" customHeight="false" outlineLevel="0" collapsed="false">
      <c r="A18" s="7" t="n">
        <v>17</v>
      </c>
      <c r="B18" s="7" t="s">
        <v>74</v>
      </c>
      <c r="C18" s="7" t="s">
        <v>75</v>
      </c>
      <c r="D18" s="7" t="n">
        <v>3</v>
      </c>
      <c r="E18" s="7" t="n">
        <v>1</v>
      </c>
      <c r="F18" s="7"/>
      <c r="G18" s="7" t="s">
        <v>38</v>
      </c>
      <c r="H18" s="7"/>
      <c r="I18" s="7"/>
      <c r="J18" s="7"/>
      <c r="K18" s="8" t="n">
        <v>1</v>
      </c>
    </row>
    <row r="19" customFormat="false" ht="53.7" hidden="false" customHeight="false" outlineLevel="0" collapsed="false">
      <c r="A19" s="9" t="n">
        <v>18</v>
      </c>
      <c r="B19" s="9" t="s">
        <v>76</v>
      </c>
      <c r="C19" s="9" t="s">
        <v>77</v>
      </c>
      <c r="D19" s="9" t="n">
        <v>3</v>
      </c>
      <c r="E19" s="9" t="n">
        <v>1</v>
      </c>
      <c r="F19" s="9"/>
      <c r="G19" s="9" t="s">
        <v>38</v>
      </c>
      <c r="H19" s="9"/>
      <c r="I19" s="9"/>
      <c r="J19" s="9"/>
      <c r="K19" s="8" t="n">
        <v>1</v>
      </c>
    </row>
    <row r="20" customFormat="false" ht="53.7" hidden="false" customHeight="false" outlineLevel="0" collapsed="false">
      <c r="A20" s="7" t="n">
        <v>19</v>
      </c>
      <c r="B20" s="7" t="s">
        <v>78</v>
      </c>
      <c r="C20" s="7" t="s">
        <v>79</v>
      </c>
      <c r="D20" s="7" t="n">
        <v>2</v>
      </c>
      <c r="E20" s="7" t="n">
        <v>1</v>
      </c>
      <c r="F20" s="7"/>
      <c r="G20" s="7" t="s">
        <v>38</v>
      </c>
      <c r="H20" s="7"/>
      <c r="I20" s="7"/>
      <c r="J20" s="7"/>
      <c r="K20" s="8" t="n">
        <v>1</v>
      </c>
    </row>
    <row r="21" customFormat="false" ht="53.7" hidden="false" customHeight="false" outlineLevel="0" collapsed="false">
      <c r="A21" s="9" t="n">
        <v>20</v>
      </c>
      <c r="B21" s="9" t="s">
        <v>80</v>
      </c>
      <c r="C21" s="9" t="s">
        <v>81</v>
      </c>
      <c r="D21" s="9" t="n">
        <v>2</v>
      </c>
      <c r="E21" s="9" t="n">
        <v>1</v>
      </c>
      <c r="F21" s="9" t="s">
        <v>82</v>
      </c>
      <c r="G21" s="9" t="s">
        <v>38</v>
      </c>
      <c r="H21" s="9"/>
      <c r="I21" s="9"/>
      <c r="J21" s="9"/>
      <c r="K21" s="8" t="n">
        <v>1</v>
      </c>
    </row>
    <row r="22" customFormat="false" ht="43.25" hidden="false" customHeight="false" outlineLevel="0" collapsed="false">
      <c r="A22" s="7" t="n">
        <v>21</v>
      </c>
      <c r="B22" s="7" t="s">
        <v>83</v>
      </c>
      <c r="C22" s="7" t="s">
        <v>84</v>
      </c>
      <c r="D22" s="7" t="n">
        <v>2</v>
      </c>
      <c r="E22" s="7" t="n">
        <v>1</v>
      </c>
      <c r="F22" s="7"/>
      <c r="G22" s="7" t="s">
        <v>38</v>
      </c>
      <c r="H22" s="7"/>
      <c r="I22" s="7"/>
      <c r="J22" s="7"/>
      <c r="K22" s="8" t="n">
        <v>1</v>
      </c>
    </row>
    <row r="23" customFormat="false" ht="43.25" hidden="false" customHeight="false" outlineLevel="0" collapsed="false">
      <c r="A23" s="9" t="n">
        <v>22</v>
      </c>
      <c r="B23" s="9" t="s">
        <v>85</v>
      </c>
      <c r="C23" s="9" t="s">
        <v>86</v>
      </c>
      <c r="D23" s="9" t="n">
        <v>2</v>
      </c>
      <c r="E23" s="9" t="n">
        <v>1</v>
      </c>
      <c r="F23" s="9"/>
      <c r="G23" s="9" t="s">
        <v>38</v>
      </c>
      <c r="H23" s="9"/>
      <c r="I23" s="9"/>
      <c r="J23" s="9"/>
      <c r="K23" s="8" t="n">
        <v>1</v>
      </c>
    </row>
    <row r="24" customFormat="false" ht="53.7" hidden="false" customHeight="false" outlineLevel="0" collapsed="false">
      <c r="A24" s="7" t="n">
        <v>23</v>
      </c>
      <c r="B24" s="7" t="s">
        <v>87</v>
      </c>
      <c r="C24" s="7" t="s">
        <v>88</v>
      </c>
      <c r="D24" s="7" t="n">
        <v>0</v>
      </c>
      <c r="E24" s="7" t="n">
        <v>1</v>
      </c>
      <c r="F24" s="7" t="s">
        <v>89</v>
      </c>
      <c r="G24" s="7" t="s">
        <v>90</v>
      </c>
      <c r="H24" s="7"/>
      <c r="I24" s="7"/>
      <c r="J24" s="7"/>
      <c r="K24" s="10" t="n">
        <v>2</v>
      </c>
    </row>
    <row r="25" customFormat="false" ht="53.7" hidden="false" customHeight="false" outlineLevel="0" collapsed="false">
      <c r="A25" s="9" t="n">
        <v>24</v>
      </c>
      <c r="B25" s="9" t="s">
        <v>91</v>
      </c>
      <c r="C25" s="9" t="s">
        <v>92</v>
      </c>
      <c r="D25" s="9" t="n">
        <v>3</v>
      </c>
      <c r="E25" s="9" t="n">
        <v>1</v>
      </c>
      <c r="F25" s="9"/>
      <c r="G25" s="9" t="s">
        <v>93</v>
      </c>
      <c r="H25" s="9"/>
      <c r="I25" s="9"/>
      <c r="J25" s="9"/>
      <c r="K25" s="11" t="n">
        <v>3</v>
      </c>
    </row>
    <row r="26" customFormat="false" ht="53.7" hidden="false" customHeight="false" outlineLevel="0" collapsed="false">
      <c r="A26" s="7" t="n">
        <v>25</v>
      </c>
      <c r="B26" s="7" t="s">
        <v>94</v>
      </c>
      <c r="C26" s="7" t="s">
        <v>95</v>
      </c>
      <c r="D26" s="7" t="n">
        <v>4</v>
      </c>
      <c r="E26" s="7" t="n">
        <v>1</v>
      </c>
      <c r="F26" s="7" t="s">
        <v>96</v>
      </c>
      <c r="G26" s="7" t="s">
        <v>93</v>
      </c>
      <c r="H26" s="7"/>
      <c r="I26" s="7"/>
      <c r="J26" s="7"/>
      <c r="K26" s="11" t="n">
        <v>3</v>
      </c>
    </row>
    <row r="27" customFormat="false" ht="53.7" hidden="false" customHeight="false" outlineLevel="0" collapsed="false">
      <c r="A27" s="9" t="n">
        <v>26</v>
      </c>
      <c r="B27" s="9" t="s">
        <v>97</v>
      </c>
      <c r="C27" s="9" t="s">
        <v>98</v>
      </c>
      <c r="D27" s="9" t="n">
        <v>2</v>
      </c>
      <c r="E27" s="9" t="n">
        <v>1</v>
      </c>
      <c r="F27" s="9"/>
      <c r="G27" s="9" t="s">
        <v>93</v>
      </c>
      <c r="H27" s="9"/>
      <c r="I27" s="9"/>
      <c r="J27" s="9"/>
      <c r="K27" s="11" t="n">
        <v>3</v>
      </c>
    </row>
    <row r="28" customFormat="false" ht="53.7" hidden="false" customHeight="false" outlineLevel="0" collapsed="false">
      <c r="A28" s="7" t="n">
        <v>27</v>
      </c>
      <c r="B28" s="7" t="s">
        <v>99</v>
      </c>
      <c r="C28" s="7" t="s">
        <v>100</v>
      </c>
      <c r="D28" s="7" t="n">
        <v>3</v>
      </c>
      <c r="E28" s="7" t="n">
        <v>1</v>
      </c>
      <c r="F28" s="7"/>
      <c r="G28" s="7" t="s">
        <v>93</v>
      </c>
      <c r="H28" s="7"/>
      <c r="I28" s="7"/>
      <c r="J28" s="7"/>
      <c r="K28" s="11" t="n">
        <v>3</v>
      </c>
    </row>
    <row r="29" customFormat="false" ht="53.7" hidden="false" customHeight="false" outlineLevel="0" collapsed="false">
      <c r="A29" s="9" t="n">
        <v>28</v>
      </c>
      <c r="B29" s="9" t="s">
        <v>101</v>
      </c>
      <c r="C29" s="9" t="s">
        <v>102</v>
      </c>
      <c r="D29" s="9" t="n">
        <v>3</v>
      </c>
      <c r="E29" s="9" t="n">
        <v>1</v>
      </c>
      <c r="F29" s="9"/>
      <c r="G29" s="9" t="s">
        <v>93</v>
      </c>
      <c r="H29" s="9"/>
      <c r="I29" s="9"/>
      <c r="J29" s="9"/>
      <c r="K29" s="11" t="n">
        <v>3</v>
      </c>
    </row>
    <row r="30" customFormat="false" ht="43.25" hidden="false" customHeight="false" outlineLevel="0" collapsed="false">
      <c r="A30" s="7" t="n">
        <v>29</v>
      </c>
      <c r="B30" s="7" t="s">
        <v>103</v>
      </c>
      <c r="C30" s="7" t="s">
        <v>104</v>
      </c>
      <c r="D30" s="7" t="n">
        <v>3</v>
      </c>
      <c r="E30" s="7" t="n">
        <v>1</v>
      </c>
      <c r="F30" s="7"/>
      <c r="G30" s="7" t="s">
        <v>93</v>
      </c>
      <c r="H30" s="7"/>
      <c r="I30" s="7"/>
      <c r="J30" s="7"/>
      <c r="K30" s="11" t="n">
        <v>3</v>
      </c>
    </row>
    <row r="31" customFormat="false" ht="53.7" hidden="false" customHeight="false" outlineLevel="0" collapsed="false">
      <c r="A31" s="9" t="n">
        <v>30</v>
      </c>
      <c r="B31" s="9" t="s">
        <v>105</v>
      </c>
      <c r="C31" s="9" t="s">
        <v>106</v>
      </c>
      <c r="D31" s="9" t="n">
        <v>4</v>
      </c>
      <c r="E31" s="9" t="n">
        <v>1</v>
      </c>
      <c r="F31" s="9" t="s">
        <v>107</v>
      </c>
      <c r="G31" s="9" t="s">
        <v>93</v>
      </c>
      <c r="H31" s="9"/>
      <c r="I31" s="9"/>
      <c r="J31" s="9"/>
      <c r="K31" s="11" t="n">
        <v>3</v>
      </c>
    </row>
    <row r="32" customFormat="false" ht="53.7" hidden="false" customHeight="false" outlineLevel="0" collapsed="false">
      <c r="A32" s="7" t="n">
        <v>31</v>
      </c>
      <c r="B32" s="7" t="s">
        <v>108</v>
      </c>
      <c r="C32" s="7" t="s">
        <v>109</v>
      </c>
      <c r="D32" s="7" t="n">
        <v>3</v>
      </c>
      <c r="E32" s="7" t="n">
        <v>1</v>
      </c>
      <c r="F32" s="7" t="s">
        <v>110</v>
      </c>
      <c r="G32" s="7" t="s">
        <v>93</v>
      </c>
      <c r="H32" s="7"/>
      <c r="I32" s="7"/>
      <c r="J32" s="7"/>
      <c r="K32" s="11" t="n">
        <v>3</v>
      </c>
    </row>
    <row r="33" customFormat="false" ht="53.7" hidden="false" customHeight="false" outlineLevel="0" collapsed="false">
      <c r="A33" s="9" t="n">
        <v>32</v>
      </c>
      <c r="B33" s="9" t="s">
        <v>111</v>
      </c>
      <c r="C33" s="9" t="s">
        <v>112</v>
      </c>
      <c r="D33" s="9" t="n">
        <v>3</v>
      </c>
      <c r="E33" s="9" t="n">
        <v>1</v>
      </c>
      <c r="F33" s="9"/>
      <c r="G33" s="9" t="s">
        <v>93</v>
      </c>
      <c r="H33" s="9"/>
      <c r="I33" s="9"/>
      <c r="J33" s="9"/>
      <c r="K33" s="11" t="n">
        <v>3</v>
      </c>
    </row>
    <row r="34" customFormat="false" ht="53.7" hidden="false" customHeight="false" outlineLevel="0" collapsed="false">
      <c r="A34" s="7" t="n">
        <v>33</v>
      </c>
      <c r="B34" s="7" t="s">
        <v>113</v>
      </c>
      <c r="C34" s="7" t="s">
        <v>114</v>
      </c>
      <c r="D34" s="7" t="n">
        <v>4</v>
      </c>
      <c r="E34" s="7" t="n">
        <v>1</v>
      </c>
      <c r="F34" s="7" t="s">
        <v>115</v>
      </c>
      <c r="G34" s="7" t="s">
        <v>93</v>
      </c>
      <c r="H34" s="7"/>
      <c r="I34" s="7"/>
      <c r="J34" s="7"/>
      <c r="K34" s="11" t="n">
        <v>3</v>
      </c>
    </row>
    <row r="35" customFormat="false" ht="53.7" hidden="false" customHeight="false" outlineLevel="0" collapsed="false">
      <c r="A35" s="9" t="n">
        <v>34</v>
      </c>
      <c r="B35" s="9" t="s">
        <v>116</v>
      </c>
      <c r="C35" s="9" t="s">
        <v>117</v>
      </c>
      <c r="D35" s="9" t="n">
        <v>4</v>
      </c>
      <c r="E35" s="9" t="n">
        <v>1</v>
      </c>
      <c r="F35" s="9"/>
      <c r="G35" s="9" t="s">
        <v>93</v>
      </c>
      <c r="H35" s="9"/>
      <c r="I35" s="9"/>
      <c r="J35" s="9"/>
      <c r="K35" s="11" t="n">
        <v>3</v>
      </c>
    </row>
    <row r="36" customFormat="false" ht="53.7" hidden="false" customHeight="false" outlineLevel="0" collapsed="false">
      <c r="A36" s="7" t="n">
        <v>35</v>
      </c>
      <c r="B36" s="7" t="s">
        <v>118</v>
      </c>
      <c r="C36" s="7" t="s">
        <v>119</v>
      </c>
      <c r="D36" s="7" t="n">
        <v>3</v>
      </c>
      <c r="E36" s="7" t="n">
        <v>1</v>
      </c>
      <c r="F36" s="7" t="s">
        <v>120</v>
      </c>
      <c r="G36" s="7" t="s">
        <v>93</v>
      </c>
      <c r="H36" s="7"/>
      <c r="I36" s="7"/>
      <c r="J36" s="7"/>
      <c r="K36" s="11" t="n">
        <v>3</v>
      </c>
    </row>
    <row r="37" customFormat="false" ht="43.25" hidden="false" customHeight="false" outlineLevel="0" collapsed="false">
      <c r="A37" s="9" t="n">
        <v>36</v>
      </c>
      <c r="B37" s="9" t="s">
        <v>121</v>
      </c>
      <c r="C37" s="9" t="s">
        <v>122</v>
      </c>
      <c r="D37" s="9" t="n">
        <v>3</v>
      </c>
      <c r="E37" s="9" t="n">
        <v>1</v>
      </c>
      <c r="F37" s="9"/>
      <c r="G37" s="9" t="s">
        <v>93</v>
      </c>
      <c r="H37" s="9"/>
      <c r="I37" s="9"/>
      <c r="J37" s="9"/>
      <c r="K37" s="11" t="n">
        <v>3</v>
      </c>
    </row>
    <row r="38" customFormat="false" ht="53.7" hidden="false" customHeight="false" outlineLevel="0" collapsed="false">
      <c r="A38" s="7" t="n">
        <v>37</v>
      </c>
      <c r="B38" s="7" t="s">
        <v>123</v>
      </c>
      <c r="C38" s="7" t="s">
        <v>124</v>
      </c>
      <c r="D38" s="7" t="n">
        <v>2</v>
      </c>
      <c r="E38" s="7" t="n">
        <v>1</v>
      </c>
      <c r="F38" s="7"/>
      <c r="G38" s="7" t="s">
        <v>93</v>
      </c>
      <c r="H38" s="7"/>
      <c r="I38" s="7"/>
      <c r="J38" s="7"/>
      <c r="K38" s="11" t="n">
        <v>3</v>
      </c>
    </row>
    <row r="39" customFormat="false" ht="53.7" hidden="false" customHeight="false" outlineLevel="0" collapsed="false">
      <c r="A39" s="9" t="n">
        <v>38</v>
      </c>
      <c r="B39" s="9" t="s">
        <v>125</v>
      </c>
      <c r="C39" s="9" t="s">
        <v>126</v>
      </c>
      <c r="D39" s="9" t="n">
        <v>2</v>
      </c>
      <c r="E39" s="9" t="n">
        <v>1</v>
      </c>
      <c r="F39" s="9"/>
      <c r="G39" s="9" t="s">
        <v>93</v>
      </c>
      <c r="H39" s="9"/>
      <c r="I39" s="9"/>
      <c r="J39" s="9"/>
      <c r="K39" s="11" t="n">
        <v>3</v>
      </c>
    </row>
    <row r="40" customFormat="false" ht="53.7" hidden="false" customHeight="false" outlineLevel="0" collapsed="false">
      <c r="A40" s="7" t="n">
        <v>39</v>
      </c>
      <c r="B40" s="7" t="s">
        <v>127</v>
      </c>
      <c r="C40" s="7" t="s">
        <v>128</v>
      </c>
      <c r="D40" s="7" t="n">
        <v>2</v>
      </c>
      <c r="E40" s="7" t="n">
        <v>1</v>
      </c>
      <c r="F40" s="7"/>
      <c r="G40" s="7" t="s">
        <v>93</v>
      </c>
      <c r="H40" s="7"/>
      <c r="I40" s="7"/>
      <c r="J40" s="7"/>
      <c r="K40" s="11" t="n">
        <v>3</v>
      </c>
    </row>
    <row r="41" customFormat="false" ht="53.7" hidden="false" customHeight="false" outlineLevel="0" collapsed="false">
      <c r="A41" s="9" t="n">
        <v>40</v>
      </c>
      <c r="B41" s="9" t="s">
        <v>129</v>
      </c>
      <c r="C41" s="9" t="s">
        <v>130</v>
      </c>
      <c r="D41" s="9" t="n">
        <v>4</v>
      </c>
      <c r="E41" s="9" t="n">
        <v>1</v>
      </c>
      <c r="F41" s="9" t="s">
        <v>131</v>
      </c>
      <c r="G41" s="9" t="s">
        <v>93</v>
      </c>
      <c r="H41" s="9"/>
      <c r="I41" s="9"/>
      <c r="J41" s="9"/>
      <c r="K41" s="11" t="n">
        <v>3</v>
      </c>
    </row>
    <row r="42" customFormat="false" ht="43.25" hidden="false" customHeight="false" outlineLevel="0" collapsed="false">
      <c r="A42" s="7" t="n">
        <v>41</v>
      </c>
      <c r="B42" s="7" t="s">
        <v>132</v>
      </c>
      <c r="C42" s="7" t="s">
        <v>133</v>
      </c>
      <c r="D42" s="7" t="n">
        <v>3</v>
      </c>
      <c r="E42" s="7" t="n">
        <v>1</v>
      </c>
      <c r="F42" s="7"/>
      <c r="G42" s="7" t="s">
        <v>93</v>
      </c>
      <c r="H42" s="7"/>
      <c r="I42" s="7"/>
      <c r="J42" s="7"/>
      <c r="K42" s="11" t="n">
        <v>3</v>
      </c>
    </row>
    <row r="43" customFormat="false" ht="53.7" hidden="false" customHeight="false" outlineLevel="0" collapsed="false">
      <c r="A43" s="9" t="n">
        <v>42</v>
      </c>
      <c r="B43" s="9" t="s">
        <v>134</v>
      </c>
      <c r="C43" s="9" t="s">
        <v>135</v>
      </c>
      <c r="D43" s="9" t="n">
        <v>2</v>
      </c>
      <c r="E43" s="9" t="n">
        <v>1</v>
      </c>
      <c r="F43" s="9"/>
      <c r="G43" s="9" t="s">
        <v>93</v>
      </c>
      <c r="H43" s="9"/>
      <c r="I43" s="9"/>
      <c r="J43" s="9"/>
      <c r="K43" s="11" t="n">
        <v>3</v>
      </c>
    </row>
    <row r="44" customFormat="false" ht="53.7" hidden="false" customHeight="false" outlineLevel="0" collapsed="false">
      <c r="A44" s="7" t="n">
        <v>43</v>
      </c>
      <c r="B44" s="7" t="s">
        <v>136</v>
      </c>
      <c r="C44" s="7" t="s">
        <v>137</v>
      </c>
      <c r="D44" s="7" t="n">
        <v>3</v>
      </c>
      <c r="E44" s="7" t="n">
        <v>1</v>
      </c>
      <c r="F44" s="7" t="s">
        <v>138</v>
      </c>
      <c r="G44" s="7" t="s">
        <v>93</v>
      </c>
      <c r="H44" s="7"/>
      <c r="I44" s="7"/>
      <c r="J44" s="7"/>
      <c r="K44" s="11" t="n">
        <v>3</v>
      </c>
    </row>
    <row r="45" customFormat="false" ht="53.7" hidden="false" customHeight="false" outlineLevel="0" collapsed="false">
      <c r="A45" s="9" t="n">
        <v>44</v>
      </c>
      <c r="B45" s="9" t="s">
        <v>139</v>
      </c>
      <c r="C45" s="9" t="s">
        <v>140</v>
      </c>
      <c r="D45" s="9" t="n">
        <v>2</v>
      </c>
      <c r="E45" s="9" t="n">
        <v>1</v>
      </c>
      <c r="F45" s="9"/>
      <c r="G45" s="9" t="s">
        <v>38</v>
      </c>
      <c r="H45" s="9"/>
      <c r="I45" s="9"/>
      <c r="J45" s="9"/>
      <c r="K45" s="9" t="n">
        <v>1</v>
      </c>
    </row>
    <row r="46" customFormat="false" ht="53.7" hidden="false" customHeight="false" outlineLevel="0" collapsed="false">
      <c r="A46" s="7" t="n">
        <v>45</v>
      </c>
      <c r="B46" s="7" t="s">
        <v>141</v>
      </c>
      <c r="C46" s="7" t="s">
        <v>142</v>
      </c>
      <c r="D46" s="7" t="n">
        <v>3</v>
      </c>
      <c r="E46" s="7" t="n">
        <v>1</v>
      </c>
      <c r="F46" s="7"/>
      <c r="G46" s="7" t="s">
        <v>93</v>
      </c>
      <c r="H46" s="7"/>
      <c r="I46" s="7"/>
      <c r="J46" s="7"/>
      <c r="K46" s="7" t="n">
        <v>3</v>
      </c>
    </row>
    <row r="47" customFormat="false" ht="53.7" hidden="false" customHeight="false" outlineLevel="0" collapsed="false">
      <c r="A47" s="9" t="n">
        <v>46</v>
      </c>
      <c r="B47" s="9" t="s">
        <v>143</v>
      </c>
      <c r="C47" s="9" t="s">
        <v>144</v>
      </c>
      <c r="D47" s="9" t="n">
        <v>4</v>
      </c>
      <c r="E47" s="9" t="n">
        <v>1</v>
      </c>
      <c r="F47" s="9"/>
      <c r="G47" s="9" t="s">
        <v>93</v>
      </c>
      <c r="H47" s="9"/>
      <c r="I47" s="9"/>
      <c r="J47" s="9"/>
      <c r="K47" s="9"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0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94" activeCellId="0" sqref="C94"/>
    </sheetView>
  </sheetViews>
  <sheetFormatPr defaultColWidth="11.53515625" defaultRowHeight="15" customHeight="true" zeroHeight="false" outlineLevelRow="0" outlineLevelCol="0"/>
  <cols>
    <col collapsed="false" customWidth="true" hidden="false" outlineLevel="0" max="1" min="1" style="1" width="11"/>
    <col collapsed="false" customWidth="true" hidden="false" outlineLevel="0" max="2" min="2" style="1" width="10.57"/>
    <col collapsed="false" customWidth="true" hidden="false" outlineLevel="0" max="3" min="3" style="1" width="177.43"/>
    <col collapsed="false" customWidth="true" hidden="false" outlineLevel="0" max="4" min="4" style="1" width="20.71"/>
  </cols>
  <sheetData>
    <row r="1" customFormat="false" ht="12.75" hidden="false" customHeight="true" outlineLevel="0" collapsed="false">
      <c r="A1" s="12" t="s">
        <v>25</v>
      </c>
      <c r="B1" s="13" t="s">
        <v>145</v>
      </c>
      <c r="C1" s="12" t="s">
        <v>146</v>
      </c>
      <c r="D1" s="2"/>
    </row>
    <row r="2" customFormat="false" ht="12.75" hidden="false" customHeight="true" outlineLevel="0" collapsed="false">
      <c r="A2" s="14" t="n">
        <f aca="false">IFERROR(__xludf.dummyfunction("ARRAYFORMULA(
  QUERY(
    SPLIT(
      FLATTEN(
        {
          UNIQUE(Decisions!A2:A1000)&amp;""♦true"",
          UNIQUE(Decisions!A2:A1000)&amp;""♦false""
        }
      ),
      ""♦""
    ),
    ""where Col1 is not null"",
    0
  )
)
"),1)</f>
        <v>1</v>
      </c>
      <c r="B2" s="15" t="b">
        <f aca="false">IFERROR(__xludf.dummyfunction("""COMPUTED_VALUE"""),TRUE())</f>
        <v>1</v>
      </c>
      <c r="C2" s="16" t="s">
        <v>147</v>
      </c>
    </row>
    <row r="3" customFormat="false" ht="12.75" hidden="false" customHeight="true" outlineLevel="0" collapsed="false">
      <c r="A3" s="14" t="n">
        <f aca="false">IFERROR(__xludf.dummyfunction("""COMPUTED_VALUE"""),1)</f>
        <v>1</v>
      </c>
      <c r="B3" s="15" t="b">
        <f aca="false">IFERROR(__xludf.dummyfunction("""COMPUTED_VALUE"""),FALSE())</f>
        <v>0</v>
      </c>
      <c r="C3" s="2"/>
    </row>
    <row r="4" customFormat="false" ht="12.75" hidden="false" customHeight="true" outlineLevel="0" collapsed="false">
      <c r="A4" s="14" t="n">
        <f aca="false">IFERROR(__xludf.dummyfunction("""COMPUTED_VALUE"""),2)</f>
        <v>2</v>
      </c>
      <c r="B4" s="15" t="b">
        <f aca="false">IFERROR(__xludf.dummyfunction("""COMPUTED_VALUE"""),TRUE())</f>
        <v>1</v>
      </c>
      <c r="C4" s="16" t="s">
        <v>148</v>
      </c>
    </row>
    <row r="5" customFormat="false" ht="12.75" hidden="false" customHeight="true" outlineLevel="0" collapsed="false">
      <c r="A5" s="14" t="n">
        <f aca="false">IFERROR(__xludf.dummyfunction("""COMPUTED_VALUE"""),2)</f>
        <v>2</v>
      </c>
      <c r="B5" s="15" t="b">
        <f aca="false">IFERROR(__xludf.dummyfunction("""COMPUTED_VALUE"""),FALSE())</f>
        <v>0</v>
      </c>
      <c r="C5" s="2"/>
    </row>
    <row r="6" customFormat="false" ht="12.75" hidden="false" customHeight="true" outlineLevel="0" collapsed="false">
      <c r="A6" s="14" t="n">
        <f aca="false">IFERROR(__xludf.dummyfunction("""COMPUTED_VALUE"""),3)</f>
        <v>3</v>
      </c>
      <c r="B6" s="15" t="b">
        <f aca="false">IFERROR(__xludf.dummyfunction("""COMPUTED_VALUE"""),TRUE())</f>
        <v>1</v>
      </c>
      <c r="C6" s="16" t="s">
        <v>149</v>
      </c>
    </row>
    <row r="7" customFormat="false" ht="12.75" hidden="false" customHeight="true" outlineLevel="0" collapsed="false">
      <c r="A7" s="14" t="n">
        <f aca="false">IFERROR(__xludf.dummyfunction("""COMPUTED_VALUE"""),3)</f>
        <v>3</v>
      </c>
      <c r="B7" s="15" t="b">
        <f aca="false">IFERROR(__xludf.dummyfunction("""COMPUTED_VALUE"""),FALSE())</f>
        <v>0</v>
      </c>
      <c r="C7" s="2"/>
    </row>
    <row r="8" customFormat="false" ht="12.75" hidden="false" customHeight="true" outlineLevel="0" collapsed="false">
      <c r="A8" s="14" t="n">
        <f aca="false">IFERROR(__xludf.dummyfunction("""COMPUTED_VALUE"""),4)</f>
        <v>4</v>
      </c>
      <c r="B8" s="15" t="b">
        <f aca="false">IFERROR(__xludf.dummyfunction("""COMPUTED_VALUE"""),TRUE())</f>
        <v>1</v>
      </c>
      <c r="C8" s="16" t="s">
        <v>150</v>
      </c>
      <c r="D8" s="17"/>
    </row>
    <row r="9" customFormat="false" ht="12.75" hidden="false" customHeight="true" outlineLevel="0" collapsed="false">
      <c r="A9" s="14" t="n">
        <f aca="false">IFERROR(__xludf.dummyfunction("""COMPUTED_VALUE"""),4)</f>
        <v>4</v>
      </c>
      <c r="B9" s="15" t="b">
        <f aca="false">IFERROR(__xludf.dummyfunction("""COMPUTED_VALUE"""),FALSE())</f>
        <v>0</v>
      </c>
      <c r="C9" s="18" t="s">
        <v>151</v>
      </c>
      <c r="D9" s="17"/>
    </row>
    <row r="10" customFormat="false" ht="12.75" hidden="false" customHeight="true" outlineLevel="0" collapsed="false">
      <c r="A10" s="14" t="n">
        <f aca="false">IFERROR(__xludf.dummyfunction("""COMPUTED_VALUE"""),5)</f>
        <v>5</v>
      </c>
      <c r="B10" s="15" t="b">
        <f aca="false">IFERROR(__xludf.dummyfunction("""COMPUTED_VALUE"""),TRUE())</f>
        <v>1</v>
      </c>
      <c r="C10" s="16" t="s">
        <v>152</v>
      </c>
    </row>
    <row r="11" customFormat="false" ht="12.75" hidden="false" customHeight="true" outlineLevel="0" collapsed="false">
      <c r="A11" s="14" t="n">
        <f aca="false">IFERROR(__xludf.dummyfunction("""COMPUTED_VALUE"""),5)</f>
        <v>5</v>
      </c>
      <c r="B11" s="15" t="b">
        <f aca="false">IFERROR(__xludf.dummyfunction("""COMPUTED_VALUE"""),FALSE())</f>
        <v>0</v>
      </c>
      <c r="C11" s="2"/>
    </row>
    <row r="12" customFormat="false" ht="12.75" hidden="false" customHeight="true" outlineLevel="0" collapsed="false">
      <c r="A12" s="14" t="n">
        <f aca="false">IFERROR(__xludf.dummyfunction("""COMPUTED_VALUE"""),6)</f>
        <v>6</v>
      </c>
      <c r="B12" s="15" t="b">
        <f aca="false">IFERROR(__xludf.dummyfunction("""COMPUTED_VALUE"""),TRUE())</f>
        <v>1</v>
      </c>
      <c r="C12" s="16" t="s">
        <v>153</v>
      </c>
      <c r="D12" s="17"/>
    </row>
    <row r="13" customFormat="false" ht="12.75" hidden="false" customHeight="true" outlineLevel="0" collapsed="false">
      <c r="A13" s="14" t="n">
        <f aca="false">IFERROR(__xludf.dummyfunction("""COMPUTED_VALUE"""),6)</f>
        <v>6</v>
      </c>
      <c r="B13" s="15" t="b">
        <f aca="false">IFERROR(__xludf.dummyfunction("""COMPUTED_VALUE"""),FALSE())</f>
        <v>0</v>
      </c>
      <c r="C13" s="3"/>
    </row>
    <row r="14" customFormat="false" ht="12.75" hidden="false" customHeight="true" outlineLevel="0" collapsed="false">
      <c r="A14" s="14" t="n">
        <f aca="false">IFERROR(__xludf.dummyfunction("""COMPUTED_VALUE"""),7)</f>
        <v>7</v>
      </c>
      <c r="B14" s="15" t="b">
        <f aca="false">IFERROR(__xludf.dummyfunction("""COMPUTED_VALUE"""),TRUE())</f>
        <v>1</v>
      </c>
      <c r="C14" s="16" t="s">
        <v>154</v>
      </c>
    </row>
    <row r="15" customFormat="false" ht="12.75" hidden="false" customHeight="true" outlineLevel="0" collapsed="false">
      <c r="A15" s="14" t="n">
        <f aca="false">IFERROR(__xludf.dummyfunction("""COMPUTED_VALUE"""),7)</f>
        <v>7</v>
      </c>
      <c r="B15" s="15" t="b">
        <f aca="false">IFERROR(__xludf.dummyfunction("""COMPUTED_VALUE"""),FALSE())</f>
        <v>0</v>
      </c>
      <c r="C15" s="19"/>
    </row>
    <row r="16" customFormat="false" ht="12.75" hidden="false" customHeight="true" outlineLevel="0" collapsed="false">
      <c r="A16" s="14" t="n">
        <f aca="false">IFERROR(__xludf.dummyfunction("""COMPUTED_VALUE"""),8)</f>
        <v>8</v>
      </c>
      <c r="B16" s="15" t="b">
        <f aca="false">IFERROR(__xludf.dummyfunction("""COMPUTED_VALUE"""),TRUE())</f>
        <v>1</v>
      </c>
      <c r="C16" s="16" t="s">
        <v>155</v>
      </c>
    </row>
    <row r="17" customFormat="false" ht="12.75" hidden="false" customHeight="true" outlineLevel="0" collapsed="false">
      <c r="A17" s="14" t="n">
        <f aca="false">IFERROR(__xludf.dummyfunction("""COMPUTED_VALUE"""),8)</f>
        <v>8</v>
      </c>
      <c r="B17" s="15" t="b">
        <f aca="false">IFERROR(__xludf.dummyfunction("""COMPUTED_VALUE"""),FALSE())</f>
        <v>0</v>
      </c>
      <c r="C17" s="20"/>
    </row>
    <row r="18" customFormat="false" ht="12.75" hidden="false" customHeight="true" outlineLevel="0" collapsed="false">
      <c r="A18" s="14" t="n">
        <f aca="false">IFERROR(__xludf.dummyfunction("""COMPUTED_VALUE"""),9)</f>
        <v>9</v>
      </c>
      <c r="B18" s="15" t="b">
        <f aca="false">IFERROR(__xludf.dummyfunction("""COMPUTED_VALUE"""),TRUE())</f>
        <v>1</v>
      </c>
      <c r="C18" s="16" t="s">
        <v>156</v>
      </c>
    </row>
    <row r="19" customFormat="false" ht="12.75" hidden="false" customHeight="true" outlineLevel="0" collapsed="false">
      <c r="A19" s="14" t="n">
        <f aca="false">IFERROR(__xludf.dummyfunction("""COMPUTED_VALUE"""),9)</f>
        <v>9</v>
      </c>
      <c r="B19" s="15" t="b">
        <f aca="false">IFERROR(__xludf.dummyfunction("""COMPUTED_VALUE"""),FALSE())</f>
        <v>0</v>
      </c>
      <c r="C19" s="2"/>
    </row>
    <row r="20" customFormat="false" ht="12.75" hidden="false" customHeight="true" outlineLevel="0" collapsed="false">
      <c r="A20" s="14" t="n">
        <f aca="false">IFERROR(__xludf.dummyfunction("""COMPUTED_VALUE"""),10)</f>
        <v>10</v>
      </c>
      <c r="B20" s="15" t="b">
        <f aca="false">IFERROR(__xludf.dummyfunction("""COMPUTED_VALUE"""),TRUE())</f>
        <v>1</v>
      </c>
      <c r="C20" s="16" t="s">
        <v>157</v>
      </c>
    </row>
    <row r="21" customFormat="false" ht="12.75" hidden="false" customHeight="true" outlineLevel="0" collapsed="false">
      <c r="A21" s="14" t="n">
        <f aca="false">IFERROR(__xludf.dummyfunction("""COMPUTED_VALUE"""),10)</f>
        <v>10</v>
      </c>
      <c r="B21" s="15" t="b">
        <f aca="false">IFERROR(__xludf.dummyfunction("""COMPUTED_VALUE"""),FALSE())</f>
        <v>0</v>
      </c>
      <c r="C21" s="18" t="s">
        <v>158</v>
      </c>
    </row>
    <row r="22" customFormat="false" ht="12.75" hidden="false" customHeight="true" outlineLevel="0" collapsed="false">
      <c r="A22" s="14" t="n">
        <f aca="false">IFERROR(__xludf.dummyfunction("""COMPUTED_VALUE"""),11)</f>
        <v>11</v>
      </c>
      <c r="B22" s="15" t="b">
        <f aca="false">IFERROR(__xludf.dummyfunction("""COMPUTED_VALUE"""),TRUE())</f>
        <v>1</v>
      </c>
      <c r="C22" s="16" t="s">
        <v>159</v>
      </c>
    </row>
    <row r="23" customFormat="false" ht="12.75" hidden="false" customHeight="true" outlineLevel="0" collapsed="false">
      <c r="A23" s="14" t="n">
        <f aca="false">IFERROR(__xludf.dummyfunction("""COMPUTED_VALUE"""),11)</f>
        <v>11</v>
      </c>
      <c r="B23" s="15" t="b">
        <f aca="false">IFERROR(__xludf.dummyfunction("""COMPUTED_VALUE"""),FALSE())</f>
        <v>0</v>
      </c>
      <c r="C23" s="18" t="s">
        <v>160</v>
      </c>
    </row>
    <row r="24" customFormat="false" ht="12.75" hidden="false" customHeight="true" outlineLevel="0" collapsed="false">
      <c r="A24" s="14" t="n">
        <f aca="false">IFERROR(__xludf.dummyfunction("""COMPUTED_VALUE"""),12)</f>
        <v>12</v>
      </c>
      <c r="B24" s="15" t="b">
        <f aca="false">IFERROR(__xludf.dummyfunction("""COMPUTED_VALUE"""),TRUE())</f>
        <v>1</v>
      </c>
      <c r="C24" s="16" t="s">
        <v>161</v>
      </c>
      <c r="D24" s="17"/>
    </row>
    <row r="25" customFormat="false" ht="12.75" hidden="false" customHeight="true" outlineLevel="0" collapsed="false">
      <c r="A25" s="14" t="n">
        <f aca="false">IFERROR(__xludf.dummyfunction("""COMPUTED_VALUE"""),12)</f>
        <v>12</v>
      </c>
      <c r="B25" s="15" t="b">
        <f aca="false">IFERROR(__xludf.dummyfunction("""COMPUTED_VALUE"""),FALSE())</f>
        <v>0</v>
      </c>
      <c r="C25" s="2"/>
      <c r="D25" s="17"/>
    </row>
    <row r="26" customFormat="false" ht="12.75" hidden="false" customHeight="true" outlineLevel="0" collapsed="false">
      <c r="A26" s="14" t="n">
        <f aca="false">IFERROR(__xludf.dummyfunction("""COMPUTED_VALUE"""),13)</f>
        <v>13</v>
      </c>
      <c r="B26" s="15" t="b">
        <f aca="false">IFERROR(__xludf.dummyfunction("""COMPUTED_VALUE"""),TRUE())</f>
        <v>1</v>
      </c>
      <c r="C26" s="16" t="s">
        <v>162</v>
      </c>
    </row>
    <row r="27" customFormat="false" ht="12.75" hidden="false" customHeight="true" outlineLevel="0" collapsed="false">
      <c r="A27" s="14" t="n">
        <f aca="false">IFERROR(__xludf.dummyfunction("""COMPUTED_VALUE"""),13)</f>
        <v>13</v>
      </c>
      <c r="B27" s="15" t="b">
        <f aca="false">IFERROR(__xludf.dummyfunction("""COMPUTED_VALUE"""),FALSE())</f>
        <v>0</v>
      </c>
      <c r="C27" s="2"/>
    </row>
    <row r="28" customFormat="false" ht="12.75" hidden="false" customHeight="true" outlineLevel="0" collapsed="false">
      <c r="A28" s="14" t="n">
        <f aca="false">IFERROR(__xludf.dummyfunction("""COMPUTED_VALUE"""),14)</f>
        <v>14</v>
      </c>
      <c r="B28" s="15" t="b">
        <f aca="false">IFERROR(__xludf.dummyfunction("""COMPUTED_VALUE"""),TRUE())</f>
        <v>1</v>
      </c>
      <c r="C28" s="16" t="s">
        <v>163</v>
      </c>
    </row>
    <row r="29" customFormat="false" ht="12.75" hidden="false" customHeight="true" outlineLevel="0" collapsed="false">
      <c r="A29" s="14" t="n">
        <f aca="false">IFERROR(__xludf.dummyfunction("""COMPUTED_VALUE"""),14)</f>
        <v>14</v>
      </c>
      <c r="B29" s="15" t="b">
        <f aca="false">IFERROR(__xludf.dummyfunction("""COMPUTED_VALUE"""),FALSE())</f>
        <v>0</v>
      </c>
      <c r="C29" s="18" t="s">
        <v>164</v>
      </c>
    </row>
    <row r="30" customFormat="false" ht="12.75" hidden="false" customHeight="true" outlineLevel="0" collapsed="false">
      <c r="A30" s="14" t="n">
        <f aca="false">IFERROR(__xludf.dummyfunction("""COMPUTED_VALUE"""),15)</f>
        <v>15</v>
      </c>
      <c r="B30" s="15" t="b">
        <f aca="false">IFERROR(__xludf.dummyfunction("""COMPUTED_VALUE"""),TRUE())</f>
        <v>1</v>
      </c>
      <c r="C30" s="16" t="s">
        <v>165</v>
      </c>
      <c r="D30" s="17"/>
    </row>
    <row r="31" customFormat="false" ht="12.75" hidden="false" customHeight="true" outlineLevel="0" collapsed="false">
      <c r="A31" s="14" t="n">
        <f aca="false">IFERROR(__xludf.dummyfunction("""COMPUTED_VALUE"""),15)</f>
        <v>15</v>
      </c>
      <c r="B31" s="15" t="b">
        <f aca="false">IFERROR(__xludf.dummyfunction("""COMPUTED_VALUE"""),FALSE())</f>
        <v>0</v>
      </c>
      <c r="C31" s="18" t="s">
        <v>166</v>
      </c>
    </row>
    <row r="32" customFormat="false" ht="12.75" hidden="false" customHeight="true" outlineLevel="0" collapsed="false">
      <c r="A32" s="14" t="n">
        <f aca="false">IFERROR(__xludf.dummyfunction("""COMPUTED_VALUE"""),16)</f>
        <v>16</v>
      </c>
      <c r="B32" s="15" t="b">
        <f aca="false">IFERROR(__xludf.dummyfunction("""COMPUTED_VALUE"""),TRUE())</f>
        <v>1</v>
      </c>
      <c r="C32" s="16" t="s">
        <v>167</v>
      </c>
    </row>
    <row r="33" customFormat="false" ht="12.75" hidden="false" customHeight="true" outlineLevel="0" collapsed="false">
      <c r="A33" s="14" t="n">
        <f aca="false">IFERROR(__xludf.dummyfunction("""COMPUTED_VALUE"""),16)</f>
        <v>16</v>
      </c>
      <c r="B33" s="15" t="b">
        <f aca="false">IFERROR(__xludf.dummyfunction("""COMPUTED_VALUE"""),FALSE())</f>
        <v>0</v>
      </c>
      <c r="C33" s="18" t="s">
        <v>168</v>
      </c>
    </row>
    <row r="34" customFormat="false" ht="12.75" hidden="false" customHeight="true" outlineLevel="0" collapsed="false">
      <c r="A34" s="14" t="n">
        <f aca="false">IFERROR(__xludf.dummyfunction("""COMPUTED_VALUE"""),17)</f>
        <v>17</v>
      </c>
      <c r="B34" s="15" t="b">
        <f aca="false">IFERROR(__xludf.dummyfunction("""COMPUTED_VALUE"""),TRUE())</f>
        <v>1</v>
      </c>
      <c r="C34" s="16" t="s">
        <v>169</v>
      </c>
      <c r="D34" s="17"/>
    </row>
    <row r="35" customFormat="false" ht="12.75" hidden="false" customHeight="true" outlineLevel="0" collapsed="false">
      <c r="A35" s="14" t="n">
        <f aca="false">IFERROR(__xludf.dummyfunction("""COMPUTED_VALUE"""),17)</f>
        <v>17</v>
      </c>
      <c r="B35" s="15" t="b">
        <f aca="false">IFERROR(__xludf.dummyfunction("""COMPUTED_VALUE"""),FALSE())</f>
        <v>0</v>
      </c>
      <c r="C35" s="3"/>
    </row>
    <row r="36" customFormat="false" ht="12.75" hidden="false" customHeight="true" outlineLevel="0" collapsed="false">
      <c r="A36" s="14" t="n">
        <f aca="false">IFERROR(__xludf.dummyfunction("""COMPUTED_VALUE"""),18)</f>
        <v>18</v>
      </c>
      <c r="B36" s="15" t="b">
        <f aca="false">IFERROR(__xludf.dummyfunction("""COMPUTED_VALUE"""),TRUE())</f>
        <v>1</v>
      </c>
      <c r="C36" s="16" t="s">
        <v>170</v>
      </c>
    </row>
    <row r="37" customFormat="false" ht="12.75" hidden="false" customHeight="true" outlineLevel="0" collapsed="false">
      <c r="A37" s="14" t="n">
        <f aca="false">IFERROR(__xludf.dummyfunction("""COMPUTED_VALUE"""),18)</f>
        <v>18</v>
      </c>
      <c r="B37" s="15" t="b">
        <f aca="false">IFERROR(__xludf.dummyfunction("""COMPUTED_VALUE"""),FALSE())</f>
        <v>0</v>
      </c>
      <c r="C37" s="2"/>
    </row>
    <row r="38" customFormat="false" ht="12.75" hidden="false" customHeight="true" outlineLevel="0" collapsed="false">
      <c r="A38" s="14" t="n">
        <f aca="false">IFERROR(__xludf.dummyfunction("""COMPUTED_VALUE"""),19)</f>
        <v>19</v>
      </c>
      <c r="B38" s="15" t="b">
        <f aca="false">IFERROR(__xludf.dummyfunction("""COMPUTED_VALUE"""),TRUE())</f>
        <v>1</v>
      </c>
      <c r="C38" s="16" t="s">
        <v>171</v>
      </c>
    </row>
    <row r="39" customFormat="false" ht="12.75" hidden="false" customHeight="true" outlineLevel="0" collapsed="false">
      <c r="A39" s="14" t="n">
        <f aca="false">IFERROR(__xludf.dummyfunction("""COMPUTED_VALUE"""),19)</f>
        <v>19</v>
      </c>
      <c r="B39" s="15" t="b">
        <f aca="false">IFERROR(__xludf.dummyfunction("""COMPUTED_VALUE"""),FALSE())</f>
        <v>0</v>
      </c>
      <c r="C39" s="20"/>
    </row>
    <row r="40" customFormat="false" ht="12.75" hidden="false" customHeight="true" outlineLevel="0" collapsed="false">
      <c r="A40" s="14" t="n">
        <f aca="false">IFERROR(__xludf.dummyfunction("""COMPUTED_VALUE"""),20)</f>
        <v>20</v>
      </c>
      <c r="B40" s="15" t="b">
        <f aca="false">IFERROR(__xludf.dummyfunction("""COMPUTED_VALUE"""),TRUE())</f>
        <v>1</v>
      </c>
      <c r="C40" s="16" t="s">
        <v>172</v>
      </c>
      <c r="D40" s="17"/>
    </row>
    <row r="41" customFormat="false" ht="12.75" hidden="false" customHeight="true" outlineLevel="0" collapsed="false">
      <c r="A41" s="14" t="n">
        <f aca="false">IFERROR(__xludf.dummyfunction("""COMPUTED_VALUE"""),20)</f>
        <v>20</v>
      </c>
      <c r="B41" s="15" t="b">
        <f aca="false">IFERROR(__xludf.dummyfunction("""COMPUTED_VALUE"""),FALSE())</f>
        <v>0</v>
      </c>
      <c r="C41" s="18" t="s">
        <v>173</v>
      </c>
    </row>
    <row r="42" customFormat="false" ht="12.75" hidden="false" customHeight="true" outlineLevel="0" collapsed="false">
      <c r="A42" s="14" t="n">
        <f aca="false">IFERROR(__xludf.dummyfunction("""COMPUTED_VALUE"""),21)</f>
        <v>21</v>
      </c>
      <c r="B42" s="15" t="b">
        <f aca="false">IFERROR(__xludf.dummyfunction("""COMPUTED_VALUE"""),TRUE())</f>
        <v>1</v>
      </c>
      <c r="C42" s="16" t="s">
        <v>174</v>
      </c>
      <c r="D42" s="17"/>
    </row>
    <row r="43" customFormat="false" ht="12.75" hidden="false" customHeight="true" outlineLevel="0" collapsed="false">
      <c r="A43" s="14" t="n">
        <f aca="false">IFERROR(__xludf.dummyfunction("""COMPUTED_VALUE"""),21)</f>
        <v>21</v>
      </c>
      <c r="B43" s="15" t="b">
        <f aca="false">IFERROR(__xludf.dummyfunction("""COMPUTED_VALUE"""),FALSE())</f>
        <v>0</v>
      </c>
      <c r="C43" s="2"/>
    </row>
    <row r="44" customFormat="false" ht="12.75" hidden="false" customHeight="true" outlineLevel="0" collapsed="false">
      <c r="A44" s="14" t="n">
        <f aca="false">IFERROR(__xludf.dummyfunction("""COMPUTED_VALUE"""),22)</f>
        <v>22</v>
      </c>
      <c r="B44" s="15" t="b">
        <f aca="false">IFERROR(__xludf.dummyfunction("""COMPUTED_VALUE"""),TRUE())</f>
        <v>1</v>
      </c>
      <c r="C44" s="16" t="s">
        <v>175</v>
      </c>
      <c r="D44" s="17"/>
    </row>
    <row r="45" customFormat="false" ht="12.75" hidden="false" customHeight="true" outlineLevel="0" collapsed="false">
      <c r="A45" s="14" t="n">
        <f aca="false">IFERROR(__xludf.dummyfunction("""COMPUTED_VALUE"""),22)</f>
        <v>22</v>
      </c>
      <c r="B45" s="15" t="b">
        <f aca="false">IFERROR(__xludf.dummyfunction("""COMPUTED_VALUE"""),FALSE())</f>
        <v>0</v>
      </c>
      <c r="C45" s="3"/>
    </row>
    <row r="46" customFormat="false" ht="12.75" hidden="false" customHeight="true" outlineLevel="0" collapsed="false">
      <c r="A46" s="14" t="n">
        <f aca="false">IFERROR(__xludf.dummyfunction("""COMPUTED_VALUE"""),23)</f>
        <v>23</v>
      </c>
      <c r="B46" s="15" t="b">
        <f aca="false">IFERROR(__xludf.dummyfunction("""COMPUTED_VALUE"""),TRUE())</f>
        <v>1</v>
      </c>
      <c r="C46" s="16" t="s">
        <v>176</v>
      </c>
      <c r="D46" s="17"/>
    </row>
    <row r="47" customFormat="false" ht="12.75" hidden="false" customHeight="true" outlineLevel="0" collapsed="false">
      <c r="A47" s="14" t="n">
        <f aca="false">IFERROR(__xludf.dummyfunction("""COMPUTED_VALUE"""),23)</f>
        <v>23</v>
      </c>
      <c r="B47" s="15" t="b">
        <f aca="false">IFERROR(__xludf.dummyfunction("""COMPUTED_VALUE"""),FALSE())</f>
        <v>0</v>
      </c>
      <c r="C47" s="18" t="s">
        <v>177</v>
      </c>
    </row>
    <row r="48" customFormat="false" ht="12.75" hidden="false" customHeight="true" outlineLevel="0" collapsed="false">
      <c r="A48" s="14" t="n">
        <f aca="false">IFERROR(__xludf.dummyfunction("""COMPUTED_VALUE"""),24)</f>
        <v>24</v>
      </c>
      <c r="B48" s="15" t="b">
        <f aca="false">IFERROR(__xludf.dummyfunction("""COMPUTED_VALUE"""),TRUE())</f>
        <v>1</v>
      </c>
      <c r="C48" s="16" t="s">
        <v>178</v>
      </c>
    </row>
    <row r="49" customFormat="false" ht="12.75" hidden="false" customHeight="true" outlineLevel="0" collapsed="false">
      <c r="A49" s="14" t="n">
        <f aca="false">IFERROR(__xludf.dummyfunction("""COMPUTED_VALUE"""),24)</f>
        <v>24</v>
      </c>
      <c r="B49" s="15" t="b">
        <f aca="false">IFERROR(__xludf.dummyfunction("""COMPUTED_VALUE"""),FALSE())</f>
        <v>0</v>
      </c>
      <c r="C49" s="19"/>
    </row>
    <row r="50" customFormat="false" ht="12.75" hidden="false" customHeight="true" outlineLevel="0" collapsed="false">
      <c r="A50" s="14" t="n">
        <f aca="false">IFERROR(__xludf.dummyfunction("""COMPUTED_VALUE"""),25)</f>
        <v>25</v>
      </c>
      <c r="B50" s="15" t="b">
        <f aca="false">IFERROR(__xludf.dummyfunction("""COMPUTED_VALUE"""),TRUE())</f>
        <v>1</v>
      </c>
      <c r="C50" s="16" t="s">
        <v>179</v>
      </c>
    </row>
    <row r="51" customFormat="false" ht="12.75" hidden="false" customHeight="true" outlineLevel="0" collapsed="false">
      <c r="A51" s="14" t="n">
        <f aca="false">IFERROR(__xludf.dummyfunction("""COMPUTED_VALUE"""),25)</f>
        <v>25</v>
      </c>
      <c r="B51" s="15" t="b">
        <f aca="false">IFERROR(__xludf.dummyfunction("""COMPUTED_VALUE"""),FALSE())</f>
        <v>0</v>
      </c>
      <c r="C51" s="18" t="s">
        <v>180</v>
      </c>
    </row>
    <row r="52" customFormat="false" ht="12.75" hidden="false" customHeight="true" outlineLevel="0" collapsed="false">
      <c r="A52" s="14" t="n">
        <f aca="false">IFERROR(__xludf.dummyfunction("""COMPUTED_VALUE"""),26)</f>
        <v>26</v>
      </c>
      <c r="B52" s="15" t="b">
        <f aca="false">IFERROR(__xludf.dummyfunction("""COMPUTED_VALUE"""),TRUE())</f>
        <v>1</v>
      </c>
      <c r="C52" s="16" t="s">
        <v>181</v>
      </c>
    </row>
    <row r="53" customFormat="false" ht="12.75" hidden="false" customHeight="true" outlineLevel="0" collapsed="false">
      <c r="A53" s="14" t="n">
        <f aca="false">IFERROR(__xludf.dummyfunction("""COMPUTED_VALUE"""),26)</f>
        <v>26</v>
      </c>
      <c r="B53" s="15" t="b">
        <f aca="false">IFERROR(__xludf.dummyfunction("""COMPUTED_VALUE"""),FALSE())</f>
        <v>0</v>
      </c>
      <c r="C53" s="2"/>
      <c r="D53" s="17"/>
    </row>
    <row r="54" customFormat="false" ht="12.75" hidden="false" customHeight="true" outlineLevel="0" collapsed="false">
      <c r="A54" s="14" t="n">
        <f aca="false">IFERROR(__xludf.dummyfunction("""COMPUTED_VALUE"""),27)</f>
        <v>27</v>
      </c>
      <c r="B54" s="15" t="b">
        <f aca="false">IFERROR(__xludf.dummyfunction("""COMPUTED_VALUE"""),TRUE())</f>
        <v>1</v>
      </c>
      <c r="C54" s="16" t="s">
        <v>182</v>
      </c>
      <c r="D54" s="17"/>
    </row>
    <row r="55" customFormat="false" ht="12.75" hidden="false" customHeight="true" outlineLevel="0" collapsed="false">
      <c r="A55" s="14" t="n">
        <f aca="false">IFERROR(__xludf.dummyfunction("""COMPUTED_VALUE"""),27)</f>
        <v>27</v>
      </c>
      <c r="B55" s="15" t="b">
        <f aca="false">IFERROR(__xludf.dummyfunction("""COMPUTED_VALUE"""),FALSE())</f>
        <v>0</v>
      </c>
      <c r="C55" s="21"/>
      <c r="D55" s="17"/>
    </row>
    <row r="56" customFormat="false" ht="12.75" hidden="false" customHeight="true" outlineLevel="0" collapsed="false">
      <c r="A56" s="14" t="n">
        <f aca="false">IFERROR(__xludf.dummyfunction("""COMPUTED_VALUE"""),28)</f>
        <v>28</v>
      </c>
      <c r="B56" s="15" t="b">
        <f aca="false">IFERROR(__xludf.dummyfunction("""COMPUTED_VALUE"""),TRUE())</f>
        <v>1</v>
      </c>
      <c r="C56" s="16" t="s">
        <v>183</v>
      </c>
    </row>
    <row r="57" customFormat="false" ht="12.75" hidden="false" customHeight="true" outlineLevel="0" collapsed="false">
      <c r="A57" s="14" t="n">
        <f aca="false">IFERROR(__xludf.dummyfunction("""COMPUTED_VALUE"""),28)</f>
        <v>28</v>
      </c>
      <c r="B57" s="15" t="b">
        <f aca="false">IFERROR(__xludf.dummyfunction("""COMPUTED_VALUE"""),FALSE())</f>
        <v>0</v>
      </c>
      <c r="C57" s="2"/>
    </row>
    <row r="58" customFormat="false" ht="12.75" hidden="false" customHeight="true" outlineLevel="0" collapsed="false">
      <c r="A58" s="14" t="n">
        <f aca="false">IFERROR(__xludf.dummyfunction("""COMPUTED_VALUE"""),29)</f>
        <v>29</v>
      </c>
      <c r="B58" s="15" t="b">
        <f aca="false">IFERROR(__xludf.dummyfunction("""COMPUTED_VALUE"""),TRUE())</f>
        <v>1</v>
      </c>
      <c r="C58" s="16" t="s">
        <v>184</v>
      </c>
    </row>
    <row r="59" customFormat="false" ht="12.75" hidden="false" customHeight="true" outlineLevel="0" collapsed="false">
      <c r="A59" s="14" t="n">
        <f aca="false">IFERROR(__xludf.dummyfunction("""COMPUTED_VALUE"""),29)</f>
        <v>29</v>
      </c>
      <c r="B59" s="15" t="b">
        <f aca="false">IFERROR(__xludf.dummyfunction("""COMPUTED_VALUE"""),FALSE())</f>
        <v>0</v>
      </c>
      <c r="C59" s="2"/>
    </row>
    <row r="60" customFormat="false" ht="12.75" hidden="false" customHeight="true" outlineLevel="0" collapsed="false">
      <c r="A60" s="14" t="n">
        <f aca="false">IFERROR(__xludf.dummyfunction("""COMPUTED_VALUE"""),30)</f>
        <v>30</v>
      </c>
      <c r="B60" s="15" t="b">
        <f aca="false">IFERROR(__xludf.dummyfunction("""COMPUTED_VALUE"""),TRUE())</f>
        <v>1</v>
      </c>
      <c r="C60" s="16" t="s">
        <v>185</v>
      </c>
    </row>
    <row r="61" customFormat="false" ht="12.75" hidden="false" customHeight="true" outlineLevel="0" collapsed="false">
      <c r="A61" s="14" t="n">
        <f aca="false">IFERROR(__xludf.dummyfunction("""COMPUTED_VALUE"""),30)</f>
        <v>30</v>
      </c>
      <c r="B61" s="15" t="b">
        <f aca="false">IFERROR(__xludf.dummyfunction("""COMPUTED_VALUE"""),FALSE())</f>
        <v>0</v>
      </c>
      <c r="C61" s="18" t="s">
        <v>186</v>
      </c>
    </row>
    <row r="62" customFormat="false" ht="12.75" hidden="false" customHeight="true" outlineLevel="0" collapsed="false">
      <c r="A62" s="14" t="n">
        <f aca="false">IFERROR(__xludf.dummyfunction("""COMPUTED_VALUE"""),31)</f>
        <v>31</v>
      </c>
      <c r="B62" s="15" t="b">
        <f aca="false">IFERROR(__xludf.dummyfunction("""COMPUTED_VALUE"""),TRUE())</f>
        <v>1</v>
      </c>
      <c r="C62" s="16" t="s">
        <v>187</v>
      </c>
    </row>
    <row r="63" customFormat="false" ht="12.75" hidden="false" customHeight="true" outlineLevel="0" collapsed="false">
      <c r="A63" s="14" t="n">
        <f aca="false">IFERROR(__xludf.dummyfunction("""COMPUTED_VALUE"""),31)</f>
        <v>31</v>
      </c>
      <c r="B63" s="15" t="b">
        <f aca="false">IFERROR(__xludf.dummyfunction("""COMPUTED_VALUE"""),FALSE())</f>
        <v>0</v>
      </c>
      <c r="C63" s="18" t="s">
        <v>188</v>
      </c>
    </row>
    <row r="64" customFormat="false" ht="12.75" hidden="false" customHeight="true" outlineLevel="0" collapsed="false">
      <c r="A64" s="14" t="n">
        <f aca="false">IFERROR(__xludf.dummyfunction("""COMPUTED_VALUE"""),32)</f>
        <v>32</v>
      </c>
      <c r="B64" s="15" t="b">
        <f aca="false">IFERROR(__xludf.dummyfunction("""COMPUTED_VALUE"""),TRUE())</f>
        <v>1</v>
      </c>
      <c r="C64" s="16" t="s">
        <v>189</v>
      </c>
    </row>
    <row r="65" customFormat="false" ht="12.75" hidden="false" customHeight="true" outlineLevel="0" collapsed="false">
      <c r="A65" s="14" t="n">
        <f aca="false">IFERROR(__xludf.dummyfunction("""COMPUTED_VALUE"""),32)</f>
        <v>32</v>
      </c>
      <c r="B65" s="15" t="b">
        <f aca="false">IFERROR(__xludf.dummyfunction("""COMPUTED_VALUE"""),FALSE())</f>
        <v>0</v>
      </c>
      <c r="C65" s="2"/>
    </row>
    <row r="66" customFormat="false" ht="12.75" hidden="false" customHeight="true" outlineLevel="0" collapsed="false">
      <c r="A66" s="14" t="n">
        <f aca="false">IFERROR(__xludf.dummyfunction("""COMPUTED_VALUE"""),33)</f>
        <v>33</v>
      </c>
      <c r="B66" s="15" t="b">
        <f aca="false">IFERROR(__xludf.dummyfunction("""COMPUTED_VALUE"""),TRUE())</f>
        <v>1</v>
      </c>
      <c r="C66" s="16" t="s">
        <v>190</v>
      </c>
    </row>
    <row r="67" customFormat="false" ht="12.75" hidden="false" customHeight="true" outlineLevel="0" collapsed="false">
      <c r="A67" s="22" t="n">
        <f aca="false">IFERROR(__xludf.dummyfunction("""COMPUTED_VALUE"""),33)</f>
        <v>33</v>
      </c>
      <c r="B67" s="2" t="b">
        <f aca="false">IFERROR(__xludf.dummyfunction("""COMPUTED_VALUE"""),FALSE())</f>
        <v>0</v>
      </c>
      <c r="C67" s="18" t="s">
        <v>191</v>
      </c>
    </row>
    <row r="68" customFormat="false" ht="12.75" hidden="false" customHeight="true" outlineLevel="0" collapsed="false">
      <c r="A68" s="22" t="n">
        <f aca="false">IFERROR(__xludf.dummyfunction("""COMPUTED_VALUE"""),34)</f>
        <v>34</v>
      </c>
      <c r="B68" s="2" t="b">
        <f aca="false">IFERROR(__xludf.dummyfunction("""COMPUTED_VALUE"""),TRUE())</f>
        <v>1</v>
      </c>
      <c r="C68" s="16" t="s">
        <v>192</v>
      </c>
    </row>
    <row r="69" customFormat="false" ht="12.75" hidden="false" customHeight="true" outlineLevel="0" collapsed="false">
      <c r="A69" s="22" t="n">
        <f aca="false">IFERROR(__xludf.dummyfunction("""COMPUTED_VALUE"""),34)</f>
        <v>34</v>
      </c>
      <c r="B69" s="2" t="b">
        <f aca="false">IFERROR(__xludf.dummyfunction("""COMPUTED_VALUE"""),FALSE())</f>
        <v>0</v>
      </c>
      <c r="C69" s="21"/>
    </row>
    <row r="70" customFormat="false" ht="12.75" hidden="false" customHeight="true" outlineLevel="0" collapsed="false">
      <c r="A70" s="22" t="n">
        <f aca="false">IFERROR(__xludf.dummyfunction("""COMPUTED_VALUE"""),35)</f>
        <v>35</v>
      </c>
      <c r="B70" s="2" t="b">
        <f aca="false">IFERROR(__xludf.dummyfunction("""COMPUTED_VALUE"""),TRUE())</f>
        <v>1</v>
      </c>
      <c r="C70" s="16" t="s">
        <v>193</v>
      </c>
    </row>
    <row r="71" customFormat="false" ht="12.75" hidden="false" customHeight="true" outlineLevel="0" collapsed="false">
      <c r="A71" s="22" t="n">
        <f aca="false">IFERROR(__xludf.dummyfunction("""COMPUTED_VALUE"""),35)</f>
        <v>35</v>
      </c>
      <c r="B71" s="2" t="b">
        <f aca="false">IFERROR(__xludf.dummyfunction("""COMPUTED_VALUE"""),FALSE())</f>
        <v>0</v>
      </c>
      <c r="C71" s="18" t="s">
        <v>194</v>
      </c>
    </row>
    <row r="72" customFormat="false" ht="12.75" hidden="false" customHeight="true" outlineLevel="0" collapsed="false">
      <c r="A72" s="22" t="n">
        <f aca="false">IFERROR(__xludf.dummyfunction("""COMPUTED_VALUE"""),36)</f>
        <v>36</v>
      </c>
      <c r="B72" s="2" t="b">
        <f aca="false">IFERROR(__xludf.dummyfunction("""COMPUTED_VALUE"""),TRUE())</f>
        <v>1</v>
      </c>
      <c r="C72" s="16" t="s">
        <v>195</v>
      </c>
    </row>
    <row r="73" customFormat="false" ht="12.75" hidden="false" customHeight="true" outlineLevel="0" collapsed="false">
      <c r="A73" s="22" t="n">
        <f aca="false">IFERROR(__xludf.dummyfunction("""COMPUTED_VALUE"""),36)</f>
        <v>36</v>
      </c>
      <c r="B73" s="2" t="b">
        <f aca="false">IFERROR(__xludf.dummyfunction("""COMPUTED_VALUE"""),FALSE())</f>
        <v>0</v>
      </c>
      <c r="C73" s="21"/>
    </row>
    <row r="74" customFormat="false" ht="12.75" hidden="false" customHeight="true" outlineLevel="0" collapsed="false">
      <c r="A74" s="22" t="n">
        <f aca="false">IFERROR(__xludf.dummyfunction("""COMPUTED_VALUE"""),37)</f>
        <v>37</v>
      </c>
      <c r="B74" s="2" t="b">
        <f aca="false">IFERROR(__xludf.dummyfunction("""COMPUTED_VALUE"""),TRUE())</f>
        <v>1</v>
      </c>
      <c r="C74" s="16" t="s">
        <v>196</v>
      </c>
    </row>
    <row r="75" customFormat="false" ht="12.75" hidden="false" customHeight="true" outlineLevel="0" collapsed="false">
      <c r="A75" s="22" t="n">
        <f aca="false">IFERROR(__xludf.dummyfunction("""COMPUTED_VALUE"""),37)</f>
        <v>37</v>
      </c>
      <c r="B75" s="2" t="b">
        <f aca="false">IFERROR(__xludf.dummyfunction("""COMPUTED_VALUE"""),FALSE())</f>
        <v>0</v>
      </c>
      <c r="C75" s="13"/>
    </row>
    <row r="76" customFormat="false" ht="12.75" hidden="false" customHeight="true" outlineLevel="0" collapsed="false">
      <c r="A76" s="22" t="n">
        <f aca="false">IFERROR(__xludf.dummyfunction("""COMPUTED_VALUE"""),38)</f>
        <v>38</v>
      </c>
      <c r="B76" s="2" t="b">
        <f aca="false">IFERROR(__xludf.dummyfunction("""COMPUTED_VALUE"""),TRUE())</f>
        <v>1</v>
      </c>
      <c r="C76" s="16" t="s">
        <v>197</v>
      </c>
    </row>
    <row r="77" customFormat="false" ht="12.75" hidden="false" customHeight="true" outlineLevel="0" collapsed="false">
      <c r="A77" s="22" t="n">
        <f aca="false">IFERROR(__xludf.dummyfunction("""COMPUTED_VALUE"""),38)</f>
        <v>38</v>
      </c>
      <c r="B77" s="2" t="b">
        <f aca="false">IFERROR(__xludf.dummyfunction("""COMPUTED_VALUE"""),FALSE())</f>
        <v>0</v>
      </c>
      <c r="C77" s="2"/>
    </row>
    <row r="78" customFormat="false" ht="12.75" hidden="false" customHeight="true" outlineLevel="0" collapsed="false">
      <c r="A78" s="22" t="n">
        <f aca="false">IFERROR(__xludf.dummyfunction("""COMPUTED_VALUE"""),39)</f>
        <v>39</v>
      </c>
      <c r="B78" s="2" t="b">
        <f aca="false">IFERROR(__xludf.dummyfunction("""COMPUTED_VALUE"""),TRUE())</f>
        <v>1</v>
      </c>
      <c r="C78" s="16" t="s">
        <v>198</v>
      </c>
    </row>
    <row r="79" customFormat="false" ht="12.75" hidden="false" customHeight="true" outlineLevel="0" collapsed="false">
      <c r="A79" s="22" t="n">
        <f aca="false">IFERROR(__xludf.dummyfunction("""COMPUTED_VALUE"""),39)</f>
        <v>39</v>
      </c>
      <c r="B79" s="2" t="b">
        <f aca="false">IFERROR(__xludf.dummyfunction("""COMPUTED_VALUE"""),FALSE())</f>
        <v>0</v>
      </c>
      <c r="C79" s="21"/>
    </row>
    <row r="80" customFormat="false" ht="12.75" hidden="false" customHeight="true" outlineLevel="0" collapsed="false">
      <c r="A80" s="22" t="n">
        <f aca="false">IFERROR(__xludf.dummyfunction("""COMPUTED_VALUE"""),40)</f>
        <v>40</v>
      </c>
      <c r="B80" s="2" t="b">
        <f aca="false">IFERROR(__xludf.dummyfunction("""COMPUTED_VALUE"""),TRUE())</f>
        <v>1</v>
      </c>
      <c r="C80" s="16" t="s">
        <v>199</v>
      </c>
    </row>
    <row r="81" customFormat="false" ht="12.75" hidden="false" customHeight="true" outlineLevel="0" collapsed="false">
      <c r="A81" s="22" t="n">
        <f aca="false">IFERROR(__xludf.dummyfunction("""COMPUTED_VALUE"""),40)</f>
        <v>40</v>
      </c>
      <c r="B81" s="2" t="b">
        <f aca="false">IFERROR(__xludf.dummyfunction("""COMPUTED_VALUE"""),FALSE())</f>
        <v>0</v>
      </c>
      <c r="C81" s="18" t="s">
        <v>200</v>
      </c>
    </row>
    <row r="82" customFormat="false" ht="12.75" hidden="false" customHeight="true" outlineLevel="0" collapsed="false">
      <c r="A82" s="22" t="n">
        <f aca="false">IFERROR(__xludf.dummyfunction("""COMPUTED_VALUE"""),41)</f>
        <v>41</v>
      </c>
      <c r="B82" s="2" t="b">
        <f aca="false">IFERROR(__xludf.dummyfunction("""COMPUTED_VALUE"""),TRUE())</f>
        <v>1</v>
      </c>
      <c r="C82" s="16" t="s">
        <v>201</v>
      </c>
    </row>
    <row r="83" customFormat="false" ht="12.75" hidden="false" customHeight="true" outlineLevel="0" collapsed="false">
      <c r="A83" s="22" t="n">
        <f aca="false">IFERROR(__xludf.dummyfunction("""COMPUTED_VALUE"""),41)</f>
        <v>41</v>
      </c>
      <c r="B83" s="2" t="b">
        <f aca="false">IFERROR(__xludf.dummyfunction("""COMPUTED_VALUE"""),FALSE())</f>
        <v>0</v>
      </c>
      <c r="C83" s="13"/>
    </row>
    <row r="84" customFormat="false" ht="12.75" hidden="false" customHeight="true" outlineLevel="0" collapsed="false">
      <c r="A84" s="22" t="n">
        <f aca="false">IFERROR(__xludf.dummyfunction("""COMPUTED_VALUE"""),42)</f>
        <v>42</v>
      </c>
      <c r="B84" s="2" t="b">
        <f aca="false">IFERROR(__xludf.dummyfunction("""COMPUTED_VALUE"""),TRUE())</f>
        <v>1</v>
      </c>
      <c r="C84" s="16" t="s">
        <v>202</v>
      </c>
    </row>
    <row r="85" customFormat="false" ht="12.75" hidden="false" customHeight="true" outlineLevel="0" collapsed="false">
      <c r="A85" s="22" t="n">
        <f aca="false">IFERROR(__xludf.dummyfunction("""COMPUTED_VALUE"""),42)</f>
        <v>42</v>
      </c>
      <c r="B85" s="2" t="b">
        <f aca="false">IFERROR(__xludf.dummyfunction("""COMPUTED_VALUE"""),FALSE())</f>
        <v>0</v>
      </c>
      <c r="C85" s="13"/>
    </row>
    <row r="86" customFormat="false" ht="12.75" hidden="false" customHeight="true" outlineLevel="0" collapsed="false">
      <c r="A86" s="22" t="n">
        <f aca="false">IFERROR(__xludf.dummyfunction("""COMPUTED_VALUE"""),43)</f>
        <v>43</v>
      </c>
      <c r="B86" s="2" t="b">
        <f aca="false">IFERROR(__xludf.dummyfunction("""COMPUTED_VALUE"""),TRUE())</f>
        <v>1</v>
      </c>
      <c r="C86" s="16" t="s">
        <v>203</v>
      </c>
    </row>
    <row r="87" customFormat="false" ht="12.75" hidden="false" customHeight="true" outlineLevel="0" collapsed="false">
      <c r="A87" s="22" t="n">
        <f aca="false">IFERROR(__xludf.dummyfunction("""COMPUTED_VALUE"""),43)</f>
        <v>43</v>
      </c>
      <c r="B87" s="2" t="b">
        <f aca="false">IFERROR(__xludf.dummyfunction("""COMPUTED_VALUE"""),FALSE())</f>
        <v>0</v>
      </c>
      <c r="C87" s="18" t="s">
        <v>204</v>
      </c>
    </row>
    <row r="88" customFormat="false" ht="12.75" hidden="false" customHeight="true" outlineLevel="0" collapsed="false">
      <c r="A88" s="22" t="n">
        <v>44</v>
      </c>
      <c r="B88" s="2" t="b">
        <f aca="false">IFERROR(__xludf.dummyfunction("""COMPUTED_VALUE"""),TRUE())</f>
        <v>1</v>
      </c>
      <c r="C88" s="16" t="s">
        <v>205</v>
      </c>
    </row>
    <row r="89" customFormat="false" ht="12.75" hidden="false" customHeight="true" outlineLevel="0" collapsed="false">
      <c r="A89" s="22" t="n">
        <v>44</v>
      </c>
      <c r="B89" s="2" t="b">
        <f aca="false">IFERROR(__xludf.dummyfunction("""COMPUTED_VALUE"""),FALSE())</f>
        <v>0</v>
      </c>
      <c r="C89" s="13"/>
    </row>
    <row r="90" customFormat="false" ht="12.75" hidden="false" customHeight="true" outlineLevel="0" collapsed="false">
      <c r="A90" s="22" t="n">
        <v>45</v>
      </c>
      <c r="B90" s="2" t="b">
        <f aca="false">IFERROR(__xludf.dummyfunction("""COMPUTED_VALUE"""),TRUE())</f>
        <v>1</v>
      </c>
      <c r="C90" s="16" t="s">
        <v>206</v>
      </c>
    </row>
    <row r="91" customFormat="false" ht="12.75" hidden="false" customHeight="true" outlineLevel="0" collapsed="false">
      <c r="A91" s="22" t="n">
        <v>45</v>
      </c>
      <c r="B91" s="2" t="b">
        <f aca="false">IFERROR(__xludf.dummyfunction("""COMPUTED_VALUE"""),FALSE())</f>
        <v>0</v>
      </c>
      <c r="C91" s="13"/>
    </row>
    <row r="92" customFormat="false" ht="12.75" hidden="false" customHeight="true" outlineLevel="0" collapsed="false">
      <c r="A92" s="22" t="n">
        <v>46</v>
      </c>
      <c r="B92" s="2" t="b">
        <f aca="false">IFERROR(__xludf.dummyfunction("""COMPUTED_VALUE"""),TRUE())</f>
        <v>1</v>
      </c>
      <c r="C92" s="16" t="s">
        <v>207</v>
      </c>
    </row>
    <row r="93" customFormat="false" ht="12.75" hidden="false" customHeight="true" outlineLevel="0" collapsed="false">
      <c r="A93" s="22" t="n">
        <v>46</v>
      </c>
      <c r="B93" s="2" t="b">
        <f aca="false">IFERROR(__xludf.dummyfunction("""COMPUTED_VALUE"""),FALSE())</f>
        <v>0</v>
      </c>
      <c r="C93" s="13"/>
    </row>
    <row r="94" customFormat="false" ht="12.75" hidden="false" customHeight="true" outlineLevel="0" collapsed="false">
      <c r="A94" s="22"/>
      <c r="B94" s="2"/>
      <c r="C94" s="13"/>
    </row>
    <row r="95" customFormat="false" ht="12.75" hidden="false" customHeight="true" outlineLevel="0" collapsed="false">
      <c r="A95" s="22"/>
      <c r="B95" s="2"/>
      <c r="C95" s="13"/>
    </row>
    <row r="96" customFormat="false" ht="12.75" hidden="false" customHeight="true" outlineLevel="0" collapsed="false">
      <c r="A96" s="22"/>
      <c r="B96" s="2"/>
      <c r="C96" s="13"/>
    </row>
    <row r="97" customFormat="false" ht="12.75" hidden="false" customHeight="true" outlineLevel="0" collapsed="false">
      <c r="A97" s="22"/>
      <c r="B97" s="2"/>
      <c r="C97" s="13"/>
    </row>
    <row r="98" customFormat="false" ht="12.75" hidden="false" customHeight="true" outlineLevel="0" collapsed="false">
      <c r="A98" s="22"/>
      <c r="B98" s="2"/>
      <c r="C98" s="13"/>
    </row>
    <row r="99" customFormat="false" ht="12.75" hidden="false" customHeight="true" outlineLevel="0" collapsed="false">
      <c r="A99" s="22"/>
      <c r="B99" s="2"/>
      <c r="C99" s="13"/>
    </row>
    <row r="100" customFormat="false" ht="12.75" hidden="false" customHeight="true" outlineLevel="0" collapsed="false">
      <c r="A100" s="22"/>
      <c r="B100" s="2"/>
      <c r="C100" s="13"/>
    </row>
    <row r="101" customFormat="false" ht="12.75" hidden="false" customHeight="true" outlineLevel="0" collapsed="false">
      <c r="A101" s="22"/>
      <c r="B101" s="2"/>
      <c r="C101" s="13"/>
    </row>
    <row r="102" customFormat="false" ht="12.75" hidden="false" customHeight="true" outlineLevel="0" collapsed="false">
      <c r="A102" s="22"/>
      <c r="B102" s="2"/>
      <c r="C102" s="13"/>
    </row>
    <row r="103" customFormat="false" ht="12.75" hidden="false" customHeight="true" outlineLevel="0" collapsed="false">
      <c r="A103" s="22"/>
      <c r="B103" s="2"/>
      <c r="C103" s="13"/>
    </row>
    <row r="104" customFormat="false" ht="12.75" hidden="false" customHeight="true" outlineLevel="0" collapsed="false">
      <c r="A104" s="22"/>
      <c r="B104" s="2"/>
      <c r="C104" s="13"/>
    </row>
    <row r="105" customFormat="false" ht="12.75" hidden="false" customHeight="true" outlineLevel="0" collapsed="false">
      <c r="A105" s="22"/>
      <c r="B105" s="2"/>
      <c r="C105" s="13"/>
    </row>
    <row r="106" customFormat="false" ht="12.75" hidden="false" customHeight="true" outlineLevel="0" collapsed="false">
      <c r="A106" s="22"/>
      <c r="C106" s="13"/>
    </row>
    <row r="107" customFormat="false" ht="12.75" hidden="false" customHeight="true" outlineLevel="0" collapsed="false">
      <c r="A107" s="22"/>
      <c r="C107" s="13"/>
    </row>
    <row r="108" customFormat="false" ht="12.75" hidden="false" customHeight="true" outlineLevel="0" collapsed="false">
      <c r="A108" s="22"/>
      <c r="C108" s="13"/>
    </row>
    <row r="109" customFormat="false" ht="12.75" hidden="false" customHeight="true" outlineLevel="0" collapsed="false">
      <c r="A109" s="22"/>
      <c r="C109" s="13"/>
    </row>
    <row r="110" customFormat="false" ht="12.75" hidden="false" customHeight="true" outlineLevel="0" collapsed="false">
      <c r="A110" s="22"/>
      <c r="C110" s="13"/>
    </row>
    <row r="111" customFormat="false" ht="12.75" hidden="false" customHeight="true" outlineLevel="0" collapsed="false">
      <c r="A111" s="22"/>
      <c r="C111" s="13"/>
    </row>
    <row r="112" customFormat="false" ht="12.75" hidden="false" customHeight="true" outlineLevel="0" collapsed="false">
      <c r="A112" s="22"/>
      <c r="C112" s="13"/>
    </row>
    <row r="113" customFormat="false" ht="12.75" hidden="false" customHeight="true" outlineLevel="0" collapsed="false">
      <c r="A113" s="22"/>
      <c r="C113" s="13"/>
    </row>
    <row r="114" customFormat="false" ht="12.75" hidden="false" customHeight="true" outlineLevel="0" collapsed="false">
      <c r="A114" s="22"/>
      <c r="C114" s="13"/>
    </row>
    <row r="115" customFormat="false" ht="12.75" hidden="false" customHeight="true" outlineLevel="0" collapsed="false">
      <c r="A115" s="22"/>
      <c r="C115" s="13"/>
    </row>
    <row r="116" customFormat="false" ht="12.75" hidden="false" customHeight="true" outlineLevel="0" collapsed="false">
      <c r="A116" s="22"/>
      <c r="C116" s="13"/>
    </row>
    <row r="117" customFormat="false" ht="12.75" hidden="false" customHeight="true" outlineLevel="0" collapsed="false">
      <c r="A117" s="22"/>
      <c r="C117" s="13"/>
    </row>
    <row r="118" customFormat="false" ht="12.75" hidden="false" customHeight="true" outlineLevel="0" collapsed="false">
      <c r="A118" s="22"/>
      <c r="C118" s="13"/>
    </row>
    <row r="119" customFormat="false" ht="12.75" hidden="false" customHeight="true" outlineLevel="0" collapsed="false">
      <c r="A119" s="22"/>
      <c r="C119" s="13"/>
    </row>
    <row r="120" customFormat="false" ht="12.75" hidden="false" customHeight="true" outlineLevel="0" collapsed="false">
      <c r="A120" s="22"/>
      <c r="C120" s="13"/>
    </row>
    <row r="121" customFormat="false" ht="12.75" hidden="false" customHeight="true" outlineLevel="0" collapsed="false">
      <c r="A121" s="22"/>
      <c r="C121" s="13"/>
    </row>
    <row r="122" customFormat="false" ht="12.75" hidden="false" customHeight="true" outlineLevel="0" collapsed="false">
      <c r="A122" s="22"/>
      <c r="C122" s="13"/>
    </row>
    <row r="123" customFormat="false" ht="12.75" hidden="false" customHeight="true" outlineLevel="0" collapsed="false">
      <c r="A123" s="22"/>
      <c r="C123" s="13"/>
    </row>
    <row r="124" customFormat="false" ht="12.75" hidden="false" customHeight="true" outlineLevel="0" collapsed="false">
      <c r="A124" s="22"/>
      <c r="C124" s="13"/>
    </row>
    <row r="125" customFormat="false" ht="12.75" hidden="false" customHeight="true" outlineLevel="0" collapsed="false">
      <c r="A125" s="22"/>
      <c r="C125" s="13"/>
    </row>
    <row r="126" customFormat="false" ht="12.75" hidden="false" customHeight="true" outlineLevel="0" collapsed="false">
      <c r="A126" s="22"/>
      <c r="C126" s="13"/>
    </row>
    <row r="127" customFormat="false" ht="12.75" hidden="false" customHeight="true" outlineLevel="0" collapsed="false">
      <c r="A127" s="22"/>
      <c r="C127" s="13"/>
    </row>
    <row r="128" customFormat="false" ht="12.75" hidden="false" customHeight="true" outlineLevel="0" collapsed="false">
      <c r="A128" s="22"/>
      <c r="C128" s="13"/>
    </row>
    <row r="129" customFormat="false" ht="12.75" hidden="false" customHeight="true" outlineLevel="0" collapsed="false">
      <c r="A129" s="22"/>
      <c r="C129" s="13"/>
    </row>
    <row r="130" customFormat="false" ht="12.75" hidden="false" customHeight="true" outlineLevel="0" collapsed="false">
      <c r="A130" s="22"/>
      <c r="C130" s="13"/>
    </row>
    <row r="131" customFormat="false" ht="12.75" hidden="false" customHeight="true" outlineLevel="0" collapsed="false">
      <c r="A131" s="22"/>
      <c r="C131" s="13"/>
    </row>
    <row r="132" customFormat="false" ht="12.75" hidden="false" customHeight="true" outlineLevel="0" collapsed="false">
      <c r="A132" s="22"/>
      <c r="C132" s="13"/>
    </row>
    <row r="133" customFormat="false" ht="12.75" hidden="false" customHeight="true" outlineLevel="0" collapsed="false">
      <c r="A133" s="22"/>
      <c r="C133" s="13"/>
    </row>
    <row r="134" customFormat="false" ht="12.75" hidden="false" customHeight="true" outlineLevel="0" collapsed="false">
      <c r="A134" s="22"/>
      <c r="C134" s="13"/>
    </row>
    <row r="135" customFormat="false" ht="12.75" hidden="false" customHeight="true" outlineLevel="0" collapsed="false">
      <c r="A135" s="22"/>
      <c r="C135" s="13"/>
    </row>
    <row r="136" customFormat="false" ht="12.75" hidden="false" customHeight="true" outlineLevel="0" collapsed="false">
      <c r="A136" s="22"/>
      <c r="C136" s="13"/>
    </row>
    <row r="137" customFormat="false" ht="12.75" hidden="false" customHeight="true" outlineLevel="0" collapsed="false">
      <c r="A137" s="22"/>
      <c r="C137" s="13"/>
    </row>
    <row r="138" customFormat="false" ht="12.75" hidden="false" customHeight="true" outlineLevel="0" collapsed="false">
      <c r="A138" s="22"/>
      <c r="C138" s="13"/>
    </row>
    <row r="139" customFormat="false" ht="12.75" hidden="false" customHeight="true" outlineLevel="0" collapsed="false">
      <c r="A139" s="22"/>
      <c r="C139" s="13"/>
    </row>
    <row r="140" customFormat="false" ht="12.75" hidden="false" customHeight="true" outlineLevel="0" collapsed="false">
      <c r="A140" s="22"/>
      <c r="C140" s="13"/>
    </row>
    <row r="141" customFormat="false" ht="12.75" hidden="false" customHeight="true" outlineLevel="0" collapsed="false">
      <c r="A141" s="22"/>
      <c r="C141" s="13"/>
    </row>
    <row r="142" customFormat="false" ht="12.75" hidden="false" customHeight="true" outlineLevel="0" collapsed="false">
      <c r="A142" s="22"/>
      <c r="C142" s="13"/>
    </row>
    <row r="143" customFormat="false" ht="12.75" hidden="false" customHeight="true" outlineLevel="0" collapsed="false">
      <c r="A143" s="22"/>
      <c r="C143" s="13"/>
    </row>
    <row r="144" customFormat="false" ht="12.75" hidden="false" customHeight="true" outlineLevel="0" collapsed="false">
      <c r="A144" s="22"/>
      <c r="C144" s="13"/>
    </row>
    <row r="145" customFormat="false" ht="12.75" hidden="false" customHeight="true" outlineLevel="0" collapsed="false">
      <c r="A145" s="22"/>
      <c r="C145" s="13"/>
    </row>
    <row r="146" customFormat="false" ht="12.75" hidden="false" customHeight="true" outlineLevel="0" collapsed="false">
      <c r="A146" s="22"/>
      <c r="C146" s="13"/>
    </row>
    <row r="147" customFormat="false" ht="12.75" hidden="false" customHeight="true" outlineLevel="0" collapsed="false">
      <c r="A147" s="22"/>
      <c r="C147" s="13"/>
    </row>
    <row r="148" customFormat="false" ht="12.75" hidden="false" customHeight="true" outlineLevel="0" collapsed="false">
      <c r="A148" s="22"/>
      <c r="C148" s="13"/>
    </row>
    <row r="149" customFormat="false" ht="12.75" hidden="false" customHeight="true" outlineLevel="0" collapsed="false">
      <c r="A149" s="22"/>
      <c r="C149" s="13"/>
    </row>
    <row r="150" customFormat="false" ht="12.75" hidden="false" customHeight="true" outlineLevel="0" collapsed="false">
      <c r="A150" s="22"/>
      <c r="C150" s="13"/>
    </row>
    <row r="151" customFormat="false" ht="12.75" hidden="false" customHeight="true" outlineLevel="0" collapsed="false">
      <c r="A151" s="22"/>
      <c r="C151" s="13"/>
    </row>
    <row r="152" customFormat="false" ht="12.75" hidden="false" customHeight="true" outlineLevel="0" collapsed="false">
      <c r="A152" s="22"/>
      <c r="C152" s="13"/>
    </row>
    <row r="153" customFormat="false" ht="12.75" hidden="false" customHeight="true" outlineLevel="0" collapsed="false">
      <c r="A153" s="22"/>
      <c r="C153" s="13"/>
    </row>
    <row r="154" customFormat="false" ht="12.75" hidden="false" customHeight="true" outlineLevel="0" collapsed="false">
      <c r="A154" s="22"/>
      <c r="C154" s="13"/>
    </row>
    <row r="155" customFormat="false" ht="12.75" hidden="false" customHeight="true" outlineLevel="0" collapsed="false">
      <c r="A155" s="22"/>
      <c r="C155" s="13"/>
    </row>
    <row r="156" customFormat="false" ht="12.75" hidden="false" customHeight="true" outlineLevel="0" collapsed="false">
      <c r="A156" s="22"/>
      <c r="C156" s="13"/>
    </row>
    <row r="157" customFormat="false" ht="12.75" hidden="false" customHeight="true" outlineLevel="0" collapsed="false">
      <c r="A157" s="22"/>
      <c r="C157" s="13"/>
    </row>
    <row r="158" customFormat="false" ht="12.75" hidden="false" customHeight="true" outlineLevel="0" collapsed="false">
      <c r="A158" s="22"/>
      <c r="C158" s="13"/>
    </row>
    <row r="159" customFormat="false" ht="12.75" hidden="false" customHeight="true" outlineLevel="0" collapsed="false">
      <c r="A159" s="22"/>
      <c r="C159" s="13"/>
    </row>
    <row r="160" customFormat="false" ht="12.75" hidden="false" customHeight="true" outlineLevel="0" collapsed="false">
      <c r="A160" s="22"/>
      <c r="C160" s="13"/>
    </row>
    <row r="161" customFormat="false" ht="12.75" hidden="false" customHeight="true" outlineLevel="0" collapsed="false">
      <c r="A161" s="22"/>
      <c r="C161" s="13"/>
    </row>
    <row r="162" customFormat="false" ht="12.75" hidden="false" customHeight="true" outlineLevel="0" collapsed="false">
      <c r="A162" s="22"/>
      <c r="C162" s="13"/>
    </row>
    <row r="163" customFormat="false" ht="12.75" hidden="false" customHeight="true" outlineLevel="0" collapsed="false">
      <c r="A163" s="22"/>
      <c r="C163" s="13"/>
    </row>
    <row r="164" customFormat="false" ht="12.75" hidden="false" customHeight="true" outlineLevel="0" collapsed="false">
      <c r="A164" s="22"/>
      <c r="C164" s="13"/>
    </row>
    <row r="165" customFormat="false" ht="12.75" hidden="false" customHeight="true" outlineLevel="0" collapsed="false">
      <c r="A165" s="22"/>
      <c r="C165" s="13"/>
    </row>
    <row r="166" customFormat="false" ht="12.75" hidden="false" customHeight="true" outlineLevel="0" collapsed="false">
      <c r="A166" s="22"/>
      <c r="C166" s="13"/>
    </row>
    <row r="167" customFormat="false" ht="12.75" hidden="false" customHeight="true" outlineLevel="0" collapsed="false">
      <c r="A167" s="22"/>
      <c r="C167" s="13"/>
    </row>
    <row r="168" customFormat="false" ht="12.75" hidden="false" customHeight="true" outlineLevel="0" collapsed="false">
      <c r="A168" s="22"/>
      <c r="C168" s="13"/>
    </row>
    <row r="169" customFormat="false" ht="12.75" hidden="false" customHeight="true" outlineLevel="0" collapsed="false">
      <c r="A169" s="22"/>
      <c r="C169" s="13"/>
    </row>
    <row r="170" customFormat="false" ht="12.75" hidden="false" customHeight="true" outlineLevel="0" collapsed="false">
      <c r="A170" s="22"/>
      <c r="C170" s="13"/>
    </row>
    <row r="171" customFormat="false" ht="12.75" hidden="false" customHeight="true" outlineLevel="0" collapsed="false">
      <c r="A171" s="22"/>
      <c r="C171" s="13"/>
    </row>
    <row r="172" customFormat="false" ht="12.75" hidden="false" customHeight="true" outlineLevel="0" collapsed="false">
      <c r="A172" s="22"/>
      <c r="C172" s="13"/>
    </row>
    <row r="173" customFormat="false" ht="12.75" hidden="false" customHeight="true" outlineLevel="0" collapsed="false">
      <c r="A173" s="22"/>
      <c r="C173" s="13"/>
    </row>
    <row r="174" customFormat="false" ht="12.75" hidden="false" customHeight="true" outlineLevel="0" collapsed="false">
      <c r="A174" s="22"/>
      <c r="C174" s="13"/>
    </row>
    <row r="175" customFormat="false" ht="12.75" hidden="false" customHeight="true" outlineLevel="0" collapsed="false">
      <c r="A175" s="22"/>
      <c r="C175" s="13"/>
    </row>
    <row r="176" customFormat="false" ht="12.75" hidden="false" customHeight="true" outlineLevel="0" collapsed="false">
      <c r="A176" s="22"/>
      <c r="C176" s="13"/>
    </row>
    <row r="177" customFormat="false" ht="12.75" hidden="false" customHeight="true" outlineLevel="0" collapsed="false">
      <c r="A177" s="22"/>
      <c r="C177" s="13"/>
    </row>
    <row r="178" customFormat="false" ht="12.75" hidden="false" customHeight="true" outlineLevel="0" collapsed="false">
      <c r="A178" s="22"/>
      <c r="C178" s="13"/>
    </row>
    <row r="179" customFormat="false" ht="12.75" hidden="false" customHeight="true" outlineLevel="0" collapsed="false">
      <c r="A179" s="22"/>
      <c r="C179" s="13"/>
    </row>
    <row r="180" customFormat="false" ht="12.75" hidden="false" customHeight="true" outlineLevel="0" collapsed="false">
      <c r="A180" s="22"/>
      <c r="C180" s="13"/>
    </row>
    <row r="181" customFormat="false" ht="12.75" hidden="false" customHeight="true" outlineLevel="0" collapsed="false">
      <c r="A181" s="22"/>
      <c r="C181" s="13"/>
    </row>
    <row r="182" customFormat="false" ht="12.75" hidden="false" customHeight="true" outlineLevel="0" collapsed="false">
      <c r="A182" s="22"/>
      <c r="C182" s="13"/>
    </row>
    <row r="183" customFormat="false" ht="12.75" hidden="false" customHeight="true" outlineLevel="0" collapsed="false">
      <c r="A183" s="22"/>
      <c r="C183" s="13"/>
    </row>
    <row r="184" customFormat="false" ht="12.75" hidden="false" customHeight="true" outlineLevel="0" collapsed="false">
      <c r="A184" s="22"/>
      <c r="C184" s="13"/>
    </row>
    <row r="185" customFormat="false" ht="12.75" hidden="false" customHeight="true" outlineLevel="0" collapsed="false">
      <c r="A185" s="22"/>
      <c r="C185" s="13"/>
    </row>
    <row r="186" customFormat="false" ht="12.75" hidden="false" customHeight="true" outlineLevel="0" collapsed="false">
      <c r="A186" s="22"/>
      <c r="C186" s="13"/>
    </row>
    <row r="187" customFormat="false" ht="12.75" hidden="false" customHeight="true" outlineLevel="0" collapsed="false">
      <c r="A187" s="22"/>
      <c r="C187" s="13"/>
    </row>
    <row r="188" customFormat="false" ht="12.75" hidden="false" customHeight="true" outlineLevel="0" collapsed="false">
      <c r="A188" s="22"/>
      <c r="C188" s="13"/>
    </row>
    <row r="189" customFormat="false" ht="12.75" hidden="false" customHeight="true" outlineLevel="0" collapsed="false">
      <c r="A189" s="22"/>
      <c r="C189" s="13"/>
    </row>
    <row r="190" customFormat="false" ht="12.75" hidden="false" customHeight="true" outlineLevel="0" collapsed="false">
      <c r="A190" s="22"/>
      <c r="C190" s="13"/>
    </row>
    <row r="191" customFormat="false" ht="12.75" hidden="false" customHeight="true" outlineLevel="0" collapsed="false">
      <c r="A191" s="22"/>
      <c r="C191" s="13"/>
    </row>
    <row r="192" customFormat="false" ht="12.75" hidden="false" customHeight="true" outlineLevel="0" collapsed="false">
      <c r="A192" s="22"/>
      <c r="C192" s="13"/>
    </row>
    <row r="193" customFormat="false" ht="12.75" hidden="false" customHeight="true" outlineLevel="0" collapsed="false">
      <c r="A193" s="22"/>
      <c r="C193" s="13"/>
    </row>
    <row r="194" customFormat="false" ht="12.75" hidden="false" customHeight="true" outlineLevel="0" collapsed="false">
      <c r="A194" s="22"/>
      <c r="C194" s="13"/>
    </row>
    <row r="195" customFormat="false" ht="12.75" hidden="false" customHeight="true" outlineLevel="0" collapsed="false">
      <c r="A195" s="22"/>
      <c r="C195" s="13"/>
    </row>
    <row r="196" customFormat="false" ht="12.75" hidden="false" customHeight="true" outlineLevel="0" collapsed="false">
      <c r="A196" s="22"/>
      <c r="C196" s="13"/>
    </row>
    <row r="197" customFormat="false" ht="12.75" hidden="false" customHeight="true" outlineLevel="0" collapsed="false">
      <c r="A197" s="22"/>
      <c r="C197" s="13"/>
    </row>
    <row r="198" customFormat="false" ht="12.75" hidden="false" customHeight="true" outlineLevel="0" collapsed="false">
      <c r="A198" s="22"/>
      <c r="C198" s="13"/>
    </row>
    <row r="199" customFormat="false" ht="12.75" hidden="false" customHeight="true" outlineLevel="0" collapsed="false">
      <c r="A199" s="22"/>
      <c r="C199" s="13"/>
    </row>
    <row r="200" customFormat="false" ht="12.75" hidden="false" customHeight="true" outlineLevel="0" collapsed="false">
      <c r="A200" s="22"/>
      <c r="C200" s="13"/>
    </row>
    <row r="201" customFormat="false" ht="12.75" hidden="false" customHeight="true" outlineLevel="0" collapsed="false">
      <c r="A201" s="22"/>
      <c r="C201" s="13"/>
    </row>
    <row r="202" customFormat="false" ht="12.75" hidden="false" customHeight="true" outlineLevel="0" collapsed="false">
      <c r="A202" s="22"/>
      <c r="C202" s="13"/>
    </row>
    <row r="203" customFormat="false" ht="12.75" hidden="false" customHeight="true" outlineLevel="0" collapsed="false">
      <c r="A203" s="22"/>
      <c r="C203" s="13"/>
    </row>
    <row r="204" customFormat="false" ht="12.75" hidden="false" customHeight="true" outlineLevel="0" collapsed="false">
      <c r="A204" s="22"/>
      <c r="C204" s="13"/>
    </row>
    <row r="205" customFormat="false" ht="12.75" hidden="false" customHeight="true" outlineLevel="0" collapsed="false">
      <c r="A205" s="22"/>
      <c r="C205" s="13"/>
    </row>
    <row r="206" customFormat="false" ht="12.75" hidden="false" customHeight="true" outlineLevel="0" collapsed="false">
      <c r="A206" s="22"/>
      <c r="C206" s="13"/>
    </row>
    <row r="207" customFormat="false" ht="12.75" hidden="false" customHeight="true" outlineLevel="0" collapsed="false">
      <c r="A207" s="22"/>
      <c r="C207" s="13"/>
    </row>
    <row r="208" customFormat="false" ht="12.75" hidden="false" customHeight="true" outlineLevel="0" collapsed="false">
      <c r="A208" s="22"/>
      <c r="C208" s="13"/>
    </row>
    <row r="209" customFormat="false" ht="12.75" hidden="false" customHeight="true" outlineLevel="0" collapsed="false">
      <c r="A209" s="22"/>
      <c r="C209" s="13"/>
    </row>
    <row r="210" customFormat="false" ht="12.75" hidden="false" customHeight="true" outlineLevel="0" collapsed="false">
      <c r="A210" s="22"/>
      <c r="C210" s="13"/>
    </row>
    <row r="211" customFormat="false" ht="12.75" hidden="false" customHeight="true" outlineLevel="0" collapsed="false">
      <c r="A211" s="22"/>
      <c r="C211" s="13"/>
    </row>
    <row r="212" customFormat="false" ht="12.75" hidden="false" customHeight="true" outlineLevel="0" collapsed="false">
      <c r="A212" s="22"/>
      <c r="C212" s="13"/>
    </row>
    <row r="213" customFormat="false" ht="12.75" hidden="false" customHeight="true" outlineLevel="0" collapsed="false">
      <c r="A213" s="22"/>
      <c r="C213" s="13"/>
    </row>
    <row r="214" customFormat="false" ht="12.75" hidden="false" customHeight="true" outlineLevel="0" collapsed="false">
      <c r="A214" s="22"/>
      <c r="C214" s="13"/>
    </row>
    <row r="215" customFormat="false" ht="12.75" hidden="false" customHeight="true" outlineLevel="0" collapsed="false">
      <c r="A215" s="22"/>
      <c r="C215" s="13"/>
    </row>
    <row r="216" customFormat="false" ht="12.75" hidden="false" customHeight="true" outlineLevel="0" collapsed="false">
      <c r="A216" s="22"/>
      <c r="C216" s="13"/>
    </row>
    <row r="217" customFormat="false" ht="12.75" hidden="false" customHeight="true" outlineLevel="0" collapsed="false">
      <c r="A217" s="22"/>
      <c r="C217" s="13"/>
    </row>
    <row r="218" customFormat="false" ht="12.75" hidden="false" customHeight="true" outlineLevel="0" collapsed="false">
      <c r="A218" s="22"/>
      <c r="C218" s="13"/>
    </row>
    <row r="219" customFormat="false" ht="12.75" hidden="false" customHeight="true" outlineLevel="0" collapsed="false">
      <c r="A219" s="22"/>
      <c r="C219" s="13"/>
    </row>
    <row r="220" customFormat="false" ht="12.75" hidden="false" customHeight="true" outlineLevel="0" collapsed="false">
      <c r="A220" s="22"/>
      <c r="C220" s="13"/>
    </row>
    <row r="221" customFormat="false" ht="12.75" hidden="false" customHeight="true" outlineLevel="0" collapsed="false">
      <c r="A221" s="22"/>
      <c r="C221" s="13"/>
    </row>
    <row r="222" customFormat="false" ht="12.75" hidden="false" customHeight="true" outlineLevel="0" collapsed="false">
      <c r="A222" s="22"/>
      <c r="C222" s="13"/>
    </row>
    <row r="223" customFormat="false" ht="12.75" hidden="false" customHeight="true" outlineLevel="0" collapsed="false">
      <c r="A223" s="22"/>
      <c r="C223" s="13"/>
    </row>
    <row r="224" customFormat="false" ht="12.75" hidden="false" customHeight="true" outlineLevel="0" collapsed="false">
      <c r="A224" s="22"/>
      <c r="C224" s="13"/>
    </row>
    <row r="225" customFormat="false" ht="12.75" hidden="false" customHeight="true" outlineLevel="0" collapsed="false">
      <c r="A225" s="22"/>
      <c r="C225" s="13"/>
    </row>
    <row r="226" customFormat="false" ht="12.75" hidden="false" customHeight="true" outlineLevel="0" collapsed="false">
      <c r="A226" s="22"/>
      <c r="C226" s="13"/>
    </row>
    <row r="227" customFormat="false" ht="12.75" hidden="false" customHeight="true" outlineLevel="0" collapsed="false">
      <c r="A227" s="22"/>
      <c r="C227" s="13"/>
    </row>
    <row r="228" customFormat="false" ht="12.75" hidden="false" customHeight="true" outlineLevel="0" collapsed="false">
      <c r="A228" s="22"/>
      <c r="C228" s="13"/>
    </row>
    <row r="229" customFormat="false" ht="12.75" hidden="false" customHeight="true" outlineLevel="0" collapsed="false">
      <c r="A229" s="22"/>
      <c r="C229" s="13"/>
    </row>
    <row r="230" customFormat="false" ht="12.75" hidden="false" customHeight="true" outlineLevel="0" collapsed="false">
      <c r="A230" s="22"/>
      <c r="C230" s="13"/>
    </row>
    <row r="231" customFormat="false" ht="12.75" hidden="false" customHeight="true" outlineLevel="0" collapsed="false">
      <c r="A231" s="22"/>
      <c r="C231" s="13"/>
    </row>
    <row r="232" customFormat="false" ht="12.75" hidden="false" customHeight="true" outlineLevel="0" collapsed="false">
      <c r="A232" s="22"/>
      <c r="C232" s="13"/>
    </row>
    <row r="233" customFormat="false" ht="12.75" hidden="false" customHeight="true" outlineLevel="0" collapsed="false">
      <c r="A233" s="22"/>
      <c r="C233" s="13"/>
    </row>
    <row r="234" customFormat="false" ht="12.75" hidden="false" customHeight="true" outlineLevel="0" collapsed="false">
      <c r="A234" s="22"/>
      <c r="C234" s="13"/>
    </row>
    <row r="235" customFormat="false" ht="12.75" hidden="false" customHeight="true" outlineLevel="0" collapsed="false">
      <c r="A235" s="22"/>
      <c r="C235" s="13"/>
    </row>
    <row r="236" customFormat="false" ht="12.75" hidden="false" customHeight="true" outlineLevel="0" collapsed="false">
      <c r="A236" s="22"/>
      <c r="C236" s="13"/>
    </row>
    <row r="237" customFormat="false" ht="12.75" hidden="false" customHeight="true" outlineLevel="0" collapsed="false">
      <c r="A237" s="22"/>
      <c r="C237" s="13"/>
    </row>
    <row r="238" customFormat="false" ht="12.75" hidden="false" customHeight="true" outlineLevel="0" collapsed="false">
      <c r="A238" s="22"/>
      <c r="C238" s="13"/>
    </row>
    <row r="239" customFormat="false" ht="12.75" hidden="false" customHeight="true" outlineLevel="0" collapsed="false">
      <c r="A239" s="22"/>
      <c r="C239" s="13"/>
    </row>
    <row r="240" customFormat="false" ht="12.75" hidden="false" customHeight="true" outlineLevel="0" collapsed="false">
      <c r="A240" s="22"/>
      <c r="C240" s="13"/>
    </row>
    <row r="241" customFormat="false" ht="12.75" hidden="false" customHeight="true" outlineLevel="0" collapsed="false">
      <c r="A241" s="22"/>
      <c r="C241" s="13"/>
    </row>
    <row r="242" customFormat="false" ht="12.75" hidden="false" customHeight="true" outlineLevel="0" collapsed="false">
      <c r="A242" s="22"/>
      <c r="C242" s="13"/>
    </row>
    <row r="243" customFormat="false" ht="12.75" hidden="false" customHeight="true" outlineLevel="0" collapsed="false">
      <c r="A243" s="22"/>
      <c r="C243" s="13"/>
    </row>
    <row r="244" customFormat="false" ht="12.75" hidden="false" customHeight="true" outlineLevel="0" collapsed="false">
      <c r="A244" s="22"/>
      <c r="C244" s="13"/>
    </row>
    <row r="245" customFormat="false" ht="12.75" hidden="false" customHeight="true" outlineLevel="0" collapsed="false">
      <c r="A245" s="22"/>
      <c r="C245" s="13"/>
    </row>
    <row r="246" customFormat="false" ht="12.75" hidden="false" customHeight="true" outlineLevel="0" collapsed="false">
      <c r="A246" s="22"/>
      <c r="C246" s="13"/>
    </row>
    <row r="247" customFormat="false" ht="12.75" hidden="false" customHeight="true" outlineLevel="0" collapsed="false">
      <c r="A247" s="22"/>
      <c r="C247" s="13"/>
    </row>
    <row r="248" customFormat="false" ht="12.75" hidden="false" customHeight="true" outlineLevel="0" collapsed="false">
      <c r="A248" s="22"/>
      <c r="C248" s="13"/>
    </row>
    <row r="249" customFormat="false" ht="12.75" hidden="false" customHeight="true" outlineLevel="0" collapsed="false">
      <c r="A249" s="22"/>
      <c r="C249" s="13"/>
    </row>
    <row r="250" customFormat="false" ht="12.75" hidden="false" customHeight="true" outlineLevel="0" collapsed="false">
      <c r="A250" s="22"/>
      <c r="C250" s="13"/>
    </row>
    <row r="251" customFormat="false" ht="12.75" hidden="false" customHeight="true" outlineLevel="0" collapsed="false">
      <c r="A251" s="22"/>
      <c r="C251" s="13"/>
    </row>
    <row r="252" customFormat="false" ht="12.75" hidden="false" customHeight="true" outlineLevel="0" collapsed="false">
      <c r="A252" s="22"/>
      <c r="C252" s="13"/>
    </row>
    <row r="253" customFormat="false" ht="12.75" hidden="false" customHeight="true" outlineLevel="0" collapsed="false">
      <c r="A253" s="22"/>
      <c r="C253" s="13"/>
    </row>
    <row r="254" customFormat="false" ht="12.75" hidden="false" customHeight="true" outlineLevel="0" collapsed="false">
      <c r="A254" s="22"/>
      <c r="C254" s="13"/>
    </row>
    <row r="255" customFormat="false" ht="12.75" hidden="false" customHeight="true" outlineLevel="0" collapsed="false">
      <c r="A255" s="22"/>
      <c r="C255" s="13"/>
    </row>
    <row r="256" customFormat="false" ht="12.75" hidden="false" customHeight="true" outlineLevel="0" collapsed="false">
      <c r="A256" s="22"/>
      <c r="C256" s="13"/>
    </row>
    <row r="257" customFormat="false" ht="12.75" hidden="false" customHeight="true" outlineLevel="0" collapsed="false">
      <c r="A257" s="22"/>
      <c r="C257" s="13"/>
    </row>
    <row r="258" customFormat="false" ht="12.75" hidden="false" customHeight="true" outlineLevel="0" collapsed="false">
      <c r="A258" s="22"/>
      <c r="C258" s="13"/>
    </row>
    <row r="259" customFormat="false" ht="12.75" hidden="false" customHeight="true" outlineLevel="0" collapsed="false">
      <c r="A259" s="22"/>
      <c r="C259" s="13"/>
    </row>
    <row r="260" customFormat="false" ht="12.75" hidden="false" customHeight="true" outlineLevel="0" collapsed="false">
      <c r="A260" s="22"/>
      <c r="C260" s="13"/>
    </row>
    <row r="261" customFormat="false" ht="12.75" hidden="false" customHeight="true" outlineLevel="0" collapsed="false">
      <c r="A261" s="22"/>
      <c r="C261" s="13"/>
    </row>
    <row r="262" customFormat="false" ht="12.75" hidden="false" customHeight="true" outlineLevel="0" collapsed="false">
      <c r="A262" s="22"/>
      <c r="C262" s="13"/>
    </row>
    <row r="263" customFormat="false" ht="12.75" hidden="false" customHeight="true" outlineLevel="0" collapsed="false">
      <c r="A263" s="22"/>
      <c r="C263" s="13"/>
    </row>
    <row r="264" customFormat="false" ht="12.75" hidden="false" customHeight="true" outlineLevel="0" collapsed="false">
      <c r="A264" s="22"/>
      <c r="C264" s="13"/>
    </row>
    <row r="265" customFormat="false" ht="12.75" hidden="false" customHeight="true" outlineLevel="0" collapsed="false">
      <c r="A265" s="22"/>
      <c r="C265" s="13"/>
    </row>
    <row r="266" customFormat="false" ht="12.75" hidden="false" customHeight="true" outlineLevel="0" collapsed="false">
      <c r="A266" s="22"/>
      <c r="C266" s="13"/>
    </row>
    <row r="267" customFormat="false" ht="15.75" hidden="false" customHeight="true" outlineLevel="0" collapsed="false">
      <c r="A267" s="22"/>
      <c r="C267" s="13"/>
    </row>
    <row r="268" customFormat="false" ht="15.75" hidden="false" customHeight="true" outlineLevel="0" collapsed="false">
      <c r="A268" s="22"/>
      <c r="C268" s="13"/>
    </row>
    <row r="269" customFormat="false" ht="15.75" hidden="false" customHeight="true" outlineLevel="0" collapsed="false">
      <c r="A269" s="22"/>
      <c r="C269" s="13"/>
    </row>
    <row r="270" customFormat="false" ht="15.75" hidden="false" customHeight="true" outlineLevel="0" collapsed="false">
      <c r="A270" s="22"/>
      <c r="C270" s="13"/>
    </row>
    <row r="271" customFormat="false" ht="15.75" hidden="false" customHeight="true" outlineLevel="0" collapsed="false">
      <c r="A271" s="22"/>
      <c r="C271" s="13"/>
    </row>
    <row r="272" customFormat="false" ht="15.75" hidden="false" customHeight="true" outlineLevel="0" collapsed="false">
      <c r="A272" s="22"/>
      <c r="C272" s="13"/>
    </row>
    <row r="273" customFormat="false" ht="15.75" hidden="false" customHeight="true" outlineLevel="0" collapsed="false">
      <c r="A273" s="22"/>
      <c r="C273" s="13"/>
    </row>
    <row r="274" customFormat="false" ht="15.75" hidden="false" customHeight="true" outlineLevel="0" collapsed="false">
      <c r="A274" s="22"/>
      <c r="C274" s="13"/>
    </row>
    <row r="275" customFormat="false" ht="15.75" hidden="false" customHeight="true" outlineLevel="0" collapsed="false">
      <c r="A275" s="22"/>
      <c r="C275" s="13"/>
    </row>
    <row r="276" customFormat="false" ht="15.75" hidden="false" customHeight="true" outlineLevel="0" collapsed="false">
      <c r="A276" s="22"/>
      <c r="C276" s="13"/>
    </row>
    <row r="277" customFormat="false" ht="15.75" hidden="false" customHeight="true" outlineLevel="0" collapsed="false">
      <c r="A277" s="22"/>
      <c r="C277" s="13"/>
    </row>
    <row r="278" customFormat="false" ht="15.75" hidden="false" customHeight="true" outlineLevel="0" collapsed="false">
      <c r="A278" s="22"/>
      <c r="C278" s="13"/>
    </row>
    <row r="279" customFormat="false" ht="15.75" hidden="false" customHeight="true" outlineLevel="0" collapsed="false">
      <c r="A279" s="22"/>
      <c r="C279" s="13"/>
    </row>
    <row r="280" customFormat="false" ht="15.75" hidden="false" customHeight="true" outlineLevel="0" collapsed="false">
      <c r="A280" s="22"/>
      <c r="C280" s="13"/>
    </row>
    <row r="281" customFormat="false" ht="15.75" hidden="false" customHeight="true" outlineLevel="0" collapsed="false">
      <c r="A281" s="22"/>
      <c r="C281" s="13"/>
    </row>
    <row r="282" customFormat="false" ht="15.75" hidden="false" customHeight="true" outlineLevel="0" collapsed="false">
      <c r="A282" s="22"/>
      <c r="C282" s="13"/>
    </row>
    <row r="283" customFormat="false" ht="15.75" hidden="false" customHeight="true" outlineLevel="0" collapsed="false">
      <c r="A283" s="22"/>
      <c r="C283" s="13"/>
    </row>
    <row r="284" customFormat="false" ht="15.75" hidden="false" customHeight="true" outlineLevel="0" collapsed="false">
      <c r="A284" s="22"/>
      <c r="C284" s="13"/>
    </row>
    <row r="285" customFormat="false" ht="15.75" hidden="false" customHeight="true" outlineLevel="0" collapsed="false">
      <c r="A285" s="22"/>
      <c r="C285" s="13"/>
    </row>
    <row r="286" customFormat="false" ht="15.75" hidden="false" customHeight="true" outlineLevel="0" collapsed="false">
      <c r="A286" s="22"/>
      <c r="C286" s="13"/>
    </row>
    <row r="287" customFormat="false" ht="15.75" hidden="false" customHeight="true" outlineLevel="0" collapsed="false">
      <c r="A287" s="22"/>
      <c r="C287" s="13"/>
    </row>
    <row r="288" customFormat="false" ht="15.75" hidden="false" customHeight="true" outlineLevel="0" collapsed="false">
      <c r="A288" s="22"/>
      <c r="C288" s="13"/>
    </row>
    <row r="289" customFormat="false" ht="15.75" hidden="false" customHeight="true" outlineLevel="0" collapsed="false">
      <c r="A289" s="22"/>
      <c r="C289" s="13"/>
    </row>
    <row r="290" customFormat="false" ht="15.75" hidden="false" customHeight="true" outlineLevel="0" collapsed="false">
      <c r="A290" s="22"/>
      <c r="C290" s="13"/>
    </row>
    <row r="291" customFormat="false" ht="15.75" hidden="false" customHeight="true" outlineLevel="0" collapsed="false">
      <c r="A291" s="22"/>
      <c r="C291" s="13"/>
    </row>
    <row r="292" customFormat="false" ht="15.75" hidden="false" customHeight="true" outlineLevel="0" collapsed="false">
      <c r="A292" s="22"/>
      <c r="C292" s="13"/>
    </row>
    <row r="293" customFormat="false" ht="15.75" hidden="false" customHeight="true" outlineLevel="0" collapsed="false">
      <c r="A293" s="22"/>
      <c r="C293" s="13"/>
    </row>
    <row r="294" customFormat="false" ht="15.75" hidden="false" customHeight="true" outlineLevel="0" collapsed="false">
      <c r="A294" s="22"/>
      <c r="C294" s="13"/>
    </row>
    <row r="295" customFormat="false" ht="15.75" hidden="false" customHeight="true" outlineLevel="0" collapsed="false">
      <c r="A295" s="22"/>
      <c r="C295" s="13"/>
    </row>
    <row r="296" customFormat="false" ht="15.75" hidden="false" customHeight="true" outlineLevel="0" collapsed="false">
      <c r="A296" s="22"/>
      <c r="C296" s="13"/>
    </row>
    <row r="297" customFormat="false" ht="15.75" hidden="false" customHeight="true" outlineLevel="0" collapsed="false">
      <c r="A297" s="22"/>
      <c r="C297" s="13"/>
    </row>
    <row r="298" customFormat="false" ht="15.75" hidden="false" customHeight="true" outlineLevel="0" collapsed="false">
      <c r="A298" s="22"/>
      <c r="C298" s="13"/>
    </row>
    <row r="299" customFormat="false" ht="15.75" hidden="false" customHeight="true" outlineLevel="0" collapsed="false">
      <c r="A299" s="22"/>
      <c r="C299" s="13"/>
    </row>
    <row r="300" customFormat="false" ht="15.75" hidden="false" customHeight="true" outlineLevel="0" collapsed="false">
      <c r="A300" s="22"/>
      <c r="C300" s="13"/>
    </row>
    <row r="301" customFormat="false" ht="15.75" hidden="false" customHeight="true" outlineLevel="0" collapsed="false">
      <c r="A301" s="22"/>
      <c r="C301" s="13"/>
    </row>
    <row r="302" customFormat="false" ht="15.75" hidden="false" customHeight="true" outlineLevel="0" collapsed="false">
      <c r="A302" s="22"/>
      <c r="C302" s="13"/>
    </row>
    <row r="303" customFormat="false" ht="15.75" hidden="false" customHeight="true" outlineLevel="0" collapsed="false">
      <c r="A303" s="22"/>
      <c r="C303" s="13"/>
    </row>
    <row r="304" customFormat="false" ht="15.75" hidden="false" customHeight="true" outlineLevel="0" collapsed="false">
      <c r="A304" s="22"/>
      <c r="C304" s="13"/>
    </row>
    <row r="305" customFormat="false" ht="15.75" hidden="false" customHeight="true" outlineLevel="0" collapsed="false">
      <c r="A305" s="22"/>
      <c r="C305" s="13"/>
    </row>
    <row r="306" customFormat="false" ht="15.75" hidden="false" customHeight="true" outlineLevel="0" collapsed="false">
      <c r="A306" s="22"/>
      <c r="C306" s="13"/>
    </row>
    <row r="307" customFormat="false" ht="15.75" hidden="false" customHeight="true" outlineLevel="0" collapsed="false">
      <c r="A307" s="22"/>
      <c r="C307" s="13"/>
    </row>
    <row r="308" customFormat="false" ht="15.75" hidden="false" customHeight="true" outlineLevel="0" collapsed="false">
      <c r="A308" s="22"/>
      <c r="C308" s="13"/>
    </row>
    <row r="309" customFormat="false" ht="15.75" hidden="false" customHeight="true" outlineLevel="0" collapsed="false">
      <c r="A309" s="22"/>
      <c r="C309" s="13"/>
    </row>
    <row r="310" customFormat="false" ht="15.75" hidden="false" customHeight="true" outlineLevel="0" collapsed="false">
      <c r="A310" s="22"/>
      <c r="C310" s="13"/>
    </row>
    <row r="311" customFormat="false" ht="15.75" hidden="false" customHeight="true" outlineLevel="0" collapsed="false">
      <c r="A311" s="22"/>
      <c r="C311" s="13"/>
    </row>
    <row r="312" customFormat="false" ht="15.75" hidden="false" customHeight="true" outlineLevel="0" collapsed="false">
      <c r="A312" s="22"/>
      <c r="C312" s="13"/>
    </row>
    <row r="313" customFormat="false" ht="15.75" hidden="false" customHeight="true" outlineLevel="0" collapsed="false">
      <c r="A313" s="22"/>
      <c r="C313" s="13"/>
    </row>
    <row r="314" customFormat="false" ht="15.75" hidden="false" customHeight="true" outlineLevel="0" collapsed="false">
      <c r="A314" s="22"/>
      <c r="C314" s="13"/>
    </row>
    <row r="315" customFormat="false" ht="15.75" hidden="false" customHeight="true" outlineLevel="0" collapsed="false">
      <c r="A315" s="22"/>
      <c r="C315" s="13"/>
    </row>
    <row r="316" customFormat="false" ht="15.75" hidden="false" customHeight="true" outlineLevel="0" collapsed="false">
      <c r="A316" s="22"/>
      <c r="C316" s="13"/>
    </row>
    <row r="317" customFormat="false" ht="15.75" hidden="false" customHeight="true" outlineLevel="0" collapsed="false">
      <c r="A317" s="22"/>
      <c r="C317" s="13"/>
    </row>
    <row r="318" customFormat="false" ht="15.75" hidden="false" customHeight="true" outlineLevel="0" collapsed="false">
      <c r="A318" s="22"/>
      <c r="C318" s="13"/>
    </row>
    <row r="319" customFormat="false" ht="15.75" hidden="false" customHeight="true" outlineLevel="0" collapsed="false">
      <c r="A319" s="22"/>
      <c r="C319" s="13"/>
    </row>
    <row r="320" customFormat="false" ht="15.75" hidden="false" customHeight="true" outlineLevel="0" collapsed="false">
      <c r="A320" s="22"/>
      <c r="C320" s="13"/>
    </row>
    <row r="321" customFormat="false" ht="15.75" hidden="false" customHeight="true" outlineLevel="0" collapsed="false">
      <c r="A321" s="22"/>
      <c r="C321" s="13"/>
    </row>
    <row r="322" customFormat="false" ht="15.75" hidden="false" customHeight="true" outlineLevel="0" collapsed="false">
      <c r="A322" s="22"/>
      <c r="C322" s="13"/>
    </row>
    <row r="323" customFormat="false" ht="15.75" hidden="false" customHeight="true" outlineLevel="0" collapsed="false">
      <c r="A323" s="22"/>
      <c r="C323" s="13"/>
    </row>
    <row r="324" customFormat="false" ht="15.75" hidden="false" customHeight="true" outlineLevel="0" collapsed="false">
      <c r="A324" s="22"/>
      <c r="C324" s="13"/>
    </row>
    <row r="325" customFormat="false" ht="15.75" hidden="false" customHeight="true" outlineLevel="0" collapsed="false">
      <c r="A325" s="22"/>
      <c r="C325" s="13"/>
    </row>
    <row r="326" customFormat="false" ht="15.75" hidden="false" customHeight="true" outlineLevel="0" collapsed="false">
      <c r="A326" s="22"/>
      <c r="C326" s="13"/>
    </row>
    <row r="327" customFormat="false" ht="15.75" hidden="false" customHeight="true" outlineLevel="0" collapsed="false">
      <c r="A327" s="22"/>
      <c r="C327" s="13"/>
    </row>
    <row r="328" customFormat="false" ht="15.75" hidden="false" customHeight="true" outlineLevel="0" collapsed="false">
      <c r="A328" s="22"/>
      <c r="C328" s="13"/>
    </row>
    <row r="329" customFormat="false" ht="15.75" hidden="false" customHeight="true" outlineLevel="0" collapsed="false">
      <c r="A329" s="22"/>
      <c r="C329" s="13"/>
    </row>
    <row r="330" customFormat="false" ht="15.75" hidden="false" customHeight="true" outlineLevel="0" collapsed="false">
      <c r="A330" s="22"/>
      <c r="C330" s="13"/>
    </row>
    <row r="331" customFormat="false" ht="15.75" hidden="false" customHeight="true" outlineLevel="0" collapsed="false">
      <c r="A331" s="22"/>
      <c r="C331" s="13"/>
    </row>
    <row r="332" customFormat="false" ht="15.75" hidden="false" customHeight="true" outlineLevel="0" collapsed="false">
      <c r="A332" s="22"/>
      <c r="C332" s="13"/>
    </row>
    <row r="333" customFormat="false" ht="15.75" hidden="false" customHeight="true" outlineLevel="0" collapsed="false">
      <c r="A333" s="22"/>
      <c r="C333" s="13"/>
    </row>
    <row r="334" customFormat="false" ht="15.75" hidden="false" customHeight="true" outlineLevel="0" collapsed="false">
      <c r="A334" s="22"/>
      <c r="C334" s="13"/>
    </row>
    <row r="335" customFormat="false" ht="15.75" hidden="false" customHeight="true" outlineLevel="0" collapsed="false">
      <c r="A335" s="22"/>
      <c r="C335" s="13"/>
    </row>
    <row r="336" customFormat="false" ht="15.75" hidden="false" customHeight="true" outlineLevel="0" collapsed="false">
      <c r="A336" s="22"/>
      <c r="C336" s="13"/>
    </row>
    <row r="337" customFormat="false" ht="15.75" hidden="false" customHeight="true" outlineLevel="0" collapsed="false">
      <c r="A337" s="22"/>
      <c r="C337" s="13"/>
    </row>
    <row r="338" customFormat="false" ht="15.75" hidden="false" customHeight="true" outlineLevel="0" collapsed="false">
      <c r="A338" s="22"/>
      <c r="C338" s="13"/>
    </row>
    <row r="339" customFormat="false" ht="15.75" hidden="false" customHeight="true" outlineLevel="0" collapsed="false">
      <c r="A339" s="22"/>
      <c r="C339" s="13"/>
    </row>
    <row r="340" customFormat="false" ht="15.75" hidden="false" customHeight="true" outlineLevel="0" collapsed="false">
      <c r="A340" s="22"/>
      <c r="C340" s="13"/>
    </row>
    <row r="341" customFormat="false" ht="15.75" hidden="false" customHeight="true" outlineLevel="0" collapsed="false">
      <c r="A341" s="22"/>
      <c r="C341" s="13"/>
    </row>
    <row r="342" customFormat="false" ht="15.75" hidden="false" customHeight="true" outlineLevel="0" collapsed="false">
      <c r="A342" s="22"/>
      <c r="C342" s="13"/>
    </row>
    <row r="343" customFormat="false" ht="15.75" hidden="false" customHeight="true" outlineLevel="0" collapsed="false">
      <c r="A343" s="22"/>
      <c r="C343" s="13"/>
    </row>
    <row r="344" customFormat="false" ht="15.75" hidden="false" customHeight="true" outlineLevel="0" collapsed="false">
      <c r="A344" s="22"/>
      <c r="C344" s="13"/>
    </row>
    <row r="345" customFormat="false" ht="15.75" hidden="false" customHeight="true" outlineLevel="0" collapsed="false">
      <c r="A345" s="22"/>
      <c r="C345" s="13"/>
    </row>
    <row r="346" customFormat="false" ht="15.75" hidden="false" customHeight="true" outlineLevel="0" collapsed="false">
      <c r="A346" s="22"/>
      <c r="C346" s="13"/>
    </row>
    <row r="347" customFormat="false" ht="15.75" hidden="false" customHeight="true" outlineLevel="0" collapsed="false">
      <c r="A347" s="22"/>
      <c r="C347" s="13"/>
    </row>
    <row r="348" customFormat="false" ht="15.75" hidden="false" customHeight="true" outlineLevel="0" collapsed="false">
      <c r="A348" s="22"/>
      <c r="C348" s="13"/>
    </row>
    <row r="349" customFormat="false" ht="15.75" hidden="false" customHeight="true" outlineLevel="0" collapsed="false">
      <c r="A349" s="22"/>
      <c r="C349" s="13"/>
    </row>
    <row r="350" customFormat="false" ht="15.75" hidden="false" customHeight="true" outlineLevel="0" collapsed="false">
      <c r="A350" s="22"/>
      <c r="C350" s="13"/>
    </row>
    <row r="351" customFormat="false" ht="15.75" hidden="false" customHeight="true" outlineLevel="0" collapsed="false">
      <c r="A351" s="22"/>
      <c r="C351" s="13"/>
    </row>
    <row r="352" customFormat="false" ht="15.75" hidden="false" customHeight="true" outlineLevel="0" collapsed="false">
      <c r="A352" s="22"/>
      <c r="C352" s="13"/>
    </row>
    <row r="353" customFormat="false" ht="15.75" hidden="false" customHeight="true" outlineLevel="0" collapsed="false">
      <c r="A353" s="22"/>
      <c r="C353" s="13"/>
    </row>
    <row r="354" customFormat="false" ht="15.75" hidden="false" customHeight="true" outlineLevel="0" collapsed="false">
      <c r="A354" s="22"/>
      <c r="C354" s="13"/>
    </row>
    <row r="355" customFormat="false" ht="15.75" hidden="false" customHeight="true" outlineLevel="0" collapsed="false">
      <c r="A355" s="22"/>
      <c r="C355" s="13"/>
    </row>
    <row r="356" customFormat="false" ht="15.75" hidden="false" customHeight="true" outlineLevel="0" collapsed="false">
      <c r="A356" s="22"/>
      <c r="C356" s="13"/>
    </row>
    <row r="357" customFormat="false" ht="15.75" hidden="false" customHeight="true" outlineLevel="0" collapsed="false">
      <c r="A357" s="22"/>
      <c r="C357" s="13"/>
    </row>
    <row r="358" customFormat="false" ht="15.75" hidden="false" customHeight="true" outlineLevel="0" collapsed="false">
      <c r="A358" s="22"/>
      <c r="C358" s="13"/>
    </row>
    <row r="359" customFormat="false" ht="15.75" hidden="false" customHeight="true" outlineLevel="0" collapsed="false">
      <c r="A359" s="22"/>
      <c r="C359" s="13"/>
    </row>
    <row r="360" customFormat="false" ht="15.75" hidden="false" customHeight="true" outlineLevel="0" collapsed="false">
      <c r="A360" s="22"/>
      <c r="C360" s="13"/>
    </row>
    <row r="361" customFormat="false" ht="15.75" hidden="false" customHeight="true" outlineLevel="0" collapsed="false">
      <c r="A361" s="22"/>
      <c r="C361" s="13"/>
    </row>
    <row r="362" customFormat="false" ht="15.75" hidden="false" customHeight="true" outlineLevel="0" collapsed="false">
      <c r="A362" s="22"/>
      <c r="C362" s="13"/>
    </row>
    <row r="363" customFormat="false" ht="15.75" hidden="false" customHeight="true" outlineLevel="0" collapsed="false">
      <c r="A363" s="22"/>
      <c r="C363" s="13"/>
    </row>
    <row r="364" customFormat="false" ht="15.75" hidden="false" customHeight="true" outlineLevel="0" collapsed="false">
      <c r="A364" s="22"/>
      <c r="C364" s="13"/>
    </row>
    <row r="365" customFormat="false" ht="15.75" hidden="false" customHeight="true" outlineLevel="0" collapsed="false">
      <c r="A365" s="22"/>
      <c r="C365" s="13"/>
    </row>
    <row r="366" customFormat="false" ht="15.75" hidden="false" customHeight="true" outlineLevel="0" collapsed="false">
      <c r="A366" s="22"/>
      <c r="C366" s="13"/>
    </row>
    <row r="367" customFormat="false" ht="15.75" hidden="false" customHeight="true" outlineLevel="0" collapsed="false">
      <c r="A367" s="22"/>
      <c r="C367" s="13"/>
    </row>
    <row r="368" customFormat="false" ht="15.75" hidden="false" customHeight="true" outlineLevel="0" collapsed="false">
      <c r="A368" s="22"/>
      <c r="C368" s="13"/>
    </row>
    <row r="369" customFormat="false" ht="15.75" hidden="false" customHeight="true" outlineLevel="0" collapsed="false">
      <c r="A369" s="22"/>
      <c r="C369" s="13"/>
    </row>
    <row r="370" customFormat="false" ht="15.75" hidden="false" customHeight="true" outlineLevel="0" collapsed="false">
      <c r="A370" s="22"/>
      <c r="C370" s="13"/>
    </row>
    <row r="371" customFormat="false" ht="15.75" hidden="false" customHeight="true" outlineLevel="0" collapsed="false">
      <c r="A371" s="22"/>
      <c r="C371" s="13"/>
    </row>
    <row r="372" customFormat="false" ht="15.75" hidden="false" customHeight="true" outlineLevel="0" collapsed="false">
      <c r="A372" s="22"/>
      <c r="C372" s="13"/>
    </row>
    <row r="373" customFormat="false" ht="15.75" hidden="false" customHeight="true" outlineLevel="0" collapsed="false">
      <c r="A373" s="22"/>
      <c r="C373" s="13"/>
    </row>
    <row r="374" customFormat="false" ht="15.75" hidden="false" customHeight="true" outlineLevel="0" collapsed="false">
      <c r="A374" s="22"/>
      <c r="C374" s="13"/>
    </row>
    <row r="375" customFormat="false" ht="15.75" hidden="false" customHeight="true" outlineLevel="0" collapsed="false">
      <c r="A375" s="22"/>
      <c r="C375" s="13"/>
    </row>
    <row r="376" customFormat="false" ht="15.75" hidden="false" customHeight="true" outlineLevel="0" collapsed="false">
      <c r="A376" s="22"/>
      <c r="C376" s="13"/>
    </row>
    <row r="377" customFormat="false" ht="15.75" hidden="false" customHeight="true" outlineLevel="0" collapsed="false">
      <c r="A377" s="22"/>
      <c r="C377" s="13"/>
    </row>
    <row r="378" customFormat="false" ht="15.75" hidden="false" customHeight="true" outlineLevel="0" collapsed="false">
      <c r="A378" s="22"/>
      <c r="C378" s="13"/>
    </row>
    <row r="379" customFormat="false" ht="15.75" hidden="false" customHeight="true" outlineLevel="0" collapsed="false">
      <c r="A379" s="22"/>
      <c r="C379" s="13"/>
    </row>
    <row r="380" customFormat="false" ht="15.75" hidden="false" customHeight="true" outlineLevel="0" collapsed="false">
      <c r="A380" s="22"/>
      <c r="C380" s="13"/>
    </row>
    <row r="381" customFormat="false" ht="15.75" hidden="false" customHeight="true" outlineLevel="0" collapsed="false">
      <c r="A381" s="22"/>
      <c r="C381" s="13"/>
    </row>
    <row r="382" customFormat="false" ht="15.75" hidden="false" customHeight="true" outlineLevel="0" collapsed="false">
      <c r="A382" s="22"/>
      <c r="C382" s="13"/>
    </row>
    <row r="383" customFormat="false" ht="15.75" hidden="false" customHeight="true" outlineLevel="0" collapsed="false">
      <c r="A383" s="22"/>
      <c r="C383" s="13"/>
    </row>
    <row r="384" customFormat="false" ht="15.75" hidden="false" customHeight="true" outlineLevel="0" collapsed="false">
      <c r="A384" s="22"/>
      <c r="C384" s="13"/>
    </row>
    <row r="385" customFormat="false" ht="15.75" hidden="false" customHeight="true" outlineLevel="0" collapsed="false">
      <c r="A385" s="22"/>
      <c r="C385" s="13"/>
    </row>
    <row r="386" customFormat="false" ht="15.75" hidden="false" customHeight="true" outlineLevel="0" collapsed="false">
      <c r="A386" s="22"/>
      <c r="C386" s="13"/>
    </row>
    <row r="387" customFormat="false" ht="15.75" hidden="false" customHeight="true" outlineLevel="0" collapsed="false">
      <c r="A387" s="22"/>
      <c r="C387" s="13"/>
    </row>
    <row r="388" customFormat="false" ht="15.75" hidden="false" customHeight="true" outlineLevel="0" collapsed="false">
      <c r="A388" s="22"/>
      <c r="C388" s="13"/>
    </row>
    <row r="389" customFormat="false" ht="15.75" hidden="false" customHeight="true" outlineLevel="0" collapsed="false">
      <c r="A389" s="22"/>
      <c r="C389" s="13"/>
    </row>
    <row r="390" customFormat="false" ht="15.75" hidden="false" customHeight="true" outlineLevel="0" collapsed="false">
      <c r="A390" s="22"/>
      <c r="C390" s="13"/>
    </row>
    <row r="391" customFormat="false" ht="15.75" hidden="false" customHeight="true" outlineLevel="0" collapsed="false">
      <c r="A391" s="22"/>
      <c r="C391" s="13"/>
    </row>
    <row r="392" customFormat="false" ht="15.75" hidden="false" customHeight="true" outlineLevel="0" collapsed="false">
      <c r="A392" s="22"/>
      <c r="C392" s="13"/>
    </row>
    <row r="393" customFormat="false" ht="15.75" hidden="false" customHeight="true" outlineLevel="0" collapsed="false">
      <c r="A393" s="22"/>
      <c r="C393" s="13"/>
    </row>
    <row r="394" customFormat="false" ht="15.75" hidden="false" customHeight="true" outlineLevel="0" collapsed="false">
      <c r="A394" s="22"/>
      <c r="C394" s="13"/>
    </row>
    <row r="395" customFormat="false" ht="15.75" hidden="false" customHeight="true" outlineLevel="0" collapsed="false">
      <c r="A395" s="22"/>
      <c r="C395" s="13"/>
    </row>
    <row r="396" customFormat="false" ht="15.75" hidden="false" customHeight="true" outlineLevel="0" collapsed="false">
      <c r="A396" s="22"/>
      <c r="C396" s="13"/>
    </row>
    <row r="397" customFormat="false" ht="15.75" hidden="false" customHeight="true" outlineLevel="0" collapsed="false">
      <c r="A397" s="22"/>
      <c r="C397" s="13"/>
    </row>
    <row r="398" customFormat="false" ht="15.75" hidden="false" customHeight="true" outlineLevel="0" collapsed="false">
      <c r="A398" s="22"/>
      <c r="C398" s="13"/>
    </row>
    <row r="399" customFormat="false" ht="15.75" hidden="false" customHeight="true" outlineLevel="0" collapsed="false">
      <c r="A399" s="22"/>
      <c r="C399" s="13"/>
    </row>
    <row r="400" customFormat="false" ht="15.75" hidden="false" customHeight="true" outlineLevel="0" collapsed="false">
      <c r="A400" s="22"/>
      <c r="C400" s="13"/>
    </row>
    <row r="401" customFormat="false" ht="15.75" hidden="false" customHeight="true" outlineLevel="0" collapsed="false">
      <c r="A401" s="22"/>
      <c r="C401" s="13"/>
    </row>
    <row r="402" customFormat="false" ht="15.75" hidden="false" customHeight="true" outlineLevel="0" collapsed="false">
      <c r="A402" s="22"/>
      <c r="C402" s="13"/>
    </row>
    <row r="403" customFormat="false" ht="15.75" hidden="false" customHeight="true" outlineLevel="0" collapsed="false">
      <c r="A403" s="22"/>
      <c r="C403" s="13"/>
    </row>
    <row r="404" customFormat="false" ht="15.75" hidden="false" customHeight="true" outlineLevel="0" collapsed="false">
      <c r="A404" s="22"/>
      <c r="C404" s="13"/>
    </row>
    <row r="405" customFormat="false" ht="15.75" hidden="false" customHeight="true" outlineLevel="0" collapsed="false">
      <c r="A405" s="22"/>
      <c r="C405" s="13"/>
    </row>
    <row r="406" customFormat="false" ht="15.75" hidden="false" customHeight="true" outlineLevel="0" collapsed="false">
      <c r="A406" s="22"/>
      <c r="C406" s="13"/>
    </row>
    <row r="407" customFormat="false" ht="15.75" hidden="false" customHeight="true" outlineLevel="0" collapsed="false">
      <c r="A407" s="22"/>
      <c r="C407" s="13"/>
    </row>
    <row r="408" customFormat="false" ht="15.75" hidden="false" customHeight="true" outlineLevel="0" collapsed="false">
      <c r="A408" s="22"/>
      <c r="C408" s="13"/>
    </row>
    <row r="409" customFormat="false" ht="15.75" hidden="false" customHeight="true" outlineLevel="0" collapsed="false">
      <c r="A409" s="22"/>
      <c r="C409" s="13"/>
    </row>
    <row r="410" customFormat="false" ht="15.75" hidden="false" customHeight="true" outlineLevel="0" collapsed="false">
      <c r="A410" s="22"/>
      <c r="C410" s="13"/>
    </row>
    <row r="411" customFormat="false" ht="15.75" hidden="false" customHeight="true" outlineLevel="0" collapsed="false">
      <c r="A411" s="22"/>
      <c r="C411" s="13"/>
    </row>
    <row r="412" customFormat="false" ht="15.75" hidden="false" customHeight="true" outlineLevel="0" collapsed="false">
      <c r="A412" s="22"/>
      <c r="C412" s="13"/>
    </row>
    <row r="413" customFormat="false" ht="15.75" hidden="false" customHeight="true" outlineLevel="0" collapsed="false">
      <c r="A413" s="22"/>
      <c r="C413" s="13"/>
    </row>
    <row r="414" customFormat="false" ht="15.75" hidden="false" customHeight="true" outlineLevel="0" collapsed="false">
      <c r="A414" s="22"/>
      <c r="C414" s="13"/>
    </row>
    <row r="415" customFormat="false" ht="15.75" hidden="false" customHeight="true" outlineLevel="0" collapsed="false">
      <c r="A415" s="22"/>
      <c r="C415" s="13"/>
    </row>
    <row r="416" customFormat="false" ht="15.75" hidden="false" customHeight="true" outlineLevel="0" collapsed="false">
      <c r="A416" s="22"/>
      <c r="C416" s="13"/>
    </row>
    <row r="417" customFormat="false" ht="15.75" hidden="false" customHeight="true" outlineLevel="0" collapsed="false">
      <c r="A417" s="22"/>
      <c r="C417" s="13"/>
    </row>
    <row r="418" customFormat="false" ht="15.75" hidden="false" customHeight="true" outlineLevel="0" collapsed="false">
      <c r="A418" s="22"/>
      <c r="C418" s="13"/>
    </row>
    <row r="419" customFormat="false" ht="15.75" hidden="false" customHeight="true" outlineLevel="0" collapsed="false">
      <c r="A419" s="22"/>
      <c r="C419" s="13"/>
    </row>
    <row r="420" customFormat="false" ht="15.75" hidden="false" customHeight="true" outlineLevel="0" collapsed="false">
      <c r="A420" s="22"/>
      <c r="C420" s="13"/>
    </row>
    <row r="421" customFormat="false" ht="15.75" hidden="false" customHeight="true" outlineLevel="0" collapsed="false">
      <c r="A421" s="22"/>
      <c r="C421" s="13"/>
    </row>
    <row r="422" customFormat="false" ht="15.75" hidden="false" customHeight="true" outlineLevel="0" collapsed="false">
      <c r="A422" s="22"/>
      <c r="C422" s="13"/>
    </row>
    <row r="423" customFormat="false" ht="15.75" hidden="false" customHeight="true" outlineLevel="0" collapsed="false">
      <c r="A423" s="22"/>
      <c r="C423" s="13"/>
    </row>
    <row r="424" customFormat="false" ht="15.75" hidden="false" customHeight="true" outlineLevel="0" collapsed="false">
      <c r="A424" s="22"/>
      <c r="C424" s="13"/>
    </row>
    <row r="425" customFormat="false" ht="15.75" hidden="false" customHeight="true" outlineLevel="0" collapsed="false">
      <c r="A425" s="22"/>
      <c r="C425" s="13"/>
    </row>
    <row r="426" customFormat="false" ht="15.75" hidden="false" customHeight="true" outlineLevel="0" collapsed="false">
      <c r="A426" s="22"/>
      <c r="C426" s="13"/>
    </row>
    <row r="427" customFormat="false" ht="15.75" hidden="false" customHeight="true" outlineLevel="0" collapsed="false">
      <c r="A427" s="22"/>
      <c r="C427" s="13"/>
    </row>
    <row r="428" customFormat="false" ht="15.75" hidden="false" customHeight="true" outlineLevel="0" collapsed="false">
      <c r="A428" s="22"/>
      <c r="C428" s="13"/>
    </row>
    <row r="429" customFormat="false" ht="15.75" hidden="false" customHeight="true" outlineLevel="0" collapsed="false">
      <c r="A429" s="22"/>
      <c r="C429" s="13"/>
    </row>
    <row r="430" customFormat="false" ht="15.75" hidden="false" customHeight="true" outlineLevel="0" collapsed="false">
      <c r="A430" s="22"/>
      <c r="C430" s="13"/>
    </row>
    <row r="431" customFormat="false" ht="15.75" hidden="false" customHeight="true" outlineLevel="0" collapsed="false">
      <c r="A431" s="22"/>
      <c r="C431" s="13"/>
    </row>
    <row r="432" customFormat="false" ht="15.75" hidden="false" customHeight="true" outlineLevel="0" collapsed="false">
      <c r="A432" s="22"/>
      <c r="C432" s="13"/>
    </row>
    <row r="433" customFormat="false" ht="15.75" hidden="false" customHeight="true" outlineLevel="0" collapsed="false">
      <c r="A433" s="22"/>
      <c r="C433" s="13"/>
    </row>
    <row r="434" customFormat="false" ht="15.75" hidden="false" customHeight="true" outlineLevel="0" collapsed="false">
      <c r="A434" s="22"/>
      <c r="C434" s="13"/>
    </row>
    <row r="435" customFormat="false" ht="15.75" hidden="false" customHeight="true" outlineLevel="0" collapsed="false">
      <c r="A435" s="22"/>
      <c r="C435" s="13"/>
    </row>
    <row r="436" customFormat="false" ht="15.75" hidden="false" customHeight="true" outlineLevel="0" collapsed="false">
      <c r="A436" s="22"/>
      <c r="C436" s="13"/>
    </row>
    <row r="437" customFormat="false" ht="15.75" hidden="false" customHeight="true" outlineLevel="0" collapsed="false">
      <c r="A437" s="22"/>
      <c r="C437" s="13"/>
    </row>
    <row r="438" customFormat="false" ht="15.75" hidden="false" customHeight="true" outlineLevel="0" collapsed="false">
      <c r="A438" s="22"/>
      <c r="C438" s="13"/>
    </row>
    <row r="439" customFormat="false" ht="15.75" hidden="false" customHeight="true" outlineLevel="0" collapsed="false">
      <c r="A439" s="22"/>
      <c r="C439" s="13"/>
    </row>
    <row r="440" customFormat="false" ht="15.75" hidden="false" customHeight="true" outlineLevel="0" collapsed="false">
      <c r="A440" s="22"/>
      <c r="C440" s="13"/>
    </row>
    <row r="441" customFormat="false" ht="15.75" hidden="false" customHeight="true" outlineLevel="0" collapsed="false">
      <c r="A441" s="22"/>
      <c r="C441" s="13"/>
    </row>
    <row r="442" customFormat="false" ht="15.75" hidden="false" customHeight="true" outlineLevel="0" collapsed="false">
      <c r="A442" s="22"/>
      <c r="C442" s="13"/>
    </row>
    <row r="443" customFormat="false" ht="15.75" hidden="false" customHeight="true" outlineLevel="0" collapsed="false">
      <c r="A443" s="22"/>
      <c r="C443" s="13"/>
    </row>
    <row r="444" customFormat="false" ht="15.75" hidden="false" customHeight="true" outlineLevel="0" collapsed="false">
      <c r="A444" s="22"/>
      <c r="C444" s="13"/>
    </row>
    <row r="445" customFormat="false" ht="15.75" hidden="false" customHeight="true" outlineLevel="0" collapsed="false">
      <c r="A445" s="22"/>
      <c r="C445" s="13"/>
    </row>
    <row r="446" customFormat="false" ht="15.75" hidden="false" customHeight="true" outlineLevel="0" collapsed="false">
      <c r="A446" s="22"/>
      <c r="C446" s="13"/>
    </row>
    <row r="447" customFormat="false" ht="15.75" hidden="false" customHeight="true" outlineLevel="0" collapsed="false">
      <c r="A447" s="22"/>
      <c r="C447" s="13"/>
    </row>
    <row r="448" customFormat="false" ht="15.75" hidden="false" customHeight="true" outlineLevel="0" collapsed="false">
      <c r="A448" s="22"/>
      <c r="C448" s="13"/>
    </row>
    <row r="449" customFormat="false" ht="15.75" hidden="false" customHeight="true" outlineLevel="0" collapsed="false">
      <c r="A449" s="22"/>
      <c r="C449" s="13"/>
    </row>
    <row r="450" customFormat="false" ht="15.75" hidden="false" customHeight="true" outlineLevel="0" collapsed="false">
      <c r="A450" s="22"/>
      <c r="C450" s="13"/>
    </row>
    <row r="451" customFormat="false" ht="15.75" hidden="false" customHeight="true" outlineLevel="0" collapsed="false">
      <c r="A451" s="22"/>
      <c r="C451" s="13"/>
    </row>
    <row r="452" customFormat="false" ht="15.75" hidden="false" customHeight="true" outlineLevel="0" collapsed="false">
      <c r="A452" s="22"/>
      <c r="C452" s="13"/>
    </row>
    <row r="453" customFormat="false" ht="15.75" hidden="false" customHeight="true" outlineLevel="0" collapsed="false">
      <c r="A453" s="22"/>
      <c r="C453" s="13"/>
    </row>
    <row r="454" customFormat="false" ht="15.75" hidden="false" customHeight="true" outlineLevel="0" collapsed="false">
      <c r="A454" s="22"/>
      <c r="C454" s="13"/>
    </row>
    <row r="455" customFormat="false" ht="15.75" hidden="false" customHeight="true" outlineLevel="0" collapsed="false">
      <c r="A455" s="22"/>
      <c r="C455" s="13"/>
    </row>
    <row r="456" customFormat="false" ht="15.75" hidden="false" customHeight="true" outlineLevel="0" collapsed="false">
      <c r="A456" s="22"/>
      <c r="C456" s="13"/>
    </row>
    <row r="457" customFormat="false" ht="15.75" hidden="false" customHeight="true" outlineLevel="0" collapsed="false">
      <c r="A457" s="22"/>
      <c r="C457" s="13"/>
    </row>
    <row r="458" customFormat="false" ht="15.75" hidden="false" customHeight="true" outlineLevel="0" collapsed="false">
      <c r="A458" s="22"/>
      <c r="C458" s="13"/>
    </row>
    <row r="459" customFormat="false" ht="15.75" hidden="false" customHeight="true" outlineLevel="0" collapsed="false">
      <c r="A459" s="22"/>
      <c r="C459" s="13"/>
    </row>
    <row r="460" customFormat="false" ht="15.75" hidden="false" customHeight="true" outlineLevel="0" collapsed="false">
      <c r="A460" s="22"/>
      <c r="C460" s="13"/>
    </row>
    <row r="461" customFormat="false" ht="15.75" hidden="false" customHeight="true" outlineLevel="0" collapsed="false">
      <c r="A461" s="22"/>
      <c r="C461" s="13"/>
    </row>
    <row r="462" customFormat="false" ht="15.75" hidden="false" customHeight="true" outlineLevel="0" collapsed="false">
      <c r="A462" s="22"/>
      <c r="C462" s="13"/>
    </row>
    <row r="463" customFormat="false" ht="15.75" hidden="false" customHeight="true" outlineLevel="0" collapsed="false">
      <c r="A463" s="22"/>
      <c r="C463" s="13"/>
    </row>
    <row r="464" customFormat="false" ht="15.75" hidden="false" customHeight="true" outlineLevel="0" collapsed="false">
      <c r="A464" s="22"/>
      <c r="C464" s="13"/>
    </row>
    <row r="465" customFormat="false" ht="15.75" hidden="false" customHeight="true" outlineLevel="0" collapsed="false">
      <c r="A465" s="22"/>
      <c r="C465" s="13"/>
    </row>
    <row r="466" customFormat="false" ht="15.75" hidden="false" customHeight="true" outlineLevel="0" collapsed="false">
      <c r="A466" s="22"/>
      <c r="C466" s="13"/>
    </row>
    <row r="467" customFormat="false" ht="15.75" hidden="false" customHeight="true" outlineLevel="0" collapsed="false">
      <c r="A467" s="22"/>
      <c r="C467" s="13"/>
    </row>
    <row r="468" customFormat="false" ht="15.75" hidden="false" customHeight="true" outlineLevel="0" collapsed="false">
      <c r="A468" s="22"/>
      <c r="C468" s="13"/>
    </row>
    <row r="469" customFormat="false" ht="15.75" hidden="false" customHeight="true" outlineLevel="0" collapsed="false">
      <c r="A469" s="22"/>
      <c r="C469" s="13"/>
    </row>
    <row r="470" customFormat="false" ht="15.75" hidden="false" customHeight="true" outlineLevel="0" collapsed="false">
      <c r="A470" s="22"/>
      <c r="C470" s="13"/>
    </row>
    <row r="471" customFormat="false" ht="15.75" hidden="false" customHeight="true" outlineLevel="0" collapsed="false">
      <c r="A471" s="22"/>
      <c r="C471" s="13"/>
    </row>
    <row r="472" customFormat="false" ht="15.75" hidden="false" customHeight="true" outlineLevel="0" collapsed="false">
      <c r="A472" s="22"/>
      <c r="C472" s="13"/>
    </row>
    <row r="473" customFormat="false" ht="15.75" hidden="false" customHeight="true" outlineLevel="0" collapsed="false">
      <c r="A473" s="22"/>
      <c r="C473" s="13"/>
    </row>
    <row r="474" customFormat="false" ht="15.75" hidden="false" customHeight="true" outlineLevel="0" collapsed="false">
      <c r="A474" s="22"/>
      <c r="C474" s="13"/>
    </row>
    <row r="475" customFormat="false" ht="15.75" hidden="false" customHeight="true" outlineLevel="0" collapsed="false">
      <c r="A475" s="22"/>
      <c r="C475" s="13"/>
    </row>
    <row r="476" customFormat="false" ht="15.75" hidden="false" customHeight="true" outlineLevel="0" collapsed="false">
      <c r="A476" s="22"/>
      <c r="C476" s="13"/>
    </row>
    <row r="477" customFormat="false" ht="15.75" hidden="false" customHeight="true" outlineLevel="0" collapsed="false">
      <c r="A477" s="22"/>
      <c r="C477" s="13"/>
    </row>
    <row r="478" customFormat="false" ht="15.75" hidden="false" customHeight="true" outlineLevel="0" collapsed="false">
      <c r="A478" s="22"/>
      <c r="C478" s="13"/>
    </row>
    <row r="479" customFormat="false" ht="15.75" hidden="false" customHeight="true" outlineLevel="0" collapsed="false">
      <c r="A479" s="22"/>
      <c r="C479" s="13"/>
    </row>
    <row r="480" customFormat="false" ht="15.75" hidden="false" customHeight="true" outlineLevel="0" collapsed="false">
      <c r="A480" s="22"/>
      <c r="C480" s="13"/>
    </row>
    <row r="481" customFormat="false" ht="15.75" hidden="false" customHeight="true" outlineLevel="0" collapsed="false">
      <c r="A481" s="22"/>
      <c r="C481" s="13"/>
    </row>
    <row r="482" customFormat="false" ht="15.75" hidden="false" customHeight="true" outlineLevel="0" collapsed="false">
      <c r="A482" s="22"/>
      <c r="C482" s="13"/>
    </row>
    <row r="483" customFormat="false" ht="15.75" hidden="false" customHeight="true" outlineLevel="0" collapsed="false">
      <c r="A483" s="22"/>
      <c r="C483" s="13"/>
    </row>
    <row r="484" customFormat="false" ht="15.75" hidden="false" customHeight="true" outlineLevel="0" collapsed="false">
      <c r="A484" s="22"/>
      <c r="C484" s="13"/>
    </row>
    <row r="485" customFormat="false" ht="15.75" hidden="false" customHeight="true" outlineLevel="0" collapsed="false">
      <c r="A485" s="22"/>
      <c r="C485" s="13"/>
    </row>
    <row r="486" customFormat="false" ht="15.75" hidden="false" customHeight="true" outlineLevel="0" collapsed="false">
      <c r="A486" s="22"/>
      <c r="C486" s="13"/>
    </row>
    <row r="487" customFormat="false" ht="15.75" hidden="false" customHeight="true" outlineLevel="0" collapsed="false">
      <c r="A487" s="22"/>
      <c r="C487" s="13"/>
    </row>
    <row r="488" customFormat="false" ht="15.75" hidden="false" customHeight="true" outlineLevel="0" collapsed="false">
      <c r="A488" s="22"/>
      <c r="C488" s="13"/>
    </row>
    <row r="489" customFormat="false" ht="15.75" hidden="false" customHeight="true" outlineLevel="0" collapsed="false">
      <c r="A489" s="22"/>
      <c r="C489" s="13"/>
    </row>
    <row r="490" customFormat="false" ht="15.75" hidden="false" customHeight="true" outlineLevel="0" collapsed="false">
      <c r="A490" s="22"/>
      <c r="C490" s="13"/>
    </row>
    <row r="491" customFormat="false" ht="15.75" hidden="false" customHeight="true" outlineLevel="0" collapsed="false">
      <c r="A491" s="22"/>
      <c r="C491" s="13"/>
    </row>
    <row r="492" customFormat="false" ht="15.75" hidden="false" customHeight="true" outlineLevel="0" collapsed="false">
      <c r="A492" s="22"/>
      <c r="C492" s="13"/>
    </row>
    <row r="493" customFormat="false" ht="15.75" hidden="false" customHeight="true" outlineLevel="0" collapsed="false">
      <c r="A493" s="22"/>
      <c r="C493" s="13"/>
    </row>
    <row r="494" customFormat="false" ht="15.75" hidden="false" customHeight="true" outlineLevel="0" collapsed="false">
      <c r="A494" s="22"/>
      <c r="C494" s="13"/>
    </row>
    <row r="495" customFormat="false" ht="15.75" hidden="false" customHeight="true" outlineLevel="0" collapsed="false">
      <c r="A495" s="22"/>
      <c r="C495" s="13"/>
    </row>
    <row r="496" customFormat="false" ht="15.75" hidden="false" customHeight="true" outlineLevel="0" collapsed="false">
      <c r="A496" s="22"/>
      <c r="C496" s="13"/>
    </row>
    <row r="497" customFormat="false" ht="15.75" hidden="false" customHeight="true" outlineLevel="0" collapsed="false">
      <c r="A497" s="22"/>
      <c r="C497" s="13"/>
    </row>
    <row r="498" customFormat="false" ht="15.75" hidden="false" customHeight="true" outlineLevel="0" collapsed="false">
      <c r="A498" s="22"/>
      <c r="C498" s="13"/>
    </row>
    <row r="499" customFormat="false" ht="15.75" hidden="false" customHeight="true" outlineLevel="0" collapsed="false">
      <c r="A499" s="22"/>
      <c r="C499" s="13"/>
    </row>
    <row r="500" customFormat="false" ht="15.75" hidden="false" customHeight="true" outlineLevel="0" collapsed="false">
      <c r="A500" s="22"/>
      <c r="C500" s="13"/>
    </row>
    <row r="501" customFormat="false" ht="15.75" hidden="false" customHeight="true" outlineLevel="0" collapsed="false">
      <c r="A501" s="22"/>
      <c r="C501" s="13"/>
    </row>
    <row r="502" customFormat="false" ht="15.75" hidden="false" customHeight="true" outlineLevel="0" collapsed="false">
      <c r="A502" s="22"/>
      <c r="C502" s="13"/>
    </row>
    <row r="503" customFormat="false" ht="15.75" hidden="false" customHeight="true" outlineLevel="0" collapsed="false">
      <c r="A503" s="22"/>
      <c r="C503" s="13"/>
    </row>
    <row r="504" customFormat="false" ht="15.75" hidden="false" customHeight="true" outlineLevel="0" collapsed="false">
      <c r="A504" s="22"/>
      <c r="C504" s="13"/>
    </row>
    <row r="505" customFormat="false" ht="15.75" hidden="false" customHeight="true" outlineLevel="0" collapsed="false">
      <c r="A505" s="22"/>
      <c r="C505" s="13"/>
    </row>
    <row r="506" customFormat="false" ht="15.75" hidden="false" customHeight="true" outlineLevel="0" collapsed="false">
      <c r="A506" s="22"/>
      <c r="C506" s="13"/>
    </row>
    <row r="507" customFormat="false" ht="15.75" hidden="false" customHeight="true" outlineLevel="0" collapsed="false">
      <c r="A507" s="22"/>
      <c r="C507" s="13"/>
    </row>
    <row r="508" customFormat="false" ht="15.75" hidden="false" customHeight="true" outlineLevel="0" collapsed="false">
      <c r="A508" s="22"/>
      <c r="C508" s="13"/>
    </row>
    <row r="509" customFormat="false" ht="15.75" hidden="false" customHeight="true" outlineLevel="0" collapsed="false">
      <c r="A509" s="22"/>
      <c r="C509" s="13"/>
    </row>
    <row r="510" customFormat="false" ht="15.75" hidden="false" customHeight="true" outlineLevel="0" collapsed="false">
      <c r="A510" s="22"/>
      <c r="C510" s="13"/>
    </row>
    <row r="511" customFormat="false" ht="15.75" hidden="false" customHeight="true" outlineLevel="0" collapsed="false">
      <c r="A511" s="22"/>
      <c r="C511" s="13"/>
    </row>
    <row r="512" customFormat="false" ht="15.75" hidden="false" customHeight="true" outlineLevel="0" collapsed="false">
      <c r="A512" s="22"/>
      <c r="C512" s="13"/>
    </row>
    <row r="513" customFormat="false" ht="15.75" hidden="false" customHeight="true" outlineLevel="0" collapsed="false">
      <c r="A513" s="22"/>
      <c r="C513" s="13"/>
    </row>
    <row r="514" customFormat="false" ht="15.75" hidden="false" customHeight="true" outlineLevel="0" collapsed="false">
      <c r="A514" s="22"/>
      <c r="C514" s="13"/>
    </row>
    <row r="515" customFormat="false" ht="15.75" hidden="false" customHeight="true" outlineLevel="0" collapsed="false">
      <c r="A515" s="22"/>
      <c r="C515" s="13"/>
    </row>
    <row r="516" customFormat="false" ht="15.75" hidden="false" customHeight="true" outlineLevel="0" collapsed="false">
      <c r="A516" s="22"/>
      <c r="C516" s="13"/>
    </row>
    <row r="517" customFormat="false" ht="15.75" hidden="false" customHeight="true" outlineLevel="0" collapsed="false">
      <c r="A517" s="22"/>
      <c r="C517" s="13"/>
    </row>
    <row r="518" customFormat="false" ht="15.75" hidden="false" customHeight="true" outlineLevel="0" collapsed="false">
      <c r="A518" s="22"/>
      <c r="C518" s="13"/>
    </row>
    <row r="519" customFormat="false" ht="15.75" hidden="false" customHeight="true" outlineLevel="0" collapsed="false">
      <c r="A519" s="22"/>
      <c r="C519" s="13"/>
    </row>
    <row r="520" customFormat="false" ht="15.75" hidden="false" customHeight="true" outlineLevel="0" collapsed="false">
      <c r="A520" s="22"/>
      <c r="C520" s="13"/>
    </row>
    <row r="521" customFormat="false" ht="15.75" hidden="false" customHeight="true" outlineLevel="0" collapsed="false">
      <c r="A521" s="22"/>
      <c r="C521" s="13"/>
    </row>
    <row r="522" customFormat="false" ht="15.75" hidden="false" customHeight="true" outlineLevel="0" collapsed="false">
      <c r="A522" s="22"/>
      <c r="C522" s="13"/>
    </row>
    <row r="523" customFormat="false" ht="15.75" hidden="false" customHeight="true" outlineLevel="0" collapsed="false">
      <c r="A523" s="22"/>
      <c r="C523" s="13"/>
    </row>
    <row r="524" customFormat="false" ht="15.75" hidden="false" customHeight="true" outlineLevel="0" collapsed="false">
      <c r="A524" s="22"/>
      <c r="C524" s="13"/>
    </row>
    <row r="525" customFormat="false" ht="15.75" hidden="false" customHeight="true" outlineLevel="0" collapsed="false">
      <c r="A525" s="22"/>
      <c r="C525" s="13"/>
    </row>
    <row r="526" customFormat="false" ht="15.75" hidden="false" customHeight="true" outlineLevel="0" collapsed="false">
      <c r="A526" s="22"/>
      <c r="C526" s="13"/>
    </row>
    <row r="527" customFormat="false" ht="15.75" hidden="false" customHeight="true" outlineLevel="0" collapsed="false">
      <c r="A527" s="22"/>
      <c r="C527" s="13"/>
    </row>
    <row r="528" customFormat="false" ht="15.75" hidden="false" customHeight="true" outlineLevel="0" collapsed="false">
      <c r="A528" s="22"/>
      <c r="C528" s="13"/>
    </row>
    <row r="529" customFormat="false" ht="15.75" hidden="false" customHeight="true" outlineLevel="0" collapsed="false">
      <c r="A529" s="22"/>
      <c r="C529" s="13"/>
    </row>
    <row r="530" customFormat="false" ht="15.75" hidden="false" customHeight="true" outlineLevel="0" collapsed="false">
      <c r="A530" s="22"/>
      <c r="C530" s="13"/>
    </row>
    <row r="531" customFormat="false" ht="15.75" hidden="false" customHeight="true" outlineLevel="0" collapsed="false">
      <c r="A531" s="22"/>
      <c r="C531" s="13"/>
    </row>
    <row r="532" customFormat="false" ht="15.75" hidden="false" customHeight="true" outlineLevel="0" collapsed="false">
      <c r="A532" s="22"/>
      <c r="C532" s="13"/>
    </row>
    <row r="533" customFormat="false" ht="15.75" hidden="false" customHeight="true" outlineLevel="0" collapsed="false">
      <c r="A533" s="22"/>
      <c r="C533" s="13"/>
    </row>
    <row r="534" customFormat="false" ht="15.75" hidden="false" customHeight="true" outlineLevel="0" collapsed="false">
      <c r="A534" s="22"/>
      <c r="C534" s="13"/>
    </row>
    <row r="535" customFormat="false" ht="15.75" hidden="false" customHeight="true" outlineLevel="0" collapsed="false">
      <c r="A535" s="22"/>
      <c r="C535" s="13"/>
    </row>
    <row r="536" customFormat="false" ht="15.75" hidden="false" customHeight="true" outlineLevel="0" collapsed="false">
      <c r="A536" s="22"/>
      <c r="C536" s="13"/>
    </row>
    <row r="537" customFormat="false" ht="15.75" hidden="false" customHeight="true" outlineLevel="0" collapsed="false">
      <c r="A537" s="22"/>
      <c r="C537" s="13"/>
    </row>
    <row r="538" customFormat="false" ht="15.75" hidden="false" customHeight="true" outlineLevel="0" collapsed="false">
      <c r="A538" s="22"/>
      <c r="C538" s="13"/>
    </row>
    <row r="539" customFormat="false" ht="15.75" hidden="false" customHeight="true" outlineLevel="0" collapsed="false">
      <c r="A539" s="22"/>
      <c r="C539" s="13"/>
    </row>
    <row r="540" customFormat="false" ht="15.75" hidden="false" customHeight="true" outlineLevel="0" collapsed="false">
      <c r="A540" s="22"/>
      <c r="C540" s="13"/>
    </row>
    <row r="541" customFormat="false" ht="15.75" hidden="false" customHeight="true" outlineLevel="0" collapsed="false">
      <c r="A541" s="22"/>
      <c r="C541" s="13"/>
    </row>
    <row r="542" customFormat="false" ht="15.75" hidden="false" customHeight="true" outlineLevel="0" collapsed="false">
      <c r="A542" s="22"/>
      <c r="C542" s="13"/>
    </row>
    <row r="543" customFormat="false" ht="15.75" hidden="false" customHeight="true" outlineLevel="0" collapsed="false">
      <c r="A543" s="22"/>
      <c r="C543" s="13"/>
    </row>
    <row r="544" customFormat="false" ht="15.75" hidden="false" customHeight="true" outlineLevel="0" collapsed="false">
      <c r="A544" s="22"/>
      <c r="C544" s="13"/>
    </row>
    <row r="545" customFormat="false" ht="15.75" hidden="false" customHeight="true" outlineLevel="0" collapsed="false">
      <c r="A545" s="22"/>
      <c r="C545" s="13"/>
    </row>
    <row r="546" customFormat="false" ht="15.75" hidden="false" customHeight="true" outlineLevel="0" collapsed="false">
      <c r="A546" s="22"/>
      <c r="C546" s="13"/>
    </row>
    <row r="547" customFormat="false" ht="15.75" hidden="false" customHeight="true" outlineLevel="0" collapsed="false">
      <c r="A547" s="22"/>
      <c r="C547" s="13"/>
    </row>
    <row r="548" customFormat="false" ht="15.75" hidden="false" customHeight="true" outlineLevel="0" collapsed="false">
      <c r="A548" s="22"/>
      <c r="C548" s="13"/>
    </row>
    <row r="549" customFormat="false" ht="15.75" hidden="false" customHeight="true" outlineLevel="0" collapsed="false">
      <c r="A549" s="22"/>
      <c r="C549" s="13"/>
    </row>
    <row r="550" customFormat="false" ht="15.75" hidden="false" customHeight="true" outlineLevel="0" collapsed="false">
      <c r="A550" s="22"/>
      <c r="C550" s="13"/>
    </row>
    <row r="551" customFormat="false" ht="15.75" hidden="false" customHeight="true" outlineLevel="0" collapsed="false">
      <c r="A551" s="22"/>
      <c r="C551" s="13"/>
    </row>
    <row r="552" customFormat="false" ht="15.75" hidden="false" customHeight="true" outlineLevel="0" collapsed="false">
      <c r="A552" s="22"/>
      <c r="C552" s="13"/>
    </row>
    <row r="553" customFormat="false" ht="15.75" hidden="false" customHeight="true" outlineLevel="0" collapsed="false">
      <c r="A553" s="22"/>
      <c r="C553" s="13"/>
    </row>
    <row r="554" customFormat="false" ht="15.75" hidden="false" customHeight="true" outlineLevel="0" collapsed="false">
      <c r="A554" s="22"/>
      <c r="C554" s="13"/>
    </row>
    <row r="555" customFormat="false" ht="15.75" hidden="false" customHeight="true" outlineLevel="0" collapsed="false">
      <c r="A555" s="22"/>
      <c r="C555" s="13"/>
    </row>
    <row r="556" customFormat="false" ht="15.75" hidden="false" customHeight="true" outlineLevel="0" collapsed="false">
      <c r="A556" s="22"/>
      <c r="C556" s="13"/>
    </row>
    <row r="557" customFormat="false" ht="15.75" hidden="false" customHeight="true" outlineLevel="0" collapsed="false">
      <c r="A557" s="22"/>
      <c r="C557" s="13"/>
    </row>
    <row r="558" customFormat="false" ht="15.75" hidden="false" customHeight="true" outlineLevel="0" collapsed="false">
      <c r="A558" s="22"/>
      <c r="C558" s="13"/>
    </row>
    <row r="559" customFormat="false" ht="15.75" hidden="false" customHeight="true" outlineLevel="0" collapsed="false">
      <c r="A559" s="22"/>
      <c r="C559" s="13"/>
    </row>
    <row r="560" customFormat="false" ht="15.75" hidden="false" customHeight="true" outlineLevel="0" collapsed="false">
      <c r="A560" s="22"/>
      <c r="C560" s="13"/>
    </row>
    <row r="561" customFormat="false" ht="15.75" hidden="false" customHeight="true" outlineLevel="0" collapsed="false">
      <c r="A561" s="22"/>
      <c r="C561" s="13"/>
    </row>
    <row r="562" customFormat="false" ht="15.75" hidden="false" customHeight="true" outlineLevel="0" collapsed="false">
      <c r="A562" s="22"/>
      <c r="C562" s="13"/>
    </row>
    <row r="563" customFormat="false" ht="15.75" hidden="false" customHeight="true" outlineLevel="0" collapsed="false">
      <c r="A563" s="22"/>
      <c r="C563" s="13"/>
    </row>
    <row r="564" customFormat="false" ht="15.75" hidden="false" customHeight="true" outlineLevel="0" collapsed="false">
      <c r="A564" s="22"/>
      <c r="C564" s="13"/>
    </row>
    <row r="565" customFormat="false" ht="15.75" hidden="false" customHeight="true" outlineLevel="0" collapsed="false">
      <c r="A565" s="22"/>
      <c r="C565" s="13"/>
    </row>
    <row r="566" customFormat="false" ht="15.75" hidden="false" customHeight="true" outlineLevel="0" collapsed="false">
      <c r="A566" s="22"/>
      <c r="C566" s="13"/>
    </row>
    <row r="567" customFormat="false" ht="15.75" hidden="false" customHeight="true" outlineLevel="0" collapsed="false">
      <c r="A567" s="22"/>
      <c r="C567" s="13"/>
    </row>
    <row r="568" customFormat="false" ht="15.75" hidden="false" customHeight="true" outlineLevel="0" collapsed="false">
      <c r="A568" s="22"/>
      <c r="C568" s="13"/>
    </row>
    <row r="569" customFormat="false" ht="15.75" hidden="false" customHeight="true" outlineLevel="0" collapsed="false">
      <c r="A569" s="22"/>
      <c r="C569" s="13"/>
    </row>
    <row r="570" customFormat="false" ht="15.75" hidden="false" customHeight="true" outlineLevel="0" collapsed="false">
      <c r="A570" s="22"/>
      <c r="C570" s="13"/>
    </row>
    <row r="571" customFormat="false" ht="15.75" hidden="false" customHeight="true" outlineLevel="0" collapsed="false">
      <c r="A571" s="22"/>
      <c r="C571" s="13"/>
    </row>
    <row r="572" customFormat="false" ht="15.75" hidden="false" customHeight="true" outlineLevel="0" collapsed="false">
      <c r="A572" s="22"/>
      <c r="C572" s="13"/>
    </row>
    <row r="573" customFormat="false" ht="15.75" hidden="false" customHeight="true" outlineLevel="0" collapsed="false">
      <c r="A573" s="22"/>
      <c r="C573" s="13"/>
    </row>
    <row r="574" customFormat="false" ht="15.75" hidden="false" customHeight="true" outlineLevel="0" collapsed="false">
      <c r="A574" s="22"/>
      <c r="C574" s="13"/>
    </row>
    <row r="575" customFormat="false" ht="15.75" hidden="false" customHeight="true" outlineLevel="0" collapsed="false">
      <c r="A575" s="22"/>
      <c r="C575" s="13"/>
    </row>
    <row r="576" customFormat="false" ht="15.75" hidden="false" customHeight="true" outlineLevel="0" collapsed="false">
      <c r="A576" s="22"/>
      <c r="C576" s="13"/>
    </row>
    <row r="577" customFormat="false" ht="15.75" hidden="false" customHeight="true" outlineLevel="0" collapsed="false">
      <c r="A577" s="22"/>
      <c r="C577" s="13"/>
    </row>
    <row r="578" customFormat="false" ht="15.75" hidden="false" customHeight="true" outlineLevel="0" collapsed="false">
      <c r="A578" s="22"/>
      <c r="C578" s="13"/>
    </row>
    <row r="579" customFormat="false" ht="15.75" hidden="false" customHeight="true" outlineLevel="0" collapsed="false">
      <c r="A579" s="22"/>
      <c r="C579" s="13"/>
    </row>
    <row r="580" customFormat="false" ht="15.75" hidden="false" customHeight="true" outlineLevel="0" collapsed="false">
      <c r="A580" s="22"/>
      <c r="C580" s="13"/>
    </row>
    <row r="581" customFormat="false" ht="15.75" hidden="false" customHeight="true" outlineLevel="0" collapsed="false">
      <c r="A581" s="22"/>
      <c r="C581" s="13"/>
    </row>
    <row r="582" customFormat="false" ht="15.75" hidden="false" customHeight="true" outlineLevel="0" collapsed="false">
      <c r="A582" s="22"/>
      <c r="C582" s="13"/>
    </row>
    <row r="583" customFormat="false" ht="15.75" hidden="false" customHeight="true" outlineLevel="0" collapsed="false">
      <c r="A583" s="22"/>
      <c r="C583" s="13"/>
    </row>
    <row r="584" customFormat="false" ht="15.75" hidden="false" customHeight="true" outlineLevel="0" collapsed="false">
      <c r="A584" s="22"/>
      <c r="C584" s="13"/>
    </row>
    <row r="585" customFormat="false" ht="15.75" hidden="false" customHeight="true" outlineLevel="0" collapsed="false">
      <c r="A585" s="22"/>
      <c r="C585" s="13"/>
    </row>
    <row r="586" customFormat="false" ht="15.75" hidden="false" customHeight="true" outlineLevel="0" collapsed="false">
      <c r="A586" s="22"/>
      <c r="C586" s="13"/>
    </row>
    <row r="587" customFormat="false" ht="15.75" hidden="false" customHeight="true" outlineLevel="0" collapsed="false">
      <c r="A587" s="22"/>
      <c r="C587" s="13"/>
    </row>
    <row r="588" customFormat="false" ht="15.75" hidden="false" customHeight="true" outlineLevel="0" collapsed="false">
      <c r="A588" s="22"/>
      <c r="C588" s="13"/>
    </row>
    <row r="589" customFormat="false" ht="15.75" hidden="false" customHeight="true" outlineLevel="0" collapsed="false">
      <c r="A589" s="22"/>
      <c r="C589" s="13"/>
    </row>
    <row r="590" customFormat="false" ht="15.75" hidden="false" customHeight="true" outlineLevel="0" collapsed="false">
      <c r="A590" s="22"/>
      <c r="C590" s="13"/>
    </row>
    <row r="591" customFormat="false" ht="15.75" hidden="false" customHeight="true" outlineLevel="0" collapsed="false">
      <c r="A591" s="22"/>
      <c r="C591" s="13"/>
    </row>
    <row r="592" customFormat="false" ht="15.75" hidden="false" customHeight="true" outlineLevel="0" collapsed="false">
      <c r="A592" s="22"/>
      <c r="C592" s="13"/>
    </row>
    <row r="593" customFormat="false" ht="15.75" hidden="false" customHeight="true" outlineLevel="0" collapsed="false">
      <c r="A593" s="22"/>
      <c r="C593" s="13"/>
    </row>
    <row r="594" customFormat="false" ht="15.75" hidden="false" customHeight="true" outlineLevel="0" collapsed="false">
      <c r="A594" s="22"/>
      <c r="C594" s="13"/>
    </row>
    <row r="595" customFormat="false" ht="15.75" hidden="false" customHeight="true" outlineLevel="0" collapsed="false">
      <c r="A595" s="22"/>
      <c r="C595" s="13"/>
    </row>
    <row r="596" customFormat="false" ht="15.75" hidden="false" customHeight="true" outlineLevel="0" collapsed="false">
      <c r="A596" s="22"/>
      <c r="C596" s="13"/>
    </row>
    <row r="597" customFormat="false" ht="15.75" hidden="false" customHeight="true" outlineLevel="0" collapsed="false">
      <c r="A597" s="22"/>
      <c r="C597" s="13"/>
    </row>
    <row r="598" customFormat="false" ht="15.75" hidden="false" customHeight="true" outlineLevel="0" collapsed="false">
      <c r="A598" s="22"/>
      <c r="C598" s="13"/>
    </row>
    <row r="599" customFormat="false" ht="15.75" hidden="false" customHeight="true" outlineLevel="0" collapsed="false">
      <c r="A599" s="22"/>
      <c r="C599" s="13"/>
    </row>
    <row r="600" customFormat="false" ht="15.75" hidden="false" customHeight="true" outlineLevel="0" collapsed="false">
      <c r="A600" s="22"/>
      <c r="C600" s="13"/>
    </row>
    <row r="601" customFormat="false" ht="15.75" hidden="false" customHeight="true" outlineLevel="0" collapsed="false">
      <c r="A601" s="22"/>
      <c r="C601" s="13"/>
    </row>
    <row r="602" customFormat="false" ht="15.75" hidden="false" customHeight="true" outlineLevel="0" collapsed="false">
      <c r="A602" s="22"/>
      <c r="C602" s="13"/>
    </row>
    <row r="603" customFormat="false" ht="15.75" hidden="false" customHeight="true" outlineLevel="0" collapsed="false">
      <c r="A603" s="22"/>
      <c r="C603" s="13"/>
    </row>
    <row r="604" customFormat="false" ht="15.75" hidden="false" customHeight="true" outlineLevel="0" collapsed="false">
      <c r="A604" s="22"/>
      <c r="C604" s="13"/>
    </row>
    <row r="605" customFormat="false" ht="15.75" hidden="false" customHeight="true" outlineLevel="0" collapsed="false">
      <c r="A605" s="22"/>
      <c r="C605" s="13"/>
    </row>
    <row r="606" customFormat="false" ht="15.75" hidden="false" customHeight="true" outlineLevel="0" collapsed="false">
      <c r="A606" s="22"/>
      <c r="C606" s="13"/>
    </row>
    <row r="607" customFormat="false" ht="15.75" hidden="false" customHeight="true" outlineLevel="0" collapsed="false">
      <c r="A607" s="22"/>
      <c r="C607" s="13"/>
    </row>
    <row r="608" customFormat="false" ht="15.75" hidden="false" customHeight="true" outlineLevel="0" collapsed="false">
      <c r="A608" s="22"/>
      <c r="C608" s="13"/>
    </row>
    <row r="609" customFormat="false" ht="15.75" hidden="false" customHeight="true" outlineLevel="0" collapsed="false">
      <c r="A609" s="22"/>
      <c r="C609" s="13"/>
    </row>
    <row r="610" customFormat="false" ht="15.75" hidden="false" customHeight="true" outlineLevel="0" collapsed="false">
      <c r="A610" s="22"/>
      <c r="C610" s="13"/>
    </row>
    <row r="611" customFormat="false" ht="15.75" hidden="false" customHeight="true" outlineLevel="0" collapsed="false">
      <c r="A611" s="22"/>
      <c r="C611" s="13"/>
    </row>
    <row r="612" customFormat="false" ht="15.75" hidden="false" customHeight="true" outlineLevel="0" collapsed="false">
      <c r="A612" s="22"/>
      <c r="C612" s="13"/>
    </row>
    <row r="613" customFormat="false" ht="15.75" hidden="false" customHeight="true" outlineLevel="0" collapsed="false">
      <c r="A613" s="22"/>
      <c r="C613" s="13"/>
    </row>
    <row r="614" customFormat="false" ht="15.75" hidden="false" customHeight="true" outlineLevel="0" collapsed="false">
      <c r="A614" s="22"/>
      <c r="C614" s="13"/>
    </row>
    <row r="615" customFormat="false" ht="15.75" hidden="false" customHeight="true" outlineLevel="0" collapsed="false">
      <c r="A615" s="22"/>
      <c r="C615" s="13"/>
    </row>
    <row r="616" customFormat="false" ht="15.75" hidden="false" customHeight="true" outlineLevel="0" collapsed="false">
      <c r="A616" s="22"/>
      <c r="C616" s="13"/>
    </row>
    <row r="617" customFormat="false" ht="15.75" hidden="false" customHeight="true" outlineLevel="0" collapsed="false">
      <c r="A617" s="22"/>
      <c r="C617" s="13"/>
    </row>
    <row r="618" customFormat="false" ht="15.75" hidden="false" customHeight="true" outlineLevel="0" collapsed="false">
      <c r="A618" s="22"/>
      <c r="C618" s="13"/>
    </row>
    <row r="619" customFormat="false" ht="15.75" hidden="false" customHeight="true" outlineLevel="0" collapsed="false">
      <c r="A619" s="22"/>
      <c r="C619" s="13"/>
    </row>
    <row r="620" customFormat="false" ht="15.75" hidden="false" customHeight="true" outlineLevel="0" collapsed="false">
      <c r="A620" s="22"/>
      <c r="C620" s="13"/>
    </row>
    <row r="621" customFormat="false" ht="15.75" hidden="false" customHeight="true" outlineLevel="0" collapsed="false">
      <c r="A621" s="22"/>
      <c r="C621" s="13"/>
    </row>
    <row r="622" customFormat="false" ht="15.75" hidden="false" customHeight="true" outlineLevel="0" collapsed="false">
      <c r="A622" s="22"/>
      <c r="C622" s="13"/>
    </row>
    <row r="623" customFormat="false" ht="15.75" hidden="false" customHeight="true" outlineLevel="0" collapsed="false">
      <c r="A623" s="22"/>
      <c r="C623" s="13"/>
    </row>
    <row r="624" customFormat="false" ht="15.75" hidden="false" customHeight="true" outlineLevel="0" collapsed="false">
      <c r="A624" s="22"/>
      <c r="C624" s="13"/>
    </row>
    <row r="625" customFormat="false" ht="15.75" hidden="false" customHeight="true" outlineLevel="0" collapsed="false">
      <c r="A625" s="22"/>
      <c r="C625" s="13"/>
    </row>
    <row r="626" customFormat="false" ht="15.75" hidden="false" customHeight="true" outlineLevel="0" collapsed="false">
      <c r="A626" s="22"/>
      <c r="C626" s="13"/>
    </row>
    <row r="627" customFormat="false" ht="15.75" hidden="false" customHeight="true" outlineLevel="0" collapsed="false">
      <c r="A627" s="22"/>
      <c r="C627" s="13"/>
    </row>
    <row r="628" customFormat="false" ht="15.75" hidden="false" customHeight="true" outlineLevel="0" collapsed="false">
      <c r="A628" s="22"/>
      <c r="C628" s="13"/>
    </row>
    <row r="629" customFormat="false" ht="15.75" hidden="false" customHeight="true" outlineLevel="0" collapsed="false">
      <c r="A629" s="22"/>
      <c r="C629" s="13"/>
    </row>
    <row r="630" customFormat="false" ht="15.75" hidden="false" customHeight="true" outlineLevel="0" collapsed="false">
      <c r="A630" s="22"/>
      <c r="C630" s="13"/>
    </row>
    <row r="631" customFormat="false" ht="15.75" hidden="false" customHeight="true" outlineLevel="0" collapsed="false">
      <c r="A631" s="22"/>
      <c r="C631" s="13"/>
    </row>
    <row r="632" customFormat="false" ht="15.75" hidden="false" customHeight="true" outlineLevel="0" collapsed="false">
      <c r="A632" s="22"/>
      <c r="C632" s="13"/>
    </row>
    <row r="633" customFormat="false" ht="15.75" hidden="false" customHeight="true" outlineLevel="0" collapsed="false">
      <c r="A633" s="22"/>
      <c r="C633" s="13"/>
    </row>
    <row r="634" customFormat="false" ht="15.75" hidden="false" customHeight="true" outlineLevel="0" collapsed="false">
      <c r="A634" s="22"/>
      <c r="C634" s="13"/>
    </row>
    <row r="635" customFormat="false" ht="15.75" hidden="false" customHeight="true" outlineLevel="0" collapsed="false">
      <c r="A635" s="22"/>
      <c r="C635" s="13"/>
    </row>
    <row r="636" customFormat="false" ht="15.75" hidden="false" customHeight="true" outlineLevel="0" collapsed="false">
      <c r="A636" s="22"/>
      <c r="C636" s="13"/>
    </row>
    <row r="637" customFormat="false" ht="15.75" hidden="false" customHeight="true" outlineLevel="0" collapsed="false">
      <c r="A637" s="22"/>
      <c r="C637" s="13"/>
    </row>
    <row r="638" customFormat="false" ht="15.75" hidden="false" customHeight="true" outlineLevel="0" collapsed="false">
      <c r="A638" s="22"/>
      <c r="C638" s="13"/>
    </row>
    <row r="639" customFormat="false" ht="15.75" hidden="false" customHeight="true" outlineLevel="0" collapsed="false">
      <c r="A639" s="22"/>
      <c r="C639" s="13"/>
    </row>
    <row r="640" customFormat="false" ht="15.75" hidden="false" customHeight="true" outlineLevel="0" collapsed="false">
      <c r="A640" s="22"/>
      <c r="C640" s="13"/>
    </row>
    <row r="641" customFormat="false" ht="15.75" hidden="false" customHeight="true" outlineLevel="0" collapsed="false">
      <c r="A641" s="22"/>
      <c r="C641" s="13"/>
    </row>
    <row r="642" customFormat="false" ht="15.75" hidden="false" customHeight="true" outlineLevel="0" collapsed="false">
      <c r="A642" s="22"/>
      <c r="C642" s="13"/>
    </row>
    <row r="643" customFormat="false" ht="15.75" hidden="false" customHeight="true" outlineLevel="0" collapsed="false">
      <c r="A643" s="22"/>
      <c r="C643" s="13"/>
    </row>
    <row r="644" customFormat="false" ht="15.75" hidden="false" customHeight="true" outlineLevel="0" collapsed="false">
      <c r="A644" s="22"/>
      <c r="C644" s="13"/>
    </row>
    <row r="645" customFormat="false" ht="15.75" hidden="false" customHeight="true" outlineLevel="0" collapsed="false">
      <c r="A645" s="22"/>
      <c r="C645" s="13"/>
    </row>
    <row r="646" customFormat="false" ht="15.75" hidden="false" customHeight="true" outlineLevel="0" collapsed="false">
      <c r="A646" s="22"/>
      <c r="C646" s="13"/>
    </row>
    <row r="647" customFormat="false" ht="15.75" hidden="false" customHeight="true" outlineLevel="0" collapsed="false">
      <c r="A647" s="22"/>
      <c r="C647" s="13"/>
    </row>
    <row r="648" customFormat="false" ht="15.75" hidden="false" customHeight="true" outlineLevel="0" collapsed="false">
      <c r="A648" s="22"/>
      <c r="C648" s="13"/>
    </row>
    <row r="649" customFormat="false" ht="15.75" hidden="false" customHeight="true" outlineLevel="0" collapsed="false">
      <c r="A649" s="22"/>
      <c r="C649" s="13"/>
    </row>
    <row r="650" customFormat="false" ht="15.75" hidden="false" customHeight="true" outlineLevel="0" collapsed="false">
      <c r="A650" s="22"/>
      <c r="C650" s="13"/>
    </row>
    <row r="651" customFormat="false" ht="15.75" hidden="false" customHeight="true" outlineLevel="0" collapsed="false">
      <c r="A651" s="22"/>
      <c r="C651" s="13"/>
    </row>
    <row r="652" customFormat="false" ht="15.75" hidden="false" customHeight="true" outlineLevel="0" collapsed="false">
      <c r="A652" s="22"/>
      <c r="C652" s="13"/>
    </row>
    <row r="653" customFormat="false" ht="15.75" hidden="false" customHeight="true" outlineLevel="0" collapsed="false">
      <c r="A653" s="22"/>
      <c r="C653" s="13"/>
    </row>
    <row r="654" customFormat="false" ht="15.75" hidden="false" customHeight="true" outlineLevel="0" collapsed="false">
      <c r="A654" s="22"/>
      <c r="C654" s="13"/>
    </row>
    <row r="655" customFormat="false" ht="15.75" hidden="false" customHeight="true" outlineLevel="0" collapsed="false">
      <c r="A655" s="22"/>
      <c r="C655" s="13"/>
    </row>
    <row r="656" customFormat="false" ht="15.75" hidden="false" customHeight="true" outlineLevel="0" collapsed="false">
      <c r="A656" s="22"/>
      <c r="C656" s="13"/>
    </row>
    <row r="657" customFormat="false" ht="15.75" hidden="false" customHeight="true" outlineLevel="0" collapsed="false">
      <c r="A657" s="22"/>
      <c r="C657" s="13"/>
    </row>
    <row r="658" customFormat="false" ht="15.75" hidden="false" customHeight="true" outlineLevel="0" collapsed="false">
      <c r="A658" s="22"/>
      <c r="C658" s="13"/>
    </row>
    <row r="659" customFormat="false" ht="15.75" hidden="false" customHeight="true" outlineLevel="0" collapsed="false">
      <c r="A659" s="22"/>
      <c r="C659" s="13"/>
    </row>
    <row r="660" customFormat="false" ht="15.75" hidden="false" customHeight="true" outlineLevel="0" collapsed="false">
      <c r="A660" s="22"/>
      <c r="C660" s="13"/>
    </row>
    <row r="661" customFormat="false" ht="15.75" hidden="false" customHeight="true" outlineLevel="0" collapsed="false">
      <c r="A661" s="22"/>
      <c r="C661" s="13"/>
    </row>
    <row r="662" customFormat="false" ht="15.75" hidden="false" customHeight="true" outlineLevel="0" collapsed="false">
      <c r="A662" s="22"/>
      <c r="C662" s="13"/>
    </row>
    <row r="663" customFormat="false" ht="15.75" hidden="false" customHeight="true" outlineLevel="0" collapsed="false">
      <c r="A663" s="22"/>
      <c r="C663" s="13"/>
    </row>
    <row r="664" customFormat="false" ht="15.75" hidden="false" customHeight="true" outlineLevel="0" collapsed="false">
      <c r="A664" s="22"/>
      <c r="C664" s="13"/>
    </row>
    <row r="665" customFormat="false" ht="15.75" hidden="false" customHeight="true" outlineLevel="0" collapsed="false">
      <c r="A665" s="22"/>
      <c r="C665" s="13"/>
    </row>
    <row r="666" customFormat="false" ht="15.75" hidden="false" customHeight="true" outlineLevel="0" collapsed="false">
      <c r="A666" s="22"/>
      <c r="C666" s="13"/>
    </row>
    <row r="667" customFormat="false" ht="15.75" hidden="false" customHeight="true" outlineLevel="0" collapsed="false">
      <c r="A667" s="22"/>
      <c r="C667" s="13"/>
    </row>
    <row r="668" customFormat="false" ht="15.75" hidden="false" customHeight="true" outlineLevel="0" collapsed="false">
      <c r="A668" s="22"/>
      <c r="C668" s="13"/>
    </row>
    <row r="669" customFormat="false" ht="15.75" hidden="false" customHeight="true" outlineLevel="0" collapsed="false">
      <c r="A669" s="22"/>
      <c r="C669" s="13"/>
    </row>
    <row r="670" customFormat="false" ht="15.75" hidden="false" customHeight="true" outlineLevel="0" collapsed="false">
      <c r="A670" s="22"/>
      <c r="C670" s="13"/>
    </row>
    <row r="671" customFormat="false" ht="15.75" hidden="false" customHeight="true" outlineLevel="0" collapsed="false">
      <c r="A671" s="22"/>
      <c r="C671" s="13"/>
    </row>
    <row r="672" customFormat="false" ht="15.75" hidden="false" customHeight="true" outlineLevel="0" collapsed="false">
      <c r="A672" s="22"/>
      <c r="C672" s="13"/>
    </row>
    <row r="673" customFormat="false" ht="15.75" hidden="false" customHeight="true" outlineLevel="0" collapsed="false">
      <c r="A673" s="22"/>
      <c r="C673" s="13"/>
    </row>
    <row r="674" customFormat="false" ht="15.75" hidden="false" customHeight="true" outlineLevel="0" collapsed="false">
      <c r="A674" s="22"/>
      <c r="C674" s="13"/>
    </row>
    <row r="675" customFormat="false" ht="15.75" hidden="false" customHeight="true" outlineLevel="0" collapsed="false">
      <c r="A675" s="22"/>
      <c r="C675" s="13"/>
    </row>
    <row r="676" customFormat="false" ht="15.75" hidden="false" customHeight="true" outlineLevel="0" collapsed="false">
      <c r="A676" s="22"/>
      <c r="C676" s="13"/>
    </row>
    <row r="677" customFormat="false" ht="15.75" hidden="false" customHeight="true" outlineLevel="0" collapsed="false">
      <c r="A677" s="22"/>
      <c r="C677" s="13"/>
    </row>
    <row r="678" customFormat="false" ht="15.75" hidden="false" customHeight="true" outlineLevel="0" collapsed="false">
      <c r="A678" s="22"/>
      <c r="C678" s="13"/>
    </row>
    <row r="679" customFormat="false" ht="15.75" hidden="false" customHeight="true" outlineLevel="0" collapsed="false">
      <c r="A679" s="22"/>
      <c r="C679" s="13"/>
    </row>
    <row r="680" customFormat="false" ht="15.75" hidden="false" customHeight="true" outlineLevel="0" collapsed="false">
      <c r="A680" s="22"/>
      <c r="C680" s="13"/>
    </row>
    <row r="681" customFormat="false" ht="15.75" hidden="false" customHeight="true" outlineLevel="0" collapsed="false">
      <c r="A681" s="22"/>
      <c r="C681" s="13"/>
    </row>
    <row r="682" customFormat="false" ht="15.75" hidden="false" customHeight="true" outlineLevel="0" collapsed="false">
      <c r="A682" s="22"/>
      <c r="C682" s="13"/>
    </row>
    <row r="683" customFormat="false" ht="15.75" hidden="false" customHeight="true" outlineLevel="0" collapsed="false">
      <c r="A683" s="22"/>
      <c r="C683" s="13"/>
    </row>
    <row r="684" customFormat="false" ht="15.75" hidden="false" customHeight="true" outlineLevel="0" collapsed="false">
      <c r="A684" s="22"/>
      <c r="C684" s="13"/>
    </row>
    <row r="685" customFormat="false" ht="15.75" hidden="false" customHeight="true" outlineLevel="0" collapsed="false">
      <c r="A685" s="22"/>
      <c r="C685" s="13"/>
    </row>
    <row r="686" customFormat="false" ht="15.75" hidden="false" customHeight="true" outlineLevel="0" collapsed="false">
      <c r="A686" s="22"/>
      <c r="C686" s="13"/>
    </row>
    <row r="687" customFormat="false" ht="15.75" hidden="false" customHeight="true" outlineLevel="0" collapsed="false">
      <c r="A687" s="22"/>
      <c r="C687" s="13"/>
    </row>
    <row r="688" customFormat="false" ht="15.75" hidden="false" customHeight="true" outlineLevel="0" collapsed="false">
      <c r="A688" s="22"/>
      <c r="C688" s="13"/>
    </row>
    <row r="689" customFormat="false" ht="15.75" hidden="false" customHeight="true" outlineLevel="0" collapsed="false">
      <c r="A689" s="22"/>
      <c r="C689" s="13"/>
    </row>
    <row r="690" customFormat="false" ht="15.75" hidden="false" customHeight="true" outlineLevel="0" collapsed="false">
      <c r="A690" s="22"/>
      <c r="C690" s="13"/>
    </row>
    <row r="691" customFormat="false" ht="15.75" hidden="false" customHeight="true" outlineLevel="0" collapsed="false">
      <c r="A691" s="22"/>
      <c r="C691" s="13"/>
    </row>
    <row r="692" customFormat="false" ht="15.75" hidden="false" customHeight="true" outlineLevel="0" collapsed="false">
      <c r="A692" s="22"/>
      <c r="C692" s="13"/>
    </row>
    <row r="693" customFormat="false" ht="15.75" hidden="false" customHeight="true" outlineLevel="0" collapsed="false">
      <c r="A693" s="22"/>
      <c r="C693" s="13"/>
    </row>
    <row r="694" customFormat="false" ht="15.75" hidden="false" customHeight="true" outlineLevel="0" collapsed="false">
      <c r="A694" s="22"/>
      <c r="C694" s="13"/>
    </row>
    <row r="695" customFormat="false" ht="15.75" hidden="false" customHeight="true" outlineLevel="0" collapsed="false">
      <c r="A695" s="22"/>
      <c r="C695" s="13"/>
    </row>
    <row r="696" customFormat="false" ht="15.75" hidden="false" customHeight="true" outlineLevel="0" collapsed="false">
      <c r="A696" s="22"/>
      <c r="C696" s="13"/>
    </row>
    <row r="697" customFormat="false" ht="15.75" hidden="false" customHeight="true" outlineLevel="0" collapsed="false">
      <c r="A697" s="22"/>
      <c r="C697" s="13"/>
    </row>
    <row r="698" customFormat="false" ht="15.75" hidden="false" customHeight="true" outlineLevel="0" collapsed="false">
      <c r="A698" s="22"/>
      <c r="C698" s="13"/>
    </row>
    <row r="699" customFormat="false" ht="15.75" hidden="false" customHeight="true" outlineLevel="0" collapsed="false">
      <c r="A699" s="22"/>
      <c r="C699" s="13"/>
    </row>
    <row r="700" customFormat="false" ht="15.75" hidden="false" customHeight="true" outlineLevel="0" collapsed="false">
      <c r="A700" s="22"/>
      <c r="C700" s="13"/>
    </row>
    <row r="701" customFormat="false" ht="15.75" hidden="false" customHeight="true" outlineLevel="0" collapsed="false">
      <c r="A701" s="22"/>
      <c r="C701" s="13"/>
    </row>
    <row r="702" customFormat="false" ht="15.75" hidden="false" customHeight="true" outlineLevel="0" collapsed="false">
      <c r="A702" s="22"/>
      <c r="C702" s="13"/>
    </row>
    <row r="703" customFormat="false" ht="15.75" hidden="false" customHeight="true" outlineLevel="0" collapsed="false">
      <c r="A703" s="22"/>
      <c r="C703" s="13"/>
    </row>
    <row r="704" customFormat="false" ht="15.75" hidden="false" customHeight="true" outlineLevel="0" collapsed="false">
      <c r="A704" s="22"/>
      <c r="C704" s="13"/>
    </row>
    <row r="705" customFormat="false" ht="15.75" hidden="false" customHeight="true" outlineLevel="0" collapsed="false">
      <c r="A705" s="22"/>
      <c r="C705" s="13"/>
    </row>
    <row r="706" customFormat="false" ht="15.75" hidden="false" customHeight="true" outlineLevel="0" collapsed="false">
      <c r="A706" s="22"/>
      <c r="C706" s="13"/>
    </row>
    <row r="707" customFormat="false" ht="15.75" hidden="false" customHeight="true" outlineLevel="0" collapsed="false">
      <c r="A707" s="22"/>
      <c r="C707" s="13"/>
    </row>
    <row r="708" customFormat="false" ht="15.75" hidden="false" customHeight="true" outlineLevel="0" collapsed="false">
      <c r="A708" s="22"/>
      <c r="C708" s="13"/>
    </row>
    <row r="709" customFormat="false" ht="15.75" hidden="false" customHeight="true" outlineLevel="0" collapsed="false">
      <c r="A709" s="22"/>
      <c r="C709" s="13"/>
    </row>
    <row r="710" customFormat="false" ht="15.75" hidden="false" customHeight="true" outlineLevel="0" collapsed="false">
      <c r="A710" s="22"/>
      <c r="C710" s="13"/>
    </row>
    <row r="711" customFormat="false" ht="15.75" hidden="false" customHeight="true" outlineLevel="0" collapsed="false">
      <c r="A711" s="22"/>
      <c r="C711" s="13"/>
    </row>
    <row r="712" customFormat="false" ht="15.75" hidden="false" customHeight="true" outlineLevel="0" collapsed="false">
      <c r="A712" s="22"/>
      <c r="C712" s="13"/>
    </row>
    <row r="713" customFormat="false" ht="15.75" hidden="false" customHeight="true" outlineLevel="0" collapsed="false">
      <c r="A713" s="22"/>
      <c r="C713" s="13"/>
    </row>
    <row r="714" customFormat="false" ht="15.75" hidden="false" customHeight="true" outlineLevel="0" collapsed="false">
      <c r="A714" s="22"/>
      <c r="C714" s="13"/>
    </row>
    <row r="715" customFormat="false" ht="15.75" hidden="false" customHeight="true" outlineLevel="0" collapsed="false">
      <c r="A715" s="22"/>
      <c r="C715" s="13"/>
    </row>
    <row r="716" customFormat="false" ht="15.75" hidden="false" customHeight="true" outlineLevel="0" collapsed="false">
      <c r="A716" s="22"/>
      <c r="C716" s="13"/>
    </row>
    <row r="717" customFormat="false" ht="15.75" hidden="false" customHeight="true" outlineLevel="0" collapsed="false">
      <c r="A717" s="22"/>
      <c r="C717" s="13"/>
    </row>
    <row r="718" customFormat="false" ht="15.75" hidden="false" customHeight="true" outlineLevel="0" collapsed="false">
      <c r="A718" s="22"/>
      <c r="C718" s="13"/>
    </row>
    <row r="719" customFormat="false" ht="15.75" hidden="false" customHeight="true" outlineLevel="0" collapsed="false">
      <c r="A719" s="22"/>
      <c r="C719" s="13"/>
    </row>
    <row r="720" customFormat="false" ht="15.75" hidden="false" customHeight="true" outlineLevel="0" collapsed="false">
      <c r="A720" s="22"/>
      <c r="C720" s="13"/>
    </row>
    <row r="721" customFormat="false" ht="15.75" hidden="false" customHeight="true" outlineLevel="0" collapsed="false">
      <c r="A721" s="22"/>
      <c r="C721" s="13"/>
    </row>
    <row r="722" customFormat="false" ht="15.75" hidden="false" customHeight="true" outlineLevel="0" collapsed="false">
      <c r="A722" s="22"/>
      <c r="C722" s="13"/>
    </row>
    <row r="723" customFormat="false" ht="15.75" hidden="false" customHeight="true" outlineLevel="0" collapsed="false">
      <c r="A723" s="22"/>
      <c r="C723" s="13"/>
    </row>
    <row r="724" customFormat="false" ht="15.75" hidden="false" customHeight="true" outlineLevel="0" collapsed="false">
      <c r="A724" s="22"/>
      <c r="C724" s="13"/>
    </row>
    <row r="725" customFormat="false" ht="15.75" hidden="false" customHeight="true" outlineLevel="0" collapsed="false">
      <c r="A725" s="22"/>
      <c r="C725" s="13"/>
    </row>
    <row r="726" customFormat="false" ht="15.75" hidden="false" customHeight="true" outlineLevel="0" collapsed="false">
      <c r="A726" s="22"/>
      <c r="C726" s="13"/>
    </row>
    <row r="727" customFormat="false" ht="15.75" hidden="false" customHeight="true" outlineLevel="0" collapsed="false">
      <c r="A727" s="22"/>
      <c r="C727" s="13"/>
    </row>
    <row r="728" customFormat="false" ht="15.75" hidden="false" customHeight="true" outlineLevel="0" collapsed="false">
      <c r="A728" s="22"/>
      <c r="C728" s="13"/>
    </row>
    <row r="729" customFormat="false" ht="15.75" hidden="false" customHeight="true" outlineLevel="0" collapsed="false">
      <c r="A729" s="22"/>
      <c r="C729" s="13"/>
    </row>
    <row r="730" customFormat="false" ht="15.75" hidden="false" customHeight="true" outlineLevel="0" collapsed="false">
      <c r="A730" s="22"/>
      <c r="C730" s="13"/>
    </row>
    <row r="731" customFormat="false" ht="15.75" hidden="false" customHeight="true" outlineLevel="0" collapsed="false">
      <c r="A731" s="22"/>
      <c r="C731" s="13"/>
    </row>
    <row r="732" customFormat="false" ht="15.75" hidden="false" customHeight="true" outlineLevel="0" collapsed="false">
      <c r="A732" s="22"/>
      <c r="C732" s="13"/>
    </row>
    <row r="733" customFormat="false" ht="15.75" hidden="false" customHeight="true" outlineLevel="0" collapsed="false">
      <c r="A733" s="22"/>
      <c r="C733" s="13"/>
    </row>
    <row r="734" customFormat="false" ht="15.75" hidden="false" customHeight="true" outlineLevel="0" collapsed="false">
      <c r="A734" s="22"/>
      <c r="C734" s="13"/>
    </row>
    <row r="735" customFormat="false" ht="15.75" hidden="false" customHeight="true" outlineLevel="0" collapsed="false">
      <c r="A735" s="22"/>
      <c r="C735" s="13"/>
    </row>
    <row r="736" customFormat="false" ht="15.75" hidden="false" customHeight="true" outlineLevel="0" collapsed="false">
      <c r="A736" s="22"/>
      <c r="C736" s="13"/>
    </row>
    <row r="737" customFormat="false" ht="15.75" hidden="false" customHeight="true" outlineLevel="0" collapsed="false">
      <c r="A737" s="22"/>
      <c r="C737" s="13"/>
    </row>
    <row r="738" customFormat="false" ht="15.75" hidden="false" customHeight="true" outlineLevel="0" collapsed="false">
      <c r="A738" s="22"/>
      <c r="C738" s="13"/>
    </row>
    <row r="739" customFormat="false" ht="15.75" hidden="false" customHeight="true" outlineLevel="0" collapsed="false">
      <c r="A739" s="22"/>
      <c r="C739" s="13"/>
    </row>
    <row r="740" customFormat="false" ht="15.75" hidden="false" customHeight="true" outlineLevel="0" collapsed="false">
      <c r="A740" s="22"/>
      <c r="C740" s="13"/>
    </row>
    <row r="741" customFormat="false" ht="15.75" hidden="false" customHeight="true" outlineLevel="0" collapsed="false">
      <c r="A741" s="22"/>
      <c r="C741" s="13"/>
    </row>
    <row r="742" customFormat="false" ht="15.75" hidden="false" customHeight="true" outlineLevel="0" collapsed="false">
      <c r="A742" s="22"/>
      <c r="C742" s="13"/>
    </row>
    <row r="743" customFormat="false" ht="15.75" hidden="false" customHeight="true" outlineLevel="0" collapsed="false">
      <c r="A743" s="22"/>
      <c r="C743" s="13"/>
    </row>
    <row r="744" customFormat="false" ht="15.75" hidden="false" customHeight="true" outlineLevel="0" collapsed="false">
      <c r="A744" s="22"/>
      <c r="C744" s="13"/>
    </row>
    <row r="745" customFormat="false" ht="15.75" hidden="false" customHeight="true" outlineLevel="0" collapsed="false">
      <c r="A745" s="22"/>
      <c r="C745" s="13"/>
    </row>
    <row r="746" customFormat="false" ht="15.75" hidden="false" customHeight="true" outlineLevel="0" collapsed="false">
      <c r="A746" s="22"/>
      <c r="C746" s="13"/>
    </row>
    <row r="747" customFormat="false" ht="15.75" hidden="false" customHeight="true" outlineLevel="0" collapsed="false">
      <c r="A747" s="22"/>
      <c r="C747" s="13"/>
    </row>
    <row r="748" customFormat="false" ht="15.75" hidden="false" customHeight="true" outlineLevel="0" collapsed="false">
      <c r="A748" s="22"/>
      <c r="C748" s="13"/>
    </row>
    <row r="749" customFormat="false" ht="15.75" hidden="false" customHeight="true" outlineLevel="0" collapsed="false">
      <c r="A749" s="22"/>
      <c r="C749" s="13"/>
    </row>
    <row r="750" customFormat="false" ht="15.75" hidden="false" customHeight="true" outlineLevel="0" collapsed="false">
      <c r="A750" s="22"/>
      <c r="C750" s="13"/>
    </row>
    <row r="751" customFormat="false" ht="15.75" hidden="false" customHeight="true" outlineLevel="0" collapsed="false">
      <c r="A751" s="22"/>
      <c r="C751" s="13"/>
    </row>
    <row r="752" customFormat="false" ht="15.75" hidden="false" customHeight="true" outlineLevel="0" collapsed="false">
      <c r="A752" s="22"/>
      <c r="C752" s="13"/>
    </row>
    <row r="753" customFormat="false" ht="15.75" hidden="false" customHeight="true" outlineLevel="0" collapsed="false">
      <c r="A753" s="22"/>
      <c r="C753" s="13"/>
    </row>
    <row r="754" customFormat="false" ht="15.75" hidden="false" customHeight="true" outlineLevel="0" collapsed="false">
      <c r="A754" s="22"/>
      <c r="C754" s="13"/>
    </row>
    <row r="755" customFormat="false" ht="15.75" hidden="false" customHeight="true" outlineLevel="0" collapsed="false">
      <c r="A755" s="22"/>
      <c r="C755" s="13"/>
    </row>
    <row r="756" customFormat="false" ht="15.75" hidden="false" customHeight="true" outlineLevel="0" collapsed="false">
      <c r="A756" s="22"/>
      <c r="C756" s="13"/>
    </row>
    <row r="757" customFormat="false" ht="15.75" hidden="false" customHeight="true" outlineLevel="0" collapsed="false">
      <c r="A757" s="22"/>
      <c r="C757" s="13"/>
    </row>
    <row r="758" customFormat="false" ht="15.75" hidden="false" customHeight="true" outlineLevel="0" collapsed="false">
      <c r="A758" s="22"/>
      <c r="C758" s="13"/>
    </row>
    <row r="759" customFormat="false" ht="15.75" hidden="false" customHeight="true" outlineLevel="0" collapsed="false">
      <c r="A759" s="22"/>
      <c r="C759" s="13"/>
    </row>
    <row r="760" customFormat="false" ht="15.75" hidden="false" customHeight="true" outlineLevel="0" collapsed="false">
      <c r="A760" s="22"/>
      <c r="C760" s="13"/>
    </row>
    <row r="761" customFormat="false" ht="15.75" hidden="false" customHeight="true" outlineLevel="0" collapsed="false">
      <c r="A761" s="22"/>
      <c r="C761" s="13"/>
    </row>
    <row r="762" customFormat="false" ht="15.75" hidden="false" customHeight="true" outlineLevel="0" collapsed="false">
      <c r="A762" s="22"/>
      <c r="C762" s="13"/>
    </row>
    <row r="763" customFormat="false" ht="15.75" hidden="false" customHeight="true" outlineLevel="0" collapsed="false">
      <c r="A763" s="22"/>
      <c r="C763" s="13"/>
    </row>
    <row r="764" customFormat="false" ht="15.75" hidden="false" customHeight="true" outlineLevel="0" collapsed="false">
      <c r="A764" s="22"/>
      <c r="C764" s="13"/>
    </row>
    <row r="765" customFormat="false" ht="15.75" hidden="false" customHeight="true" outlineLevel="0" collapsed="false">
      <c r="A765" s="22"/>
      <c r="C765" s="13"/>
    </row>
    <row r="766" customFormat="false" ht="15.75" hidden="false" customHeight="true" outlineLevel="0" collapsed="false">
      <c r="A766" s="22"/>
      <c r="C766" s="13"/>
    </row>
    <row r="767" customFormat="false" ht="15.75" hidden="false" customHeight="true" outlineLevel="0" collapsed="false">
      <c r="A767" s="22"/>
      <c r="C767" s="13"/>
    </row>
    <row r="768" customFormat="false" ht="15.75" hidden="false" customHeight="true" outlineLevel="0" collapsed="false">
      <c r="A768" s="22"/>
      <c r="C768" s="13"/>
    </row>
    <row r="769" customFormat="false" ht="15.75" hidden="false" customHeight="true" outlineLevel="0" collapsed="false">
      <c r="A769" s="22"/>
      <c r="C769" s="13"/>
    </row>
    <row r="770" customFormat="false" ht="15.75" hidden="false" customHeight="true" outlineLevel="0" collapsed="false">
      <c r="A770" s="22"/>
      <c r="C770" s="13"/>
    </row>
    <row r="771" customFormat="false" ht="15.75" hidden="false" customHeight="true" outlineLevel="0" collapsed="false">
      <c r="A771" s="22"/>
      <c r="C771" s="13"/>
    </row>
    <row r="772" customFormat="false" ht="15.75" hidden="false" customHeight="true" outlineLevel="0" collapsed="false">
      <c r="A772" s="22"/>
      <c r="C772" s="13"/>
    </row>
    <row r="773" customFormat="false" ht="15.75" hidden="false" customHeight="true" outlineLevel="0" collapsed="false">
      <c r="A773" s="22"/>
      <c r="C773" s="13"/>
    </row>
    <row r="774" customFormat="false" ht="15.75" hidden="false" customHeight="true" outlineLevel="0" collapsed="false">
      <c r="A774" s="22"/>
      <c r="C774" s="13"/>
    </row>
    <row r="775" customFormat="false" ht="15.75" hidden="false" customHeight="true" outlineLevel="0" collapsed="false">
      <c r="A775" s="22"/>
      <c r="C775" s="13"/>
    </row>
    <row r="776" customFormat="false" ht="15.75" hidden="false" customHeight="true" outlineLevel="0" collapsed="false">
      <c r="A776" s="22"/>
      <c r="C776" s="13"/>
    </row>
    <row r="777" customFormat="false" ht="15.75" hidden="false" customHeight="true" outlineLevel="0" collapsed="false">
      <c r="A777" s="22"/>
      <c r="C777" s="13"/>
    </row>
    <row r="778" customFormat="false" ht="15.75" hidden="false" customHeight="true" outlineLevel="0" collapsed="false">
      <c r="A778" s="22"/>
      <c r="C778" s="13"/>
    </row>
    <row r="779" customFormat="false" ht="15.75" hidden="false" customHeight="true" outlineLevel="0" collapsed="false">
      <c r="A779" s="22"/>
      <c r="C779" s="13"/>
    </row>
    <row r="780" customFormat="false" ht="15.75" hidden="false" customHeight="true" outlineLevel="0" collapsed="false">
      <c r="A780" s="22"/>
      <c r="C780" s="13"/>
    </row>
    <row r="781" customFormat="false" ht="15.75" hidden="false" customHeight="true" outlineLevel="0" collapsed="false">
      <c r="A781" s="22"/>
      <c r="C781" s="13"/>
    </row>
    <row r="782" customFormat="false" ht="15.75" hidden="false" customHeight="true" outlineLevel="0" collapsed="false">
      <c r="A782" s="22"/>
      <c r="C782" s="13"/>
    </row>
    <row r="783" customFormat="false" ht="15.75" hidden="false" customHeight="true" outlineLevel="0" collapsed="false">
      <c r="A783" s="22"/>
      <c r="C783" s="13"/>
    </row>
    <row r="784" customFormat="false" ht="15.75" hidden="false" customHeight="true" outlineLevel="0" collapsed="false">
      <c r="A784" s="22"/>
      <c r="C784" s="13"/>
    </row>
    <row r="785" customFormat="false" ht="15.75" hidden="false" customHeight="true" outlineLevel="0" collapsed="false">
      <c r="A785" s="22"/>
      <c r="C785" s="13"/>
    </row>
    <row r="786" customFormat="false" ht="15.75" hidden="false" customHeight="true" outlineLevel="0" collapsed="false">
      <c r="A786" s="22"/>
      <c r="C786" s="13"/>
    </row>
    <row r="787" customFormat="false" ht="15.75" hidden="false" customHeight="true" outlineLevel="0" collapsed="false">
      <c r="A787" s="22"/>
      <c r="C787" s="13"/>
    </row>
    <row r="788" customFormat="false" ht="15.75" hidden="false" customHeight="true" outlineLevel="0" collapsed="false">
      <c r="A788" s="22"/>
      <c r="C788" s="13"/>
    </row>
    <row r="789" customFormat="false" ht="15.75" hidden="false" customHeight="true" outlineLevel="0" collapsed="false">
      <c r="A789" s="22"/>
      <c r="C789" s="13"/>
    </row>
    <row r="790" customFormat="false" ht="15.75" hidden="false" customHeight="true" outlineLevel="0" collapsed="false">
      <c r="A790" s="22"/>
      <c r="C790" s="13"/>
    </row>
    <row r="791" customFormat="false" ht="15.75" hidden="false" customHeight="true" outlineLevel="0" collapsed="false">
      <c r="A791" s="22"/>
      <c r="C791" s="13"/>
    </row>
    <row r="792" customFormat="false" ht="15.75" hidden="false" customHeight="true" outlineLevel="0" collapsed="false">
      <c r="A792" s="22"/>
      <c r="C792" s="13"/>
    </row>
    <row r="793" customFormat="false" ht="15.75" hidden="false" customHeight="true" outlineLevel="0" collapsed="false">
      <c r="A793" s="22"/>
      <c r="C793" s="13"/>
    </row>
    <row r="794" customFormat="false" ht="15.75" hidden="false" customHeight="true" outlineLevel="0" collapsed="false">
      <c r="A794" s="22"/>
      <c r="C794" s="13"/>
    </row>
    <row r="795" customFormat="false" ht="15.75" hidden="false" customHeight="true" outlineLevel="0" collapsed="false">
      <c r="A795" s="22"/>
      <c r="C795" s="13"/>
    </row>
    <row r="796" customFormat="false" ht="15.75" hidden="false" customHeight="true" outlineLevel="0" collapsed="false">
      <c r="A796" s="22"/>
      <c r="C796" s="13"/>
    </row>
    <row r="797" customFormat="false" ht="15.75" hidden="false" customHeight="true" outlineLevel="0" collapsed="false">
      <c r="A797" s="22"/>
      <c r="C797" s="13"/>
    </row>
    <row r="798" customFormat="false" ht="15.75" hidden="false" customHeight="true" outlineLevel="0" collapsed="false">
      <c r="A798" s="22"/>
      <c r="C798" s="13"/>
    </row>
    <row r="799" customFormat="false" ht="15.75" hidden="false" customHeight="true" outlineLevel="0" collapsed="false">
      <c r="A799" s="22"/>
      <c r="C799" s="13"/>
    </row>
    <row r="800" customFormat="false" ht="15.75" hidden="false" customHeight="true" outlineLevel="0" collapsed="false">
      <c r="A800" s="22"/>
      <c r="C800" s="13"/>
    </row>
    <row r="801" customFormat="false" ht="15.75" hidden="false" customHeight="true" outlineLevel="0" collapsed="false">
      <c r="A801" s="22"/>
      <c r="C801" s="13"/>
    </row>
    <row r="802" customFormat="false" ht="15.75" hidden="false" customHeight="true" outlineLevel="0" collapsed="false">
      <c r="A802" s="22"/>
      <c r="C802" s="13"/>
    </row>
    <row r="803" customFormat="false" ht="15.75" hidden="false" customHeight="true" outlineLevel="0" collapsed="false">
      <c r="A803" s="22"/>
      <c r="C803" s="13"/>
    </row>
    <row r="804" customFormat="false" ht="15.75" hidden="false" customHeight="true" outlineLevel="0" collapsed="false">
      <c r="A804" s="22"/>
      <c r="C804" s="13"/>
    </row>
    <row r="805" customFormat="false" ht="15.75" hidden="false" customHeight="true" outlineLevel="0" collapsed="false">
      <c r="A805" s="22"/>
      <c r="C805" s="13"/>
    </row>
    <row r="806" customFormat="false" ht="15.75" hidden="false" customHeight="true" outlineLevel="0" collapsed="false">
      <c r="A806" s="22"/>
      <c r="C806" s="13"/>
    </row>
    <row r="807" customFormat="false" ht="15.75" hidden="false" customHeight="true" outlineLevel="0" collapsed="false">
      <c r="A807" s="22"/>
      <c r="C807" s="13"/>
    </row>
    <row r="808" customFormat="false" ht="15.75" hidden="false" customHeight="true" outlineLevel="0" collapsed="false">
      <c r="A808" s="22"/>
      <c r="C808" s="13"/>
    </row>
    <row r="809" customFormat="false" ht="15.75" hidden="false" customHeight="true" outlineLevel="0" collapsed="false">
      <c r="A809" s="22"/>
      <c r="C809" s="13"/>
    </row>
    <row r="810" customFormat="false" ht="15.75" hidden="false" customHeight="true" outlineLevel="0" collapsed="false">
      <c r="A810" s="22"/>
      <c r="C810" s="13"/>
    </row>
    <row r="811" customFormat="false" ht="15.75" hidden="false" customHeight="true" outlineLevel="0" collapsed="false">
      <c r="A811" s="22"/>
      <c r="C811" s="13"/>
    </row>
    <row r="812" customFormat="false" ht="15.75" hidden="false" customHeight="true" outlineLevel="0" collapsed="false">
      <c r="A812" s="22"/>
      <c r="C812" s="13"/>
    </row>
    <row r="813" customFormat="false" ht="15.75" hidden="false" customHeight="true" outlineLevel="0" collapsed="false">
      <c r="A813" s="22"/>
      <c r="C813" s="13"/>
    </row>
    <row r="814" customFormat="false" ht="15.75" hidden="false" customHeight="true" outlineLevel="0" collapsed="false">
      <c r="A814" s="22"/>
      <c r="C814" s="13"/>
    </row>
    <row r="815" customFormat="false" ht="15.75" hidden="false" customHeight="true" outlineLevel="0" collapsed="false">
      <c r="A815" s="22"/>
      <c r="C815" s="13"/>
    </row>
    <row r="816" customFormat="false" ht="15.75" hidden="false" customHeight="true" outlineLevel="0" collapsed="false">
      <c r="A816" s="22"/>
      <c r="C816" s="13"/>
    </row>
    <row r="817" customFormat="false" ht="15.75" hidden="false" customHeight="true" outlineLevel="0" collapsed="false">
      <c r="A817" s="22"/>
      <c r="C817" s="13"/>
    </row>
    <row r="818" customFormat="false" ht="15.75" hidden="false" customHeight="true" outlineLevel="0" collapsed="false">
      <c r="A818" s="22"/>
      <c r="C818" s="13"/>
    </row>
    <row r="819" customFormat="false" ht="15.75" hidden="false" customHeight="true" outlineLevel="0" collapsed="false">
      <c r="A819" s="22"/>
      <c r="C819" s="13"/>
    </row>
    <row r="820" customFormat="false" ht="15.75" hidden="false" customHeight="true" outlineLevel="0" collapsed="false">
      <c r="A820" s="22"/>
      <c r="C820" s="13"/>
    </row>
    <row r="821" customFormat="false" ht="15.75" hidden="false" customHeight="true" outlineLevel="0" collapsed="false">
      <c r="A821" s="22"/>
      <c r="C821" s="13"/>
    </row>
    <row r="822" customFormat="false" ht="15.75" hidden="false" customHeight="true" outlineLevel="0" collapsed="false">
      <c r="A822" s="22"/>
      <c r="C822" s="13"/>
    </row>
    <row r="823" customFormat="false" ht="15.75" hidden="false" customHeight="true" outlineLevel="0" collapsed="false">
      <c r="A823" s="22"/>
      <c r="C823" s="13"/>
    </row>
    <row r="824" customFormat="false" ht="15.75" hidden="false" customHeight="true" outlineLevel="0" collapsed="false">
      <c r="A824" s="22"/>
      <c r="C824" s="13"/>
    </row>
    <row r="825" customFormat="false" ht="15.75" hidden="false" customHeight="true" outlineLevel="0" collapsed="false">
      <c r="A825" s="22"/>
      <c r="C825" s="13"/>
    </row>
    <row r="826" customFormat="false" ht="15.75" hidden="false" customHeight="true" outlineLevel="0" collapsed="false">
      <c r="A826" s="22"/>
      <c r="C826" s="13"/>
    </row>
    <row r="827" customFormat="false" ht="15.75" hidden="false" customHeight="true" outlineLevel="0" collapsed="false">
      <c r="A827" s="22"/>
      <c r="C827" s="13"/>
    </row>
    <row r="828" customFormat="false" ht="15.75" hidden="false" customHeight="true" outlineLevel="0" collapsed="false">
      <c r="A828" s="22"/>
      <c r="C828" s="13"/>
    </row>
    <row r="829" customFormat="false" ht="15.75" hidden="false" customHeight="true" outlineLevel="0" collapsed="false">
      <c r="A829" s="22"/>
      <c r="C829" s="13"/>
    </row>
    <row r="830" customFormat="false" ht="15.75" hidden="false" customHeight="true" outlineLevel="0" collapsed="false">
      <c r="A830" s="22"/>
      <c r="C830" s="13"/>
    </row>
    <row r="831" customFormat="false" ht="15.75" hidden="false" customHeight="true" outlineLevel="0" collapsed="false">
      <c r="A831" s="22"/>
      <c r="C831" s="13"/>
    </row>
    <row r="832" customFormat="false" ht="15.75" hidden="false" customHeight="true" outlineLevel="0" collapsed="false">
      <c r="A832" s="22"/>
      <c r="C832" s="13"/>
    </row>
    <row r="833" customFormat="false" ht="15.75" hidden="false" customHeight="true" outlineLevel="0" collapsed="false">
      <c r="A833" s="22"/>
      <c r="C833" s="13"/>
    </row>
    <row r="834" customFormat="false" ht="15.75" hidden="false" customHeight="true" outlineLevel="0" collapsed="false">
      <c r="A834" s="22"/>
      <c r="C834" s="13"/>
    </row>
    <row r="835" customFormat="false" ht="15.75" hidden="false" customHeight="true" outlineLevel="0" collapsed="false">
      <c r="A835" s="22"/>
      <c r="C835" s="13"/>
    </row>
    <row r="836" customFormat="false" ht="15.75" hidden="false" customHeight="true" outlineLevel="0" collapsed="false">
      <c r="A836" s="22"/>
      <c r="C836" s="13"/>
    </row>
    <row r="837" customFormat="false" ht="15.75" hidden="false" customHeight="true" outlineLevel="0" collapsed="false">
      <c r="A837" s="22"/>
      <c r="C837" s="13"/>
    </row>
    <row r="838" customFormat="false" ht="15.75" hidden="false" customHeight="true" outlineLevel="0" collapsed="false">
      <c r="A838" s="22"/>
      <c r="C838" s="13"/>
    </row>
    <row r="839" customFormat="false" ht="15.75" hidden="false" customHeight="true" outlineLevel="0" collapsed="false">
      <c r="A839" s="22"/>
      <c r="C839" s="13"/>
    </row>
    <row r="840" customFormat="false" ht="15.75" hidden="false" customHeight="true" outlineLevel="0" collapsed="false">
      <c r="A840" s="22"/>
      <c r="C840" s="13"/>
    </row>
    <row r="841" customFormat="false" ht="15.75" hidden="false" customHeight="true" outlineLevel="0" collapsed="false">
      <c r="A841" s="22"/>
      <c r="C841" s="13"/>
    </row>
    <row r="842" customFormat="false" ht="15.75" hidden="false" customHeight="true" outlineLevel="0" collapsed="false">
      <c r="A842" s="22"/>
      <c r="C842" s="13"/>
    </row>
    <row r="843" customFormat="false" ht="15.75" hidden="false" customHeight="true" outlineLevel="0" collapsed="false">
      <c r="A843" s="22"/>
      <c r="C843" s="13"/>
    </row>
    <row r="844" customFormat="false" ht="15.75" hidden="false" customHeight="true" outlineLevel="0" collapsed="false">
      <c r="A844" s="22"/>
      <c r="C844" s="13"/>
    </row>
    <row r="845" customFormat="false" ht="15.75" hidden="false" customHeight="true" outlineLevel="0" collapsed="false">
      <c r="A845" s="22"/>
      <c r="C845" s="13"/>
    </row>
    <row r="846" customFormat="false" ht="15.75" hidden="false" customHeight="true" outlineLevel="0" collapsed="false">
      <c r="A846" s="22"/>
      <c r="C846" s="13"/>
    </row>
    <row r="847" customFormat="false" ht="15.75" hidden="false" customHeight="true" outlineLevel="0" collapsed="false">
      <c r="A847" s="22"/>
      <c r="C847" s="13"/>
    </row>
    <row r="848" customFormat="false" ht="15.75" hidden="false" customHeight="true" outlineLevel="0" collapsed="false">
      <c r="A848" s="22"/>
      <c r="C848" s="13"/>
    </row>
    <row r="849" customFormat="false" ht="15.75" hidden="false" customHeight="true" outlineLevel="0" collapsed="false">
      <c r="A849" s="22"/>
      <c r="C849" s="13"/>
    </row>
    <row r="850" customFormat="false" ht="15.75" hidden="false" customHeight="true" outlineLevel="0" collapsed="false">
      <c r="A850" s="22"/>
      <c r="C850" s="13"/>
    </row>
    <row r="851" customFormat="false" ht="15.75" hidden="false" customHeight="true" outlineLevel="0" collapsed="false">
      <c r="A851" s="22"/>
      <c r="C851" s="13"/>
    </row>
    <row r="852" customFormat="false" ht="15.75" hidden="false" customHeight="true" outlineLevel="0" collapsed="false">
      <c r="A852" s="22"/>
      <c r="C852" s="13"/>
    </row>
    <row r="853" customFormat="false" ht="15.75" hidden="false" customHeight="true" outlineLevel="0" collapsed="false">
      <c r="A853" s="22"/>
      <c r="C853" s="13"/>
    </row>
    <row r="854" customFormat="false" ht="15.75" hidden="false" customHeight="true" outlineLevel="0" collapsed="false">
      <c r="A854" s="22"/>
      <c r="C854" s="13"/>
    </row>
    <row r="855" customFormat="false" ht="15.75" hidden="false" customHeight="true" outlineLevel="0" collapsed="false">
      <c r="A855" s="22"/>
      <c r="C855" s="13"/>
    </row>
    <row r="856" customFormat="false" ht="15.75" hidden="false" customHeight="true" outlineLevel="0" collapsed="false">
      <c r="A856" s="22"/>
      <c r="C856" s="13"/>
    </row>
    <row r="857" customFormat="false" ht="15.75" hidden="false" customHeight="true" outlineLevel="0" collapsed="false">
      <c r="A857" s="22"/>
      <c r="C857" s="13"/>
    </row>
    <row r="858" customFormat="false" ht="15.75" hidden="false" customHeight="true" outlineLevel="0" collapsed="false">
      <c r="A858" s="22"/>
      <c r="C858" s="13"/>
    </row>
    <row r="859" customFormat="false" ht="15.75" hidden="false" customHeight="true" outlineLevel="0" collapsed="false">
      <c r="A859" s="22"/>
      <c r="C859" s="13"/>
    </row>
    <row r="860" customFormat="false" ht="15.75" hidden="false" customHeight="true" outlineLevel="0" collapsed="false">
      <c r="A860" s="22"/>
      <c r="C860" s="13"/>
    </row>
    <row r="861" customFormat="false" ht="15.75" hidden="false" customHeight="true" outlineLevel="0" collapsed="false">
      <c r="A861" s="22"/>
      <c r="C861" s="13"/>
    </row>
    <row r="862" customFormat="false" ht="15.75" hidden="false" customHeight="true" outlineLevel="0" collapsed="false">
      <c r="A862" s="22"/>
      <c r="C862" s="13"/>
    </row>
    <row r="863" customFormat="false" ht="15.75" hidden="false" customHeight="true" outlineLevel="0" collapsed="false">
      <c r="A863" s="22"/>
      <c r="C863" s="13"/>
    </row>
    <row r="864" customFormat="false" ht="15.75" hidden="false" customHeight="true" outlineLevel="0" collapsed="false">
      <c r="A864" s="22"/>
      <c r="C864" s="13"/>
    </row>
    <row r="865" customFormat="false" ht="15.75" hidden="false" customHeight="true" outlineLevel="0" collapsed="false">
      <c r="A865" s="22"/>
      <c r="C865" s="13"/>
    </row>
    <row r="866" customFormat="false" ht="15.75" hidden="false" customHeight="true" outlineLevel="0" collapsed="false">
      <c r="A866" s="22"/>
      <c r="C866" s="13"/>
    </row>
    <row r="867" customFormat="false" ht="15.75" hidden="false" customHeight="true" outlineLevel="0" collapsed="false">
      <c r="A867" s="22"/>
      <c r="C867" s="13"/>
    </row>
    <row r="868" customFormat="false" ht="15.75" hidden="false" customHeight="true" outlineLevel="0" collapsed="false">
      <c r="A868" s="22"/>
      <c r="C868" s="13"/>
    </row>
    <row r="869" customFormat="false" ht="15.75" hidden="false" customHeight="true" outlineLevel="0" collapsed="false">
      <c r="A869" s="22"/>
      <c r="C869" s="13"/>
    </row>
    <row r="870" customFormat="false" ht="15.75" hidden="false" customHeight="true" outlineLevel="0" collapsed="false">
      <c r="A870" s="22"/>
      <c r="C870" s="13"/>
    </row>
    <row r="871" customFormat="false" ht="15.75" hidden="false" customHeight="true" outlineLevel="0" collapsed="false">
      <c r="A871" s="22"/>
      <c r="C871" s="13"/>
    </row>
    <row r="872" customFormat="false" ht="15.75" hidden="false" customHeight="true" outlineLevel="0" collapsed="false">
      <c r="A872" s="22"/>
      <c r="C872" s="13"/>
    </row>
    <row r="873" customFormat="false" ht="15.75" hidden="false" customHeight="true" outlineLevel="0" collapsed="false">
      <c r="A873" s="22"/>
      <c r="C873" s="13"/>
    </row>
    <row r="874" customFormat="false" ht="15.75" hidden="false" customHeight="true" outlineLevel="0" collapsed="false">
      <c r="A874" s="22"/>
      <c r="C874" s="13"/>
    </row>
    <row r="875" customFormat="false" ht="15.75" hidden="false" customHeight="true" outlineLevel="0" collapsed="false">
      <c r="A875" s="22"/>
      <c r="C875" s="13"/>
    </row>
    <row r="876" customFormat="false" ht="15.75" hidden="false" customHeight="true" outlineLevel="0" collapsed="false">
      <c r="A876" s="22"/>
      <c r="C876" s="13"/>
    </row>
    <row r="877" customFormat="false" ht="15.75" hidden="false" customHeight="true" outlineLevel="0" collapsed="false">
      <c r="A877" s="22"/>
      <c r="C877" s="13"/>
    </row>
    <row r="878" customFormat="false" ht="15.75" hidden="false" customHeight="true" outlineLevel="0" collapsed="false">
      <c r="A878" s="22"/>
      <c r="C878" s="13"/>
    </row>
    <row r="879" customFormat="false" ht="15.75" hidden="false" customHeight="true" outlineLevel="0" collapsed="false">
      <c r="A879" s="22"/>
      <c r="C879" s="13"/>
    </row>
    <row r="880" customFormat="false" ht="15.75" hidden="false" customHeight="true" outlineLevel="0" collapsed="false">
      <c r="A880" s="22"/>
      <c r="C880" s="13"/>
    </row>
    <row r="881" customFormat="false" ht="15.75" hidden="false" customHeight="true" outlineLevel="0" collapsed="false">
      <c r="A881" s="22"/>
      <c r="C881" s="13"/>
    </row>
    <row r="882" customFormat="false" ht="15.75" hidden="false" customHeight="true" outlineLevel="0" collapsed="false">
      <c r="A882" s="22"/>
      <c r="C882" s="13"/>
    </row>
    <row r="883" customFormat="false" ht="15.75" hidden="false" customHeight="true" outlineLevel="0" collapsed="false">
      <c r="A883" s="22"/>
      <c r="C883" s="13"/>
    </row>
    <row r="884" customFormat="false" ht="15.75" hidden="false" customHeight="true" outlineLevel="0" collapsed="false">
      <c r="A884" s="22"/>
      <c r="C884" s="13"/>
    </row>
    <row r="885" customFormat="false" ht="15.75" hidden="false" customHeight="true" outlineLevel="0" collapsed="false">
      <c r="A885" s="22"/>
      <c r="C885" s="13"/>
    </row>
    <row r="886" customFormat="false" ht="15.75" hidden="false" customHeight="true" outlineLevel="0" collapsed="false">
      <c r="A886" s="22"/>
      <c r="C886" s="13"/>
    </row>
    <row r="887" customFormat="false" ht="15.75" hidden="false" customHeight="true" outlineLevel="0" collapsed="false">
      <c r="A887" s="22"/>
      <c r="C887" s="13"/>
    </row>
    <row r="888" customFormat="false" ht="15.75" hidden="false" customHeight="true" outlineLevel="0" collapsed="false">
      <c r="A888" s="22"/>
      <c r="C888" s="13"/>
    </row>
    <row r="889" customFormat="false" ht="15.75" hidden="false" customHeight="true" outlineLevel="0" collapsed="false">
      <c r="A889" s="22"/>
      <c r="C889" s="13"/>
    </row>
    <row r="890" customFormat="false" ht="15.75" hidden="false" customHeight="true" outlineLevel="0" collapsed="false">
      <c r="A890" s="22"/>
      <c r="C890" s="13"/>
    </row>
    <row r="891" customFormat="false" ht="15.75" hidden="false" customHeight="true" outlineLevel="0" collapsed="false">
      <c r="A891" s="22"/>
      <c r="C891" s="13"/>
    </row>
    <row r="892" customFormat="false" ht="15.75" hidden="false" customHeight="true" outlineLevel="0" collapsed="false">
      <c r="A892" s="22"/>
      <c r="C892" s="13"/>
    </row>
    <row r="893" customFormat="false" ht="15.75" hidden="false" customHeight="true" outlineLevel="0" collapsed="false">
      <c r="A893" s="22"/>
      <c r="C893" s="13"/>
    </row>
    <row r="894" customFormat="false" ht="15.75" hidden="false" customHeight="true" outlineLevel="0" collapsed="false">
      <c r="A894" s="22"/>
      <c r="C894" s="13"/>
    </row>
    <row r="895" customFormat="false" ht="15.75" hidden="false" customHeight="true" outlineLevel="0" collapsed="false">
      <c r="A895" s="22"/>
      <c r="C895" s="13"/>
    </row>
    <row r="896" customFormat="false" ht="15.75" hidden="false" customHeight="true" outlineLevel="0" collapsed="false">
      <c r="A896" s="22"/>
      <c r="C896" s="13"/>
    </row>
    <row r="897" customFormat="false" ht="15.75" hidden="false" customHeight="true" outlineLevel="0" collapsed="false">
      <c r="A897" s="22"/>
      <c r="C897" s="13"/>
    </row>
    <row r="898" customFormat="false" ht="15.75" hidden="false" customHeight="true" outlineLevel="0" collapsed="false">
      <c r="A898" s="22"/>
      <c r="C898" s="13"/>
    </row>
    <row r="899" customFormat="false" ht="15.75" hidden="false" customHeight="true" outlineLevel="0" collapsed="false">
      <c r="A899" s="22"/>
      <c r="C899" s="13"/>
    </row>
    <row r="900" customFormat="false" ht="15.75" hidden="false" customHeight="true" outlineLevel="0" collapsed="false">
      <c r="A900" s="22"/>
      <c r="C900" s="13"/>
    </row>
    <row r="901" customFormat="false" ht="15.75" hidden="false" customHeight="true" outlineLevel="0" collapsed="false">
      <c r="A901" s="22"/>
      <c r="C901" s="13"/>
    </row>
    <row r="902" customFormat="false" ht="15.75" hidden="false" customHeight="true" outlineLevel="0" collapsed="false">
      <c r="A902" s="22"/>
      <c r="C902" s="13"/>
    </row>
    <row r="903" customFormat="false" ht="15.75" hidden="false" customHeight="true" outlineLevel="0" collapsed="false">
      <c r="A903" s="22"/>
      <c r="C903" s="13"/>
    </row>
    <row r="904" customFormat="false" ht="15.75" hidden="false" customHeight="true" outlineLevel="0" collapsed="false">
      <c r="A904" s="22"/>
      <c r="C904" s="13"/>
    </row>
    <row r="905" customFormat="false" ht="15.75" hidden="false" customHeight="true" outlineLevel="0" collapsed="false">
      <c r="A905" s="22"/>
      <c r="C905" s="13"/>
    </row>
    <row r="906" customFormat="false" ht="15.75" hidden="false" customHeight="true" outlineLevel="0" collapsed="false">
      <c r="A906" s="22"/>
      <c r="C906" s="13"/>
    </row>
    <row r="907" customFormat="false" ht="15.75" hidden="false" customHeight="true" outlineLevel="0" collapsed="false">
      <c r="A907" s="22"/>
      <c r="C907" s="13"/>
    </row>
    <row r="908" customFormat="false" ht="15.75" hidden="false" customHeight="true" outlineLevel="0" collapsed="false">
      <c r="A908" s="22"/>
      <c r="C908" s="13"/>
    </row>
    <row r="909" customFormat="false" ht="15.75" hidden="false" customHeight="true" outlineLevel="0" collapsed="false">
      <c r="A909" s="22"/>
      <c r="C909" s="13"/>
    </row>
    <row r="910" customFormat="false" ht="15.75" hidden="false" customHeight="true" outlineLevel="0" collapsed="false">
      <c r="A910" s="22"/>
      <c r="C910" s="13"/>
    </row>
    <row r="911" customFormat="false" ht="15.75" hidden="false" customHeight="true" outlineLevel="0" collapsed="false">
      <c r="A911" s="22"/>
      <c r="C911" s="13"/>
    </row>
    <row r="912" customFormat="false" ht="15.75" hidden="false" customHeight="true" outlineLevel="0" collapsed="false">
      <c r="A912" s="22"/>
      <c r="C912" s="13"/>
    </row>
    <row r="913" customFormat="false" ht="15.75" hidden="false" customHeight="true" outlineLevel="0" collapsed="false">
      <c r="A913" s="22"/>
      <c r="C913" s="13"/>
    </row>
    <row r="914" customFormat="false" ht="15.75" hidden="false" customHeight="true" outlineLevel="0" collapsed="false">
      <c r="A914" s="22"/>
      <c r="C914" s="13"/>
    </row>
    <row r="915" customFormat="false" ht="15.75" hidden="false" customHeight="true" outlineLevel="0" collapsed="false">
      <c r="A915" s="22"/>
      <c r="C915" s="13"/>
    </row>
    <row r="916" customFormat="false" ht="15.75" hidden="false" customHeight="true" outlineLevel="0" collapsed="false">
      <c r="A916" s="22"/>
      <c r="C916" s="13"/>
    </row>
    <row r="917" customFormat="false" ht="15.75" hidden="false" customHeight="true" outlineLevel="0" collapsed="false">
      <c r="A917" s="22"/>
      <c r="C917" s="13"/>
    </row>
    <row r="918" customFormat="false" ht="15.75" hidden="false" customHeight="true" outlineLevel="0" collapsed="false">
      <c r="A918" s="22"/>
      <c r="C918" s="13"/>
    </row>
    <row r="919" customFormat="false" ht="15.75" hidden="false" customHeight="true" outlineLevel="0" collapsed="false">
      <c r="A919" s="22"/>
      <c r="C919" s="13"/>
    </row>
    <row r="920" customFormat="false" ht="15.75" hidden="false" customHeight="true" outlineLevel="0" collapsed="false">
      <c r="A920" s="22"/>
      <c r="C920" s="13"/>
    </row>
    <row r="921" customFormat="false" ht="15.75" hidden="false" customHeight="true" outlineLevel="0" collapsed="false">
      <c r="A921" s="22"/>
      <c r="C921" s="13"/>
    </row>
    <row r="922" customFormat="false" ht="15.75" hidden="false" customHeight="true" outlineLevel="0" collapsed="false">
      <c r="A922" s="22"/>
      <c r="C922" s="13"/>
    </row>
    <row r="923" customFormat="false" ht="15.75" hidden="false" customHeight="true" outlineLevel="0" collapsed="false">
      <c r="A923" s="22"/>
      <c r="C923" s="13"/>
    </row>
    <row r="924" customFormat="false" ht="15.75" hidden="false" customHeight="true" outlineLevel="0" collapsed="false">
      <c r="A924" s="22"/>
      <c r="C924" s="13"/>
    </row>
    <row r="925" customFormat="false" ht="15.75" hidden="false" customHeight="true" outlineLevel="0" collapsed="false">
      <c r="A925" s="22"/>
      <c r="C925" s="13"/>
    </row>
    <row r="926" customFormat="false" ht="15.75" hidden="false" customHeight="true" outlineLevel="0" collapsed="false">
      <c r="A926" s="22"/>
      <c r="C926" s="13"/>
    </row>
    <row r="927" customFormat="false" ht="15.75" hidden="false" customHeight="true" outlineLevel="0" collapsed="false">
      <c r="A927" s="22"/>
      <c r="C927" s="13"/>
    </row>
    <row r="928" customFormat="false" ht="15.75" hidden="false" customHeight="true" outlineLevel="0" collapsed="false">
      <c r="A928" s="22"/>
      <c r="C928" s="13"/>
    </row>
    <row r="929" customFormat="false" ht="15.75" hidden="false" customHeight="true" outlineLevel="0" collapsed="false">
      <c r="A929" s="22"/>
      <c r="C929" s="13"/>
    </row>
    <row r="930" customFormat="false" ht="15.75" hidden="false" customHeight="true" outlineLevel="0" collapsed="false">
      <c r="A930" s="22"/>
      <c r="C930" s="13"/>
    </row>
    <row r="931" customFormat="false" ht="15.75" hidden="false" customHeight="true" outlineLevel="0" collapsed="false">
      <c r="A931" s="22"/>
      <c r="C931" s="13"/>
    </row>
    <row r="932" customFormat="false" ht="15.75" hidden="false" customHeight="true" outlineLevel="0" collapsed="false">
      <c r="A932" s="22"/>
      <c r="C932" s="13"/>
    </row>
    <row r="933" customFormat="false" ht="15.75" hidden="false" customHeight="true" outlineLevel="0" collapsed="false">
      <c r="A933" s="22"/>
      <c r="C933" s="13"/>
    </row>
    <row r="934" customFormat="false" ht="15.75" hidden="false" customHeight="true" outlineLevel="0" collapsed="false">
      <c r="A934" s="22"/>
      <c r="C934" s="13"/>
    </row>
    <row r="935" customFormat="false" ht="15.75" hidden="false" customHeight="true" outlineLevel="0" collapsed="false">
      <c r="A935" s="22"/>
      <c r="C935" s="13"/>
    </row>
    <row r="936" customFormat="false" ht="15.75" hidden="false" customHeight="true" outlineLevel="0" collapsed="false">
      <c r="A936" s="22"/>
      <c r="C936" s="13"/>
    </row>
    <row r="937" customFormat="false" ht="15.75" hidden="false" customHeight="true" outlineLevel="0" collapsed="false">
      <c r="A937" s="22"/>
      <c r="C937" s="13"/>
    </row>
    <row r="938" customFormat="false" ht="15.75" hidden="false" customHeight="true" outlineLevel="0" collapsed="false">
      <c r="A938" s="22"/>
      <c r="C938" s="13"/>
    </row>
    <row r="939" customFormat="false" ht="15.75" hidden="false" customHeight="true" outlineLevel="0" collapsed="false">
      <c r="A939" s="22"/>
      <c r="C939" s="13"/>
    </row>
    <row r="940" customFormat="false" ht="15.75" hidden="false" customHeight="true" outlineLevel="0" collapsed="false">
      <c r="A940" s="22"/>
      <c r="C940" s="13"/>
    </row>
    <row r="941" customFormat="false" ht="15.75" hidden="false" customHeight="true" outlineLevel="0" collapsed="false">
      <c r="A941" s="22"/>
      <c r="C941" s="13"/>
    </row>
    <row r="942" customFormat="false" ht="15.75" hidden="false" customHeight="true" outlineLevel="0" collapsed="false">
      <c r="A942" s="22"/>
      <c r="C942" s="13"/>
    </row>
    <row r="943" customFormat="false" ht="15.75" hidden="false" customHeight="true" outlineLevel="0" collapsed="false">
      <c r="A943" s="22"/>
      <c r="C943" s="13"/>
    </row>
    <row r="944" customFormat="false" ht="15.75" hidden="false" customHeight="true" outlineLevel="0" collapsed="false">
      <c r="A944" s="22"/>
      <c r="C944" s="13"/>
    </row>
    <row r="945" customFormat="false" ht="15.75" hidden="false" customHeight="true" outlineLevel="0" collapsed="false">
      <c r="A945" s="22"/>
      <c r="C945" s="13"/>
    </row>
    <row r="946" customFormat="false" ht="15.75" hidden="false" customHeight="true" outlineLevel="0" collapsed="false">
      <c r="A946" s="22"/>
      <c r="C946" s="13"/>
    </row>
    <row r="947" customFormat="false" ht="15.75" hidden="false" customHeight="true" outlineLevel="0" collapsed="false">
      <c r="A947" s="22"/>
      <c r="C947" s="13"/>
    </row>
    <row r="948" customFormat="false" ht="15.75" hidden="false" customHeight="true" outlineLevel="0" collapsed="false">
      <c r="A948" s="22"/>
      <c r="C948" s="13"/>
    </row>
    <row r="949" customFormat="false" ht="15.75" hidden="false" customHeight="true" outlineLevel="0" collapsed="false">
      <c r="A949" s="22"/>
      <c r="C949" s="13"/>
    </row>
    <row r="950" customFormat="false" ht="15.75" hidden="false" customHeight="true" outlineLevel="0" collapsed="false">
      <c r="A950" s="22"/>
      <c r="C950" s="13"/>
    </row>
    <row r="951" customFormat="false" ht="15.75" hidden="false" customHeight="true" outlineLevel="0" collapsed="false">
      <c r="A951" s="22"/>
      <c r="C951" s="13"/>
    </row>
    <row r="952" customFormat="false" ht="15.75" hidden="false" customHeight="true" outlineLevel="0" collapsed="false">
      <c r="A952" s="22"/>
      <c r="C952" s="13"/>
    </row>
    <row r="953" customFormat="false" ht="15.75" hidden="false" customHeight="true" outlineLevel="0" collapsed="false">
      <c r="A953" s="22"/>
      <c r="C953" s="13"/>
    </row>
    <row r="954" customFormat="false" ht="15.75" hidden="false" customHeight="true" outlineLevel="0" collapsed="false">
      <c r="A954" s="22"/>
      <c r="C954" s="13"/>
    </row>
    <row r="955" customFormat="false" ht="15.75" hidden="false" customHeight="true" outlineLevel="0" collapsed="false">
      <c r="A955" s="22"/>
      <c r="C955" s="13"/>
    </row>
    <row r="956" customFormat="false" ht="15.75" hidden="false" customHeight="true" outlineLevel="0" collapsed="false">
      <c r="A956" s="22"/>
      <c r="C956" s="13"/>
    </row>
    <row r="957" customFormat="false" ht="15.75" hidden="false" customHeight="true" outlineLevel="0" collapsed="false">
      <c r="A957" s="22"/>
      <c r="C957" s="13"/>
    </row>
    <row r="958" customFormat="false" ht="15.75" hidden="false" customHeight="true" outlineLevel="0" collapsed="false">
      <c r="A958" s="22"/>
      <c r="C958" s="13"/>
    </row>
    <row r="959" customFormat="false" ht="15.75" hidden="false" customHeight="true" outlineLevel="0" collapsed="false">
      <c r="A959" s="22"/>
      <c r="C959" s="13"/>
    </row>
    <row r="960" customFormat="false" ht="15.75" hidden="false" customHeight="true" outlineLevel="0" collapsed="false">
      <c r="A960" s="22"/>
      <c r="C960" s="13"/>
    </row>
    <row r="961" customFormat="false" ht="15.75" hidden="false" customHeight="true" outlineLevel="0" collapsed="false">
      <c r="A961" s="22"/>
      <c r="C961" s="13"/>
    </row>
    <row r="962" customFormat="false" ht="15.75" hidden="false" customHeight="true" outlineLevel="0" collapsed="false">
      <c r="A962" s="22"/>
      <c r="C962" s="13"/>
    </row>
    <row r="963" customFormat="false" ht="15.75" hidden="false" customHeight="true" outlineLevel="0" collapsed="false">
      <c r="A963" s="22"/>
      <c r="C963" s="13"/>
    </row>
    <row r="964" customFormat="false" ht="15.75" hidden="false" customHeight="true" outlineLevel="0" collapsed="false">
      <c r="A964" s="22"/>
      <c r="C964" s="13"/>
    </row>
    <row r="965" customFormat="false" ht="15.75" hidden="false" customHeight="true" outlineLevel="0" collapsed="false">
      <c r="A965" s="22"/>
      <c r="C965" s="13"/>
    </row>
    <row r="966" customFormat="false" ht="15.75" hidden="false" customHeight="true" outlineLevel="0" collapsed="false">
      <c r="A966" s="22"/>
      <c r="C966" s="13"/>
    </row>
    <row r="967" customFormat="false" ht="15.75" hidden="false" customHeight="true" outlineLevel="0" collapsed="false">
      <c r="A967" s="22"/>
      <c r="C967" s="13"/>
    </row>
    <row r="968" customFormat="false" ht="15.75" hidden="false" customHeight="true" outlineLevel="0" collapsed="false">
      <c r="A968" s="22"/>
      <c r="C968" s="13"/>
    </row>
    <row r="969" customFormat="false" ht="15.75" hidden="false" customHeight="true" outlineLevel="0" collapsed="false">
      <c r="A969" s="22"/>
      <c r="C969" s="13"/>
    </row>
    <row r="970" customFormat="false" ht="15.75" hidden="false" customHeight="true" outlineLevel="0" collapsed="false">
      <c r="A970" s="22"/>
      <c r="C970" s="13"/>
    </row>
    <row r="971" customFormat="false" ht="15.75" hidden="false" customHeight="true" outlineLevel="0" collapsed="false">
      <c r="A971" s="22"/>
      <c r="C971" s="13"/>
    </row>
    <row r="972" customFormat="false" ht="15.75" hidden="false" customHeight="true" outlineLevel="0" collapsed="false">
      <c r="A972" s="22"/>
      <c r="C972" s="13"/>
    </row>
    <row r="973" customFormat="false" ht="15.75" hidden="false" customHeight="true" outlineLevel="0" collapsed="false">
      <c r="A973" s="22"/>
      <c r="C973" s="13"/>
    </row>
    <row r="974" customFormat="false" ht="15.75" hidden="false" customHeight="true" outlineLevel="0" collapsed="false">
      <c r="A974" s="22"/>
      <c r="C974" s="13"/>
    </row>
    <row r="975" customFormat="false" ht="15.75" hidden="false" customHeight="true" outlineLevel="0" collapsed="false">
      <c r="A975" s="22"/>
      <c r="C975" s="13"/>
    </row>
    <row r="976" customFormat="false" ht="15.75" hidden="false" customHeight="true" outlineLevel="0" collapsed="false">
      <c r="A976" s="22"/>
      <c r="C976" s="13"/>
    </row>
    <row r="977" customFormat="false" ht="15.75" hidden="false" customHeight="true" outlineLevel="0" collapsed="false">
      <c r="A977" s="22"/>
      <c r="C977" s="13"/>
    </row>
    <row r="978" customFormat="false" ht="15.75" hidden="false" customHeight="true" outlineLevel="0" collapsed="false">
      <c r="A978" s="22"/>
      <c r="C978" s="13"/>
    </row>
    <row r="979" customFormat="false" ht="15.75" hidden="false" customHeight="true" outlineLevel="0" collapsed="false">
      <c r="A979" s="22"/>
      <c r="C979" s="13"/>
    </row>
    <row r="980" customFormat="false" ht="15.75" hidden="false" customHeight="true" outlineLevel="0" collapsed="false">
      <c r="A980" s="22"/>
      <c r="C980" s="13"/>
    </row>
    <row r="981" customFormat="false" ht="15.75" hidden="false" customHeight="true" outlineLevel="0" collapsed="false">
      <c r="A981" s="22"/>
      <c r="C981" s="13"/>
    </row>
    <row r="982" customFormat="false" ht="15.75" hidden="false" customHeight="true" outlineLevel="0" collapsed="false">
      <c r="A982" s="22"/>
      <c r="C982" s="13"/>
    </row>
    <row r="983" customFormat="false" ht="15.75" hidden="false" customHeight="true" outlineLevel="0" collapsed="false">
      <c r="A983" s="22"/>
      <c r="C983" s="13"/>
    </row>
    <row r="984" customFormat="false" ht="15.75" hidden="false" customHeight="true" outlineLevel="0" collapsed="false">
      <c r="A984" s="22"/>
      <c r="C984" s="13"/>
    </row>
    <row r="985" customFormat="false" ht="15.75" hidden="false" customHeight="true" outlineLevel="0" collapsed="false">
      <c r="A985" s="22"/>
      <c r="C985" s="13"/>
    </row>
    <row r="986" customFormat="false" ht="15.75" hidden="false" customHeight="true" outlineLevel="0" collapsed="false">
      <c r="A986" s="22"/>
      <c r="C986" s="13"/>
    </row>
    <row r="987" customFormat="false" ht="15.75" hidden="false" customHeight="true" outlineLevel="0" collapsed="false">
      <c r="A987" s="22"/>
      <c r="C987" s="13"/>
    </row>
    <row r="988" customFormat="false" ht="15.75" hidden="false" customHeight="true" outlineLevel="0" collapsed="false">
      <c r="A988" s="22"/>
      <c r="C988" s="13"/>
    </row>
    <row r="989" customFormat="false" ht="15.75" hidden="false" customHeight="true" outlineLevel="0" collapsed="false">
      <c r="A989" s="22"/>
      <c r="C989" s="13"/>
    </row>
    <row r="990" customFormat="false" ht="15.75" hidden="false" customHeight="true" outlineLevel="0" collapsed="false">
      <c r="A990" s="22"/>
      <c r="C990" s="13"/>
    </row>
    <row r="991" customFormat="false" ht="15.75" hidden="false" customHeight="true" outlineLevel="0" collapsed="false">
      <c r="A991" s="22"/>
      <c r="C991" s="13"/>
    </row>
    <row r="992" customFormat="false" ht="15.75" hidden="false" customHeight="true" outlineLevel="0" collapsed="false">
      <c r="A992" s="22"/>
      <c r="C992" s="13"/>
    </row>
    <row r="993" customFormat="false" ht="15.75" hidden="false" customHeight="true" outlineLevel="0" collapsed="false">
      <c r="A993" s="22"/>
      <c r="C993" s="13"/>
    </row>
    <row r="994" customFormat="false" ht="15.75" hidden="false" customHeight="true" outlineLevel="0" collapsed="false">
      <c r="A994" s="22"/>
      <c r="C994" s="13"/>
    </row>
    <row r="995" customFormat="false" ht="15.75" hidden="false" customHeight="true" outlineLevel="0" collapsed="false">
      <c r="A995" s="22"/>
      <c r="C995" s="13"/>
    </row>
    <row r="996" customFormat="false" ht="15.75" hidden="false" customHeight="true" outlineLevel="0" collapsed="false">
      <c r="A996" s="22"/>
      <c r="C996" s="13"/>
    </row>
    <row r="997" customFormat="false" ht="15.75" hidden="false" customHeight="true" outlineLevel="0" collapsed="false">
      <c r="A997" s="22"/>
      <c r="C997" s="13"/>
    </row>
    <row r="998" customFormat="false" ht="15.75" hidden="false" customHeight="true" outlineLevel="0" collapsed="false">
      <c r="A998" s="22"/>
      <c r="C998" s="13"/>
    </row>
    <row r="999" customFormat="false" ht="15.75" hidden="false" customHeight="true" outlineLevel="0" collapsed="false">
      <c r="A999" s="22"/>
      <c r="C999" s="13"/>
    </row>
    <row r="1000" customFormat="false" ht="15.75" hidden="false" customHeight="true" outlineLevel="0" collapsed="false">
      <c r="A1000" s="22"/>
      <c r="C1000" s="13"/>
    </row>
  </sheetData>
  <conditionalFormatting sqref="B1:B1000">
    <cfRule type="cellIs" priority="2" operator="equal" aboveAverage="0" equalAverage="0" bottom="0" percent="0" rank="0" text="" dxfId="0">
      <formula>"TRUE"</formula>
    </cfRule>
  </conditionalFormatting>
  <conditionalFormatting sqref="B2:B1000">
    <cfRule type="cellIs" priority="3" operator="equal" aboveAverage="0" equalAverage="0" bottom="0" percent="0" rank="0" text="" dxfId="1">
      <formula>"FALSE"</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Roman,Regularna"&amp;12&amp;Kffffff&amp;A</oddHeader>
    <oddFooter>&amp;C&amp;"Times New Roman,Regularna"&amp;12&amp;KffffffStrona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2"/>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C62" activeCellId="0" sqref="C62"/>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0"/>
    <col collapsed="false" customWidth="true" hidden="false" outlineLevel="0" max="3" min="3" style="1" width="90"/>
  </cols>
  <sheetData>
    <row r="1" customFormat="false" ht="23.85" hidden="false" customHeight="false" outlineLevel="0" collapsed="false">
      <c r="A1" s="23" t="s">
        <v>25</v>
      </c>
      <c r="B1" s="23" t="s">
        <v>145</v>
      </c>
      <c r="C1" s="23" t="s">
        <v>146</v>
      </c>
    </row>
    <row r="2" customFormat="false" ht="22.35" hidden="false" customHeight="false" outlineLevel="0" collapsed="false">
      <c r="A2" s="16" t="n">
        <v>1</v>
      </c>
      <c r="B2" s="16" t="s">
        <v>208</v>
      </c>
      <c r="C2" s="16" t="s">
        <v>147</v>
      </c>
    </row>
    <row r="3" customFormat="false" ht="22.35" hidden="false" customHeight="false" outlineLevel="0" collapsed="false">
      <c r="A3" s="16" t="n">
        <v>2</v>
      </c>
      <c r="B3" s="16" t="s">
        <v>208</v>
      </c>
      <c r="C3" s="16" t="s">
        <v>148</v>
      </c>
    </row>
    <row r="4" customFormat="false" ht="22.35" hidden="false" customHeight="false" outlineLevel="0" collapsed="false">
      <c r="A4" s="16" t="n">
        <v>3</v>
      </c>
      <c r="B4" s="16" t="s">
        <v>208</v>
      </c>
      <c r="C4" s="16" t="s">
        <v>149</v>
      </c>
    </row>
    <row r="5" customFormat="false" ht="22.35" hidden="false" customHeight="false" outlineLevel="0" collapsed="false">
      <c r="A5" s="16" t="n">
        <v>4</v>
      </c>
      <c r="B5" s="16" t="s">
        <v>208</v>
      </c>
      <c r="C5" s="16" t="s">
        <v>150</v>
      </c>
    </row>
    <row r="6" customFormat="false" ht="32.8" hidden="false" customHeight="false" outlineLevel="0" collapsed="false">
      <c r="A6" s="18" t="n">
        <v>4</v>
      </c>
      <c r="B6" s="18" t="s">
        <v>209</v>
      </c>
      <c r="C6" s="18" t="s">
        <v>151</v>
      </c>
    </row>
    <row r="7" customFormat="false" ht="22.35" hidden="false" customHeight="false" outlineLevel="0" collapsed="false">
      <c r="A7" s="16" t="n">
        <v>5</v>
      </c>
      <c r="B7" s="16" t="s">
        <v>208</v>
      </c>
      <c r="C7" s="16" t="s">
        <v>152</v>
      </c>
    </row>
    <row r="8" customFormat="false" ht="22.35" hidden="false" customHeight="false" outlineLevel="0" collapsed="false">
      <c r="A8" s="16" t="n">
        <v>6</v>
      </c>
      <c r="B8" s="16" t="s">
        <v>208</v>
      </c>
      <c r="C8" s="16" t="s">
        <v>153</v>
      </c>
    </row>
    <row r="9" customFormat="false" ht="22.35" hidden="false" customHeight="false" outlineLevel="0" collapsed="false">
      <c r="A9" s="16" t="n">
        <v>7</v>
      </c>
      <c r="B9" s="16" t="s">
        <v>208</v>
      </c>
      <c r="C9" s="16" t="s">
        <v>154</v>
      </c>
    </row>
    <row r="10" customFormat="false" ht="22.35" hidden="false" customHeight="false" outlineLevel="0" collapsed="false">
      <c r="A10" s="16" t="n">
        <v>8</v>
      </c>
      <c r="B10" s="16" t="s">
        <v>208</v>
      </c>
      <c r="C10" s="16" t="s">
        <v>155</v>
      </c>
    </row>
    <row r="11" customFormat="false" ht="22.35" hidden="false" customHeight="false" outlineLevel="0" collapsed="false">
      <c r="A11" s="16" t="n">
        <v>9</v>
      </c>
      <c r="B11" s="16" t="s">
        <v>208</v>
      </c>
      <c r="C11" s="16" t="s">
        <v>156</v>
      </c>
    </row>
    <row r="12" customFormat="false" ht="22.35" hidden="false" customHeight="false" outlineLevel="0" collapsed="false">
      <c r="A12" s="16" t="n">
        <v>10</v>
      </c>
      <c r="B12" s="16" t="s">
        <v>208</v>
      </c>
      <c r="C12" s="16" t="s">
        <v>157</v>
      </c>
    </row>
    <row r="13" customFormat="false" ht="32.8" hidden="false" customHeight="false" outlineLevel="0" collapsed="false">
      <c r="A13" s="18" t="n">
        <v>10</v>
      </c>
      <c r="B13" s="18" t="s">
        <v>209</v>
      </c>
      <c r="C13" s="18" t="s">
        <v>158</v>
      </c>
    </row>
    <row r="14" customFormat="false" ht="22.35" hidden="false" customHeight="false" outlineLevel="0" collapsed="false">
      <c r="A14" s="16" t="n">
        <v>11</v>
      </c>
      <c r="B14" s="16" t="s">
        <v>208</v>
      </c>
      <c r="C14" s="16" t="s">
        <v>159</v>
      </c>
    </row>
    <row r="15" customFormat="false" ht="32.8" hidden="false" customHeight="false" outlineLevel="0" collapsed="false">
      <c r="A15" s="18" t="n">
        <v>11</v>
      </c>
      <c r="B15" s="18" t="s">
        <v>209</v>
      </c>
      <c r="C15" s="18" t="s">
        <v>160</v>
      </c>
    </row>
    <row r="16" customFormat="false" ht="22.35" hidden="false" customHeight="false" outlineLevel="0" collapsed="false">
      <c r="A16" s="16" t="n">
        <v>12</v>
      </c>
      <c r="B16" s="16" t="s">
        <v>208</v>
      </c>
      <c r="C16" s="16" t="s">
        <v>161</v>
      </c>
    </row>
    <row r="17" customFormat="false" ht="15" hidden="false" customHeight="false" outlineLevel="0" collapsed="false">
      <c r="A17" s="16" t="n">
        <v>13</v>
      </c>
      <c r="B17" s="16" t="s">
        <v>208</v>
      </c>
      <c r="C17" s="16" t="s">
        <v>162</v>
      </c>
    </row>
    <row r="18" customFormat="false" ht="22.35" hidden="false" customHeight="false" outlineLevel="0" collapsed="false">
      <c r="A18" s="16" t="n">
        <v>14</v>
      </c>
      <c r="B18" s="16" t="s">
        <v>208</v>
      </c>
      <c r="C18" s="16" t="s">
        <v>163</v>
      </c>
    </row>
    <row r="19" customFormat="false" ht="32.8" hidden="false" customHeight="false" outlineLevel="0" collapsed="false">
      <c r="A19" s="18" t="n">
        <v>14</v>
      </c>
      <c r="B19" s="18" t="s">
        <v>209</v>
      </c>
      <c r="C19" s="18" t="s">
        <v>164</v>
      </c>
    </row>
    <row r="20" customFormat="false" ht="22.35" hidden="false" customHeight="false" outlineLevel="0" collapsed="false">
      <c r="A20" s="16" t="n">
        <v>15</v>
      </c>
      <c r="B20" s="16" t="s">
        <v>208</v>
      </c>
      <c r="C20" s="16" t="s">
        <v>165</v>
      </c>
    </row>
    <row r="21" customFormat="false" ht="32.8" hidden="false" customHeight="false" outlineLevel="0" collapsed="false">
      <c r="A21" s="18" t="n">
        <v>15</v>
      </c>
      <c r="B21" s="18" t="s">
        <v>209</v>
      </c>
      <c r="C21" s="18" t="s">
        <v>166</v>
      </c>
    </row>
    <row r="22" customFormat="false" ht="22.35" hidden="false" customHeight="false" outlineLevel="0" collapsed="false">
      <c r="A22" s="16" t="n">
        <v>16</v>
      </c>
      <c r="B22" s="16" t="s">
        <v>208</v>
      </c>
      <c r="C22" s="16" t="s">
        <v>167</v>
      </c>
    </row>
    <row r="23" customFormat="false" ht="32.8" hidden="false" customHeight="false" outlineLevel="0" collapsed="false">
      <c r="A23" s="18" t="n">
        <v>16</v>
      </c>
      <c r="B23" s="18" t="s">
        <v>209</v>
      </c>
      <c r="C23" s="18" t="s">
        <v>168</v>
      </c>
    </row>
    <row r="24" customFormat="false" ht="15" hidden="false" customHeight="false" outlineLevel="0" collapsed="false">
      <c r="A24" s="16" t="n">
        <v>17</v>
      </c>
      <c r="B24" s="16" t="s">
        <v>208</v>
      </c>
      <c r="C24" s="16" t="s">
        <v>169</v>
      </c>
    </row>
    <row r="25" customFormat="false" ht="15" hidden="false" customHeight="false" outlineLevel="0" collapsed="false">
      <c r="A25" s="16" t="n">
        <v>18</v>
      </c>
      <c r="B25" s="16" t="s">
        <v>208</v>
      </c>
      <c r="C25" s="16" t="s">
        <v>170</v>
      </c>
    </row>
    <row r="26" customFormat="false" ht="15" hidden="false" customHeight="false" outlineLevel="0" collapsed="false">
      <c r="A26" s="16" t="n">
        <v>19</v>
      </c>
      <c r="B26" s="16" t="s">
        <v>208</v>
      </c>
      <c r="C26" s="16" t="s">
        <v>171</v>
      </c>
    </row>
    <row r="27" customFormat="false" ht="15" hidden="false" customHeight="false" outlineLevel="0" collapsed="false">
      <c r="A27" s="16" t="n">
        <v>20</v>
      </c>
      <c r="B27" s="16" t="s">
        <v>208</v>
      </c>
      <c r="C27" s="16" t="s">
        <v>172</v>
      </c>
    </row>
    <row r="28" customFormat="false" ht="32.8" hidden="false" customHeight="false" outlineLevel="0" collapsed="false">
      <c r="A28" s="18" t="n">
        <v>20</v>
      </c>
      <c r="B28" s="18" t="s">
        <v>209</v>
      </c>
      <c r="C28" s="18" t="s">
        <v>173</v>
      </c>
    </row>
    <row r="29" customFormat="false" ht="15" hidden="false" customHeight="false" outlineLevel="0" collapsed="false">
      <c r="A29" s="16" t="n">
        <v>21</v>
      </c>
      <c r="B29" s="16" t="s">
        <v>208</v>
      </c>
      <c r="C29" s="16" t="s">
        <v>174</v>
      </c>
    </row>
    <row r="30" customFormat="false" ht="15" hidden="false" customHeight="false" outlineLevel="0" collapsed="false">
      <c r="A30" s="16" t="n">
        <v>22</v>
      </c>
      <c r="B30" s="16" t="s">
        <v>208</v>
      </c>
      <c r="C30" s="16" t="s">
        <v>175</v>
      </c>
    </row>
    <row r="31" customFormat="false" ht="22.35" hidden="false" customHeight="false" outlineLevel="0" collapsed="false">
      <c r="A31" s="16" t="n">
        <v>23</v>
      </c>
      <c r="B31" s="16" t="s">
        <v>208</v>
      </c>
      <c r="C31" s="16" t="s">
        <v>176</v>
      </c>
    </row>
    <row r="32" customFormat="false" ht="32.8" hidden="false" customHeight="false" outlineLevel="0" collapsed="false">
      <c r="A32" s="18" t="n">
        <v>23</v>
      </c>
      <c r="B32" s="18" t="s">
        <v>209</v>
      </c>
      <c r="C32" s="18" t="s">
        <v>177</v>
      </c>
    </row>
    <row r="33" customFormat="false" ht="15" hidden="false" customHeight="false" outlineLevel="0" collapsed="false">
      <c r="A33" s="16" t="n">
        <v>24</v>
      </c>
      <c r="B33" s="16" t="s">
        <v>208</v>
      </c>
      <c r="C33" s="16" t="s">
        <v>178</v>
      </c>
    </row>
    <row r="34" customFormat="false" ht="22.35" hidden="false" customHeight="false" outlineLevel="0" collapsed="false">
      <c r="A34" s="16" t="n">
        <v>25</v>
      </c>
      <c r="B34" s="16" t="s">
        <v>208</v>
      </c>
      <c r="C34" s="16" t="s">
        <v>179</v>
      </c>
    </row>
    <row r="35" customFormat="false" ht="32.8" hidden="false" customHeight="false" outlineLevel="0" collapsed="false">
      <c r="A35" s="18" t="n">
        <v>25</v>
      </c>
      <c r="B35" s="18" t="s">
        <v>209</v>
      </c>
      <c r="C35" s="18" t="s">
        <v>180</v>
      </c>
    </row>
    <row r="36" customFormat="false" ht="15" hidden="false" customHeight="false" outlineLevel="0" collapsed="false">
      <c r="A36" s="16" t="n">
        <v>26</v>
      </c>
      <c r="B36" s="16" t="s">
        <v>208</v>
      </c>
      <c r="C36" s="16" t="s">
        <v>181</v>
      </c>
    </row>
    <row r="37" customFormat="false" ht="15" hidden="false" customHeight="false" outlineLevel="0" collapsed="false">
      <c r="A37" s="16" t="n">
        <v>27</v>
      </c>
      <c r="B37" s="16" t="s">
        <v>208</v>
      </c>
      <c r="C37" s="16" t="s">
        <v>182</v>
      </c>
    </row>
    <row r="38" customFormat="false" ht="15" hidden="false" customHeight="false" outlineLevel="0" collapsed="false">
      <c r="A38" s="16" t="n">
        <v>28</v>
      </c>
      <c r="B38" s="16" t="s">
        <v>208</v>
      </c>
      <c r="C38" s="16" t="s">
        <v>183</v>
      </c>
    </row>
    <row r="39" customFormat="false" ht="15" hidden="false" customHeight="false" outlineLevel="0" collapsed="false">
      <c r="A39" s="16" t="n">
        <v>29</v>
      </c>
      <c r="B39" s="16" t="s">
        <v>208</v>
      </c>
      <c r="C39" s="16" t="s">
        <v>184</v>
      </c>
    </row>
    <row r="40" customFormat="false" ht="15" hidden="false" customHeight="false" outlineLevel="0" collapsed="false">
      <c r="A40" s="16" t="n">
        <v>30</v>
      </c>
      <c r="B40" s="16" t="s">
        <v>208</v>
      </c>
      <c r="C40" s="16" t="s">
        <v>185</v>
      </c>
    </row>
    <row r="41" customFormat="false" ht="32.8" hidden="false" customHeight="false" outlineLevel="0" collapsed="false">
      <c r="A41" s="18" t="n">
        <v>30</v>
      </c>
      <c r="B41" s="18" t="s">
        <v>209</v>
      </c>
      <c r="C41" s="18" t="s">
        <v>186</v>
      </c>
    </row>
    <row r="42" customFormat="false" ht="15" hidden="false" customHeight="false" outlineLevel="0" collapsed="false">
      <c r="A42" s="16" t="n">
        <v>31</v>
      </c>
      <c r="B42" s="16" t="s">
        <v>208</v>
      </c>
      <c r="C42" s="16" t="s">
        <v>187</v>
      </c>
    </row>
    <row r="43" customFormat="false" ht="32.8" hidden="false" customHeight="false" outlineLevel="0" collapsed="false">
      <c r="A43" s="18" t="n">
        <v>31</v>
      </c>
      <c r="B43" s="18" t="s">
        <v>209</v>
      </c>
      <c r="C43" s="18" t="s">
        <v>188</v>
      </c>
    </row>
    <row r="44" customFormat="false" ht="15" hidden="false" customHeight="false" outlineLevel="0" collapsed="false">
      <c r="A44" s="16" t="n">
        <v>32</v>
      </c>
      <c r="B44" s="16" t="s">
        <v>208</v>
      </c>
      <c r="C44" s="16" t="s">
        <v>189</v>
      </c>
    </row>
    <row r="45" customFormat="false" ht="15" hidden="false" customHeight="false" outlineLevel="0" collapsed="false">
      <c r="A45" s="16" t="n">
        <v>33</v>
      </c>
      <c r="B45" s="16" t="s">
        <v>208</v>
      </c>
      <c r="C45" s="16" t="s">
        <v>190</v>
      </c>
    </row>
    <row r="46" customFormat="false" ht="32.8" hidden="false" customHeight="false" outlineLevel="0" collapsed="false">
      <c r="A46" s="18" t="n">
        <v>33</v>
      </c>
      <c r="B46" s="18" t="s">
        <v>209</v>
      </c>
      <c r="C46" s="18" t="s">
        <v>191</v>
      </c>
    </row>
    <row r="47" customFormat="false" ht="15" hidden="false" customHeight="false" outlineLevel="0" collapsed="false">
      <c r="A47" s="16" t="n">
        <v>34</v>
      </c>
      <c r="B47" s="16" t="s">
        <v>208</v>
      </c>
      <c r="C47" s="16" t="s">
        <v>192</v>
      </c>
    </row>
    <row r="48" customFormat="false" ht="15" hidden="false" customHeight="false" outlineLevel="0" collapsed="false">
      <c r="A48" s="16" t="n">
        <v>35</v>
      </c>
      <c r="B48" s="16" t="s">
        <v>208</v>
      </c>
      <c r="C48" s="16" t="s">
        <v>193</v>
      </c>
    </row>
    <row r="49" customFormat="false" ht="32.8" hidden="false" customHeight="false" outlineLevel="0" collapsed="false">
      <c r="A49" s="18" t="n">
        <v>35</v>
      </c>
      <c r="B49" s="18" t="s">
        <v>209</v>
      </c>
      <c r="C49" s="18" t="s">
        <v>194</v>
      </c>
    </row>
    <row r="50" customFormat="false" ht="15" hidden="false" customHeight="false" outlineLevel="0" collapsed="false">
      <c r="A50" s="16" t="n">
        <v>36</v>
      </c>
      <c r="B50" s="16" t="s">
        <v>208</v>
      </c>
      <c r="C50" s="16" t="s">
        <v>195</v>
      </c>
    </row>
    <row r="51" customFormat="false" ht="15" hidden="false" customHeight="false" outlineLevel="0" collapsed="false">
      <c r="A51" s="16" t="n">
        <v>37</v>
      </c>
      <c r="B51" s="16" t="s">
        <v>208</v>
      </c>
      <c r="C51" s="16" t="s">
        <v>196</v>
      </c>
    </row>
    <row r="52" customFormat="false" ht="15" hidden="false" customHeight="false" outlineLevel="0" collapsed="false">
      <c r="A52" s="16" t="n">
        <v>38</v>
      </c>
      <c r="B52" s="16" t="s">
        <v>208</v>
      </c>
      <c r="C52" s="16" t="s">
        <v>197</v>
      </c>
    </row>
    <row r="53" customFormat="false" ht="15" hidden="false" customHeight="false" outlineLevel="0" collapsed="false">
      <c r="A53" s="16" t="n">
        <v>39</v>
      </c>
      <c r="B53" s="16" t="s">
        <v>208</v>
      </c>
      <c r="C53" s="16" t="s">
        <v>198</v>
      </c>
    </row>
    <row r="54" customFormat="false" ht="15" hidden="false" customHeight="false" outlineLevel="0" collapsed="false">
      <c r="A54" s="16" t="n">
        <v>40</v>
      </c>
      <c r="B54" s="16" t="s">
        <v>208</v>
      </c>
      <c r="C54" s="16" t="s">
        <v>199</v>
      </c>
    </row>
    <row r="55" customFormat="false" ht="32.8" hidden="false" customHeight="false" outlineLevel="0" collapsed="false">
      <c r="A55" s="18" t="n">
        <v>40</v>
      </c>
      <c r="B55" s="18" t="s">
        <v>209</v>
      </c>
      <c r="C55" s="18" t="s">
        <v>200</v>
      </c>
    </row>
    <row r="56" customFormat="false" ht="15" hidden="false" customHeight="false" outlineLevel="0" collapsed="false">
      <c r="A56" s="16" t="n">
        <v>41</v>
      </c>
      <c r="B56" s="16" t="s">
        <v>208</v>
      </c>
      <c r="C56" s="16" t="s">
        <v>201</v>
      </c>
    </row>
    <row r="57" customFormat="false" ht="15" hidden="false" customHeight="false" outlineLevel="0" collapsed="false">
      <c r="A57" s="16" t="n">
        <v>42</v>
      </c>
      <c r="B57" s="16" t="s">
        <v>208</v>
      </c>
      <c r="C57" s="16" t="s">
        <v>202</v>
      </c>
    </row>
    <row r="58" customFormat="false" ht="15" hidden="false" customHeight="false" outlineLevel="0" collapsed="false">
      <c r="A58" s="16" t="n">
        <v>43</v>
      </c>
      <c r="B58" s="16" t="s">
        <v>208</v>
      </c>
      <c r="C58" s="16" t="s">
        <v>203</v>
      </c>
    </row>
    <row r="59" customFormat="false" ht="32.8" hidden="false" customHeight="false" outlineLevel="0" collapsed="false">
      <c r="A59" s="18" t="n">
        <v>43</v>
      </c>
      <c r="B59" s="18" t="s">
        <v>209</v>
      </c>
      <c r="C59" s="18" t="s">
        <v>204</v>
      </c>
    </row>
    <row r="60" customFormat="false" ht="22.35" hidden="false" customHeight="false" outlineLevel="0" collapsed="false">
      <c r="A60" s="16" t="n">
        <v>44</v>
      </c>
      <c r="B60" s="16" t="s">
        <v>208</v>
      </c>
      <c r="C60" s="16" t="s">
        <v>205</v>
      </c>
    </row>
    <row r="61" customFormat="false" ht="22.35" hidden="false" customHeight="false" outlineLevel="0" collapsed="false">
      <c r="A61" s="16" t="n">
        <v>45</v>
      </c>
      <c r="B61" s="16" t="s">
        <v>208</v>
      </c>
      <c r="C61" s="16" t="s">
        <v>206</v>
      </c>
    </row>
    <row r="62" customFormat="false" ht="22.35" hidden="false" customHeight="false" outlineLevel="0" collapsed="false">
      <c r="A62" s="16" t="n">
        <v>46</v>
      </c>
      <c r="B62" s="16" t="s">
        <v>208</v>
      </c>
      <c r="C62" s="16" t="s">
        <v>207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 activeCellId="0" sqref="I2"/>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80"/>
  </cols>
  <sheetData>
    <row r="1" customFormat="false" ht="35.05" hidden="false" customHeight="false" outlineLevel="0" collapsed="false">
      <c r="A1" s="24" t="s">
        <v>210</v>
      </c>
      <c r="B1" s="24" t="s">
        <v>211</v>
      </c>
      <c r="C1" s="24" t="s">
        <v>212</v>
      </c>
      <c r="D1" s="24" t="s">
        <v>213</v>
      </c>
      <c r="E1" s="24" t="s">
        <v>214</v>
      </c>
      <c r="F1" s="24" t="s">
        <v>215</v>
      </c>
      <c r="G1" s="24" t="s">
        <v>32</v>
      </c>
      <c r="H1" s="24" t="s">
        <v>33</v>
      </c>
      <c r="I1" s="24" t="s">
        <v>34</v>
      </c>
    </row>
    <row r="2" customFormat="false" ht="43.25" hidden="false" customHeight="false" outlineLevel="0" collapsed="false">
      <c r="A2" s="25" t="n">
        <v>1</v>
      </c>
      <c r="B2" s="25" t="s">
        <v>216</v>
      </c>
      <c r="C2" s="25" t="s">
        <v>217</v>
      </c>
      <c r="D2" s="25" t="s">
        <v>218</v>
      </c>
      <c r="E2" s="25" t="n">
        <v>0.25</v>
      </c>
      <c r="F2" s="25"/>
      <c r="G2" s="25"/>
      <c r="H2" s="25" t="n">
        <v>1</v>
      </c>
      <c r="I2" s="25" t="n">
        <v>1</v>
      </c>
    </row>
    <row r="3" customFormat="false" ht="32.8" hidden="false" customHeight="false" outlineLevel="0" collapsed="false">
      <c r="A3" s="26" t="n">
        <v>2</v>
      </c>
      <c r="B3" s="26" t="s">
        <v>219</v>
      </c>
      <c r="C3" s="26" t="s">
        <v>220</v>
      </c>
      <c r="D3" s="26" t="s">
        <v>221</v>
      </c>
      <c r="E3" s="26" t="n">
        <v>0.25</v>
      </c>
      <c r="F3" s="26"/>
      <c r="G3" s="26"/>
      <c r="H3" s="26" t="n">
        <v>1</v>
      </c>
      <c r="I3" s="26" t="n">
        <v>1</v>
      </c>
    </row>
    <row r="4" customFormat="false" ht="43.25" hidden="false" customHeight="false" outlineLevel="0" collapsed="false">
      <c r="A4" s="16" t="n">
        <v>3</v>
      </c>
      <c r="B4" s="16" t="s">
        <v>222</v>
      </c>
      <c r="C4" s="16" t="s">
        <v>223</v>
      </c>
      <c r="D4" s="16" t="s">
        <v>224</v>
      </c>
      <c r="E4" s="16" t="n">
        <v>0.25</v>
      </c>
      <c r="F4" s="16"/>
      <c r="G4" s="16"/>
      <c r="H4" s="16" t="n">
        <v>1</v>
      </c>
      <c r="I4" s="16" t="n">
        <v>1</v>
      </c>
    </row>
    <row r="5" customFormat="false" ht="32.8" hidden="false" customHeight="false" outlineLevel="0" collapsed="false">
      <c r="A5" s="27" t="n">
        <v>4</v>
      </c>
      <c r="B5" s="27" t="s">
        <v>225</v>
      </c>
      <c r="C5" s="27" t="s">
        <v>226</v>
      </c>
      <c r="D5" s="27" t="s">
        <v>227</v>
      </c>
      <c r="E5" s="27" t="n">
        <v>0.25</v>
      </c>
      <c r="F5" s="27"/>
      <c r="G5" s="27"/>
      <c r="H5" s="27" t="n">
        <v>1</v>
      </c>
      <c r="I5" s="27"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s>
  <sheetData>
    <row r="1" customFormat="false" ht="15" hidden="false" customHeight="false" outlineLevel="0" collapsed="false">
      <c r="A1" s="6" t="s">
        <v>25</v>
      </c>
    </row>
    <row r="2" customFormat="false" ht="15" hidden="false" customHeight="false" outlineLevel="0" collapsed="false">
      <c r="A2" s="28" t="n">
        <v>1</v>
      </c>
    </row>
    <row r="3" customFormat="false" ht="15" hidden="false" customHeight="false" outlineLevel="0" collapsed="false">
      <c r="A3" s="28" t="n">
        <v>2</v>
      </c>
    </row>
    <row r="4" customFormat="false" ht="15" hidden="false" customHeight="false" outlineLevel="0" collapsed="false">
      <c r="A4" s="28" t="n">
        <v>3</v>
      </c>
    </row>
    <row r="5" customFormat="false" ht="15" hidden="false" customHeight="false" outlineLevel="0" collapsed="false">
      <c r="A5" s="28" t="n">
        <v>4</v>
      </c>
    </row>
    <row r="6" customFormat="false" ht="15" hidden="false" customHeight="false" outlineLevel="0" collapsed="false">
      <c r="A6" s="28" t="n">
        <v>5</v>
      </c>
    </row>
    <row r="7" customFormat="false" ht="15" hidden="false" customHeight="false" outlineLevel="0" collapsed="false">
      <c r="A7" s="28" t="n">
        <v>6</v>
      </c>
    </row>
    <row r="8" customFormat="false" ht="15" hidden="false" customHeight="false" outlineLevel="0" collapsed="false">
      <c r="A8" s="28" t="n">
        <v>7</v>
      </c>
    </row>
    <row r="9" customFormat="false" ht="15" hidden="false" customHeight="false" outlineLevel="0" collapsed="false">
      <c r="A9" s="28" t="n">
        <v>8</v>
      </c>
    </row>
    <row r="10" customFormat="false" ht="15" hidden="false" customHeight="false" outlineLevel="0" collapsed="false">
      <c r="A10" s="28" t="n">
        <v>9</v>
      </c>
    </row>
    <row r="11" customFormat="false" ht="15" hidden="false" customHeight="false" outlineLevel="0" collapsed="false">
      <c r="A11" s="28" t="n">
        <v>10</v>
      </c>
    </row>
    <row r="12" customFormat="false" ht="15" hidden="false" customHeight="false" outlineLevel="0" collapsed="false">
      <c r="A12" s="28" t="n">
        <v>11</v>
      </c>
    </row>
    <row r="13" customFormat="false" ht="15" hidden="false" customHeight="false" outlineLevel="0" collapsed="false">
      <c r="A13" s="28" t="n">
        <v>12</v>
      </c>
    </row>
    <row r="14" customFormat="false" ht="15" hidden="false" customHeight="false" outlineLevel="0" collapsed="false">
      <c r="A14" s="28" t="n">
        <v>13</v>
      </c>
    </row>
    <row r="15" customFormat="false" ht="15" hidden="false" customHeight="false" outlineLevel="0" collapsed="false">
      <c r="A15" s="28" t="n">
        <v>14</v>
      </c>
    </row>
    <row r="16" customFormat="false" ht="15" hidden="false" customHeight="false" outlineLevel="0" collapsed="false">
      <c r="A16" s="28" t="n">
        <v>15</v>
      </c>
    </row>
    <row r="17" customFormat="false" ht="15" hidden="false" customHeight="false" outlineLevel="0" collapsed="false">
      <c r="A17" s="28" t="n">
        <v>16</v>
      </c>
    </row>
    <row r="18" customFormat="false" ht="15" hidden="false" customHeight="false" outlineLevel="0" collapsed="false">
      <c r="A18" s="28" t="n">
        <v>17</v>
      </c>
    </row>
    <row r="19" customFormat="false" ht="15" hidden="false" customHeight="false" outlineLevel="0" collapsed="false">
      <c r="A19" s="28" t="n">
        <v>18</v>
      </c>
    </row>
    <row r="20" customFormat="false" ht="15" hidden="false" customHeight="false" outlineLevel="0" collapsed="false">
      <c r="A20" s="28" t="n">
        <v>19</v>
      </c>
    </row>
    <row r="21" customFormat="false" ht="15" hidden="false" customHeight="false" outlineLevel="0" collapsed="false">
      <c r="A21" s="28" t="n">
        <v>20</v>
      </c>
    </row>
    <row r="22" customFormat="false" ht="15" hidden="false" customHeight="false" outlineLevel="0" collapsed="false">
      <c r="A22" s="28" t="n">
        <v>21</v>
      </c>
    </row>
    <row r="23" customFormat="false" ht="15" hidden="false" customHeight="false" outlineLevel="0" collapsed="false">
      <c r="A23" s="28" t="n">
        <v>22</v>
      </c>
    </row>
    <row r="24" customFormat="false" ht="15" hidden="false" customHeight="false" outlineLevel="0" collapsed="false">
      <c r="A24" s="28" t="n">
        <v>23</v>
      </c>
    </row>
    <row r="25" customFormat="false" ht="15" hidden="false" customHeight="false" outlineLevel="0" collapsed="false">
      <c r="A25" s="28" t="n">
        <v>24</v>
      </c>
    </row>
    <row r="26" customFormat="false" ht="15" hidden="false" customHeight="false" outlineLevel="0" collapsed="false">
      <c r="A26" s="28" t="n">
        <v>25</v>
      </c>
    </row>
    <row r="27" customFormat="false" ht="15" hidden="false" customHeight="false" outlineLevel="0" collapsed="false">
      <c r="A27" s="28" t="n">
        <v>26</v>
      </c>
    </row>
    <row r="28" customFormat="false" ht="15" hidden="false" customHeight="false" outlineLevel="0" collapsed="false">
      <c r="A28" s="28" t="n">
        <v>27</v>
      </c>
    </row>
    <row r="29" customFormat="false" ht="15" hidden="false" customHeight="false" outlineLevel="0" collapsed="false">
      <c r="A29" s="28" t="n">
        <v>28</v>
      </c>
    </row>
    <row r="30" customFormat="false" ht="15" hidden="false" customHeight="false" outlineLevel="0" collapsed="false">
      <c r="A30" s="28" t="n">
        <v>29</v>
      </c>
    </row>
    <row r="31" customFormat="false" ht="15" hidden="false" customHeight="false" outlineLevel="0" collapsed="false">
      <c r="A31" s="28" t="n">
        <v>30</v>
      </c>
    </row>
    <row r="32" customFormat="false" ht="15" hidden="false" customHeight="false" outlineLevel="0" collapsed="false">
      <c r="A32" s="28" t="n">
        <v>31</v>
      </c>
    </row>
    <row r="33" customFormat="false" ht="15" hidden="false" customHeight="false" outlineLevel="0" collapsed="false">
      <c r="A33" s="28" t="n">
        <v>32</v>
      </c>
    </row>
    <row r="34" customFormat="false" ht="15" hidden="false" customHeight="false" outlineLevel="0" collapsed="false">
      <c r="A34" s="28" t="n">
        <v>33</v>
      </c>
    </row>
    <row r="35" customFormat="false" ht="15" hidden="false" customHeight="false" outlineLevel="0" collapsed="false">
      <c r="A35" s="28" t="n">
        <v>34</v>
      </c>
    </row>
    <row r="36" customFormat="false" ht="15" hidden="false" customHeight="false" outlineLevel="0" collapsed="false">
      <c r="A36" s="28" t="n">
        <v>35</v>
      </c>
    </row>
    <row r="37" customFormat="false" ht="15" hidden="false" customHeight="false" outlineLevel="0" collapsed="false">
      <c r="A37" s="28" t="n">
        <v>36</v>
      </c>
    </row>
    <row r="38" customFormat="false" ht="15" hidden="false" customHeight="false" outlineLevel="0" collapsed="false">
      <c r="A38" s="28" t="n">
        <v>37</v>
      </c>
    </row>
    <row r="39" customFormat="false" ht="15" hidden="false" customHeight="false" outlineLevel="0" collapsed="false">
      <c r="A39" s="28" t="n">
        <v>38</v>
      </c>
    </row>
    <row r="40" customFormat="false" ht="15" hidden="false" customHeight="false" outlineLevel="0" collapsed="false">
      <c r="A40" s="28" t="n">
        <v>39</v>
      </c>
    </row>
    <row r="41" customFormat="false" ht="15" hidden="false" customHeight="false" outlineLevel="0" collapsed="false">
      <c r="A41" s="28" t="n">
        <v>40</v>
      </c>
    </row>
    <row r="42" customFormat="false" ht="15" hidden="false" customHeight="false" outlineLevel="0" collapsed="false">
      <c r="A42" s="28" t="n">
        <v>41</v>
      </c>
    </row>
    <row r="43" customFormat="false" ht="15" hidden="false" customHeight="false" outlineLevel="0" collapsed="false">
      <c r="A43" s="28" t="n">
        <v>42</v>
      </c>
    </row>
    <row r="44" customFormat="false" ht="15" hidden="false" customHeight="false" outlineLevel="0" collapsed="false">
      <c r="A44" s="28" t="n">
        <v>43</v>
      </c>
    </row>
    <row r="45" customFormat="false" ht="15" hidden="false" customHeight="false" outlineLevel="0" collapsed="false">
      <c r="A45" s="28" t="n">
        <v>44</v>
      </c>
    </row>
    <row r="46" customFormat="false" ht="15" hidden="false" customHeight="false" outlineLevel="0" collapsed="false">
      <c r="A46" s="28" t="n">
        <v>45</v>
      </c>
    </row>
    <row r="47" customFormat="false" ht="15" hidden="false" customHeight="false" outlineLevel="0" collapsed="false">
      <c r="A47" s="28"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6" min="2" style="1" width="10"/>
    <col collapsed="false" customWidth="true" hidden="false" outlineLevel="0" max="8" min="7" style="1" width="22"/>
  </cols>
  <sheetData>
    <row r="1" customFormat="false" ht="23.85" hidden="false" customHeight="false" outlineLevel="0" collapsed="false">
      <c r="A1" s="29" t="s">
        <v>25</v>
      </c>
      <c r="B1" s="29" t="s">
        <v>210</v>
      </c>
      <c r="C1" s="29" t="s">
        <v>228</v>
      </c>
      <c r="D1" s="29" t="s">
        <v>229</v>
      </c>
      <c r="E1" s="29" t="s">
        <v>230</v>
      </c>
      <c r="F1" s="29" t="s">
        <v>231</v>
      </c>
      <c r="G1" s="29" t="s">
        <v>31</v>
      </c>
      <c r="H1" s="29" t="s">
        <v>232</v>
      </c>
    </row>
    <row r="2" customFormat="false" ht="15" hidden="false" customHeight="false" outlineLevel="0" collapsed="false">
      <c r="A2" s="30" t="n">
        <v>1</v>
      </c>
      <c r="B2" s="30" t="n">
        <v>1</v>
      </c>
      <c r="C2" s="30" t="n">
        <v>5</v>
      </c>
      <c r="D2" s="30" t="n">
        <v>5</v>
      </c>
      <c r="E2" s="30" t="n">
        <v>1</v>
      </c>
      <c r="F2" s="30" t="n">
        <v>1</v>
      </c>
      <c r="G2" s="30" t="s">
        <v>233</v>
      </c>
      <c r="H2" s="30" t="s">
        <v>216</v>
      </c>
    </row>
    <row r="3" customFormat="false" ht="15" hidden="false" customHeight="false" outlineLevel="0" collapsed="false">
      <c r="A3" s="31" t="n">
        <v>1</v>
      </c>
      <c r="B3" s="31" t="n">
        <v>2</v>
      </c>
      <c r="C3" s="31" t="n">
        <v>3</v>
      </c>
      <c r="D3" s="31" t="n">
        <v>3</v>
      </c>
      <c r="E3" s="31" t="n">
        <v>1</v>
      </c>
      <c r="F3" s="31" t="n">
        <v>1</v>
      </c>
      <c r="G3" s="31" t="s">
        <v>233</v>
      </c>
      <c r="H3" s="31" t="s">
        <v>219</v>
      </c>
    </row>
    <row r="4" customFormat="false" ht="15" hidden="false" customHeight="false" outlineLevel="0" collapsed="false">
      <c r="A4" s="32" t="n">
        <v>1</v>
      </c>
      <c r="B4" s="32" t="n">
        <v>3</v>
      </c>
      <c r="C4" s="32" t="n">
        <v>5</v>
      </c>
      <c r="D4" s="32" t="n">
        <v>5</v>
      </c>
      <c r="E4" s="32" t="n">
        <v>1</v>
      </c>
      <c r="F4" s="32" t="n">
        <v>1</v>
      </c>
      <c r="G4" s="32" t="s">
        <v>233</v>
      </c>
      <c r="H4" s="32" t="s">
        <v>222</v>
      </c>
    </row>
    <row r="5" customFormat="false" ht="15" hidden="false" customHeight="false" outlineLevel="0" collapsed="false">
      <c r="A5" s="33" t="n">
        <v>1</v>
      </c>
      <c r="B5" s="33" t="n">
        <v>4</v>
      </c>
      <c r="C5" s="33" t="n">
        <v>15</v>
      </c>
      <c r="D5" s="33" t="n">
        <v>20</v>
      </c>
      <c r="E5" s="33" t="n">
        <v>1</v>
      </c>
      <c r="F5" s="33" t="n">
        <v>1</v>
      </c>
      <c r="G5" s="33" t="s">
        <v>233</v>
      </c>
      <c r="H5" s="33" t="s">
        <v>225</v>
      </c>
    </row>
    <row r="6" customFormat="false" ht="15" hidden="false" customHeight="false" outlineLevel="0" collapsed="false">
      <c r="A6" s="30" t="n">
        <v>2</v>
      </c>
      <c r="B6" s="30" t="n">
        <v>1</v>
      </c>
      <c r="C6" s="30" t="n">
        <v>5</v>
      </c>
      <c r="D6" s="30" t="n">
        <v>5</v>
      </c>
      <c r="E6" s="30" t="n">
        <v>1</v>
      </c>
      <c r="F6" s="30" t="n">
        <v>1</v>
      </c>
      <c r="G6" s="30" t="s">
        <v>233</v>
      </c>
      <c r="H6" s="30" t="s">
        <v>216</v>
      </c>
    </row>
    <row r="7" customFormat="false" ht="15" hidden="false" customHeight="false" outlineLevel="0" collapsed="false">
      <c r="A7" s="31" t="n">
        <v>2</v>
      </c>
      <c r="B7" s="31" t="n">
        <v>2</v>
      </c>
      <c r="C7" s="31" t="n">
        <v>8</v>
      </c>
      <c r="D7" s="31" t="n">
        <v>10</v>
      </c>
      <c r="E7" s="31" t="n">
        <v>1</v>
      </c>
      <c r="F7" s="31" t="n">
        <v>1</v>
      </c>
      <c r="G7" s="31" t="s">
        <v>233</v>
      </c>
      <c r="H7" s="31" t="s">
        <v>219</v>
      </c>
    </row>
    <row r="8" customFormat="false" ht="15" hidden="false" customHeight="false" outlineLevel="0" collapsed="false">
      <c r="A8" s="32" t="n">
        <v>2</v>
      </c>
      <c r="B8" s="32" t="n">
        <v>3</v>
      </c>
      <c r="C8" s="32" t="n">
        <v>8</v>
      </c>
      <c r="D8" s="32" t="n">
        <v>10</v>
      </c>
      <c r="E8" s="32" t="n">
        <v>1</v>
      </c>
      <c r="F8" s="32" t="n">
        <v>1</v>
      </c>
      <c r="G8" s="32" t="s">
        <v>233</v>
      </c>
      <c r="H8" s="32" t="s">
        <v>222</v>
      </c>
    </row>
    <row r="9" customFormat="false" ht="15" hidden="false" customHeight="false" outlineLevel="0" collapsed="false">
      <c r="A9" s="33" t="n">
        <v>2</v>
      </c>
      <c r="B9" s="33" t="n">
        <v>4</v>
      </c>
      <c r="C9" s="33" t="n">
        <v>5</v>
      </c>
      <c r="D9" s="33" t="n">
        <v>5</v>
      </c>
      <c r="E9" s="33" t="n">
        <v>1</v>
      </c>
      <c r="F9" s="33" t="n">
        <v>1</v>
      </c>
      <c r="G9" s="33" t="s">
        <v>233</v>
      </c>
      <c r="H9" s="33" t="s">
        <v>225</v>
      </c>
    </row>
    <row r="10" customFormat="false" ht="15" hidden="false" customHeight="false" outlineLevel="0" collapsed="false">
      <c r="A10" s="30" t="n">
        <v>3</v>
      </c>
      <c r="B10" s="30" t="n">
        <v>1</v>
      </c>
      <c r="C10" s="30" t="n">
        <v>5</v>
      </c>
      <c r="D10" s="30" t="n">
        <v>5</v>
      </c>
      <c r="E10" s="30" t="n">
        <v>1</v>
      </c>
      <c r="F10" s="30" t="n">
        <v>1</v>
      </c>
      <c r="G10" s="30" t="s">
        <v>233</v>
      </c>
      <c r="H10" s="30" t="s">
        <v>216</v>
      </c>
    </row>
    <row r="11" customFormat="false" ht="15" hidden="false" customHeight="false" outlineLevel="0" collapsed="false">
      <c r="A11" s="31" t="n">
        <v>3</v>
      </c>
      <c r="B11" s="31" t="n">
        <v>2</v>
      </c>
      <c r="C11" s="31" t="n">
        <v>8</v>
      </c>
      <c r="D11" s="31" t="n">
        <v>10</v>
      </c>
      <c r="E11" s="31" t="n">
        <v>1</v>
      </c>
      <c r="F11" s="31" t="n">
        <v>1</v>
      </c>
      <c r="G11" s="31" t="s">
        <v>233</v>
      </c>
      <c r="H11" s="31" t="s">
        <v>219</v>
      </c>
    </row>
    <row r="12" customFormat="false" ht="15" hidden="false" customHeight="false" outlineLevel="0" collapsed="false">
      <c r="A12" s="32" t="n">
        <v>3</v>
      </c>
      <c r="B12" s="32" t="n">
        <v>3</v>
      </c>
      <c r="C12" s="32" t="n">
        <v>5</v>
      </c>
      <c r="D12" s="32" t="n">
        <v>5</v>
      </c>
      <c r="E12" s="32" t="n">
        <v>1</v>
      </c>
      <c r="F12" s="32" t="n">
        <v>1</v>
      </c>
      <c r="G12" s="32" t="s">
        <v>233</v>
      </c>
      <c r="H12" s="32" t="s">
        <v>222</v>
      </c>
    </row>
    <row r="13" customFormat="false" ht="15" hidden="false" customHeight="false" outlineLevel="0" collapsed="false">
      <c r="A13" s="33" t="n">
        <v>3</v>
      </c>
      <c r="B13" s="33" t="n">
        <v>4</v>
      </c>
      <c r="C13" s="33" t="n">
        <v>8</v>
      </c>
      <c r="D13" s="33" t="n">
        <v>10</v>
      </c>
      <c r="E13" s="33" t="n">
        <v>1</v>
      </c>
      <c r="F13" s="33" t="n">
        <v>1</v>
      </c>
      <c r="G13" s="33" t="s">
        <v>233</v>
      </c>
      <c r="H13" s="33" t="s">
        <v>225</v>
      </c>
    </row>
    <row r="14" customFormat="false" ht="15" hidden="false" customHeight="false" outlineLevel="0" collapsed="false">
      <c r="A14" s="30" t="n">
        <v>4</v>
      </c>
      <c r="B14" s="30" t="n">
        <v>1</v>
      </c>
      <c r="C14" s="30" t="n">
        <v>5</v>
      </c>
      <c r="D14" s="30" t="n">
        <v>5</v>
      </c>
      <c r="E14" s="30" t="n">
        <v>1</v>
      </c>
      <c r="F14" s="30" t="n">
        <v>1</v>
      </c>
      <c r="G14" s="30" t="s">
        <v>233</v>
      </c>
      <c r="H14" s="30" t="s">
        <v>216</v>
      </c>
    </row>
    <row r="15" customFormat="false" ht="15" hidden="false" customHeight="false" outlineLevel="0" collapsed="false">
      <c r="A15" s="31" t="n">
        <v>4</v>
      </c>
      <c r="B15" s="31" t="n">
        <v>2</v>
      </c>
      <c r="C15" s="31" t="n">
        <v>10</v>
      </c>
      <c r="D15" s="31" t="n">
        <v>12</v>
      </c>
      <c r="E15" s="31" t="n">
        <v>1</v>
      </c>
      <c r="F15" s="31" t="n">
        <v>1</v>
      </c>
      <c r="G15" s="31" t="s">
        <v>233</v>
      </c>
      <c r="H15" s="31" t="s">
        <v>219</v>
      </c>
    </row>
    <row r="16" customFormat="false" ht="15" hidden="false" customHeight="false" outlineLevel="0" collapsed="false">
      <c r="A16" s="32" t="n">
        <v>4</v>
      </c>
      <c r="B16" s="32" t="n">
        <v>3</v>
      </c>
      <c r="C16" s="32" t="n">
        <v>5</v>
      </c>
      <c r="D16" s="32" t="n">
        <v>5</v>
      </c>
      <c r="E16" s="32" t="n">
        <v>1</v>
      </c>
      <c r="F16" s="32" t="n">
        <v>1</v>
      </c>
      <c r="G16" s="32" t="s">
        <v>233</v>
      </c>
      <c r="H16" s="32" t="s">
        <v>222</v>
      </c>
    </row>
    <row r="17" customFormat="false" ht="15" hidden="false" customHeight="false" outlineLevel="0" collapsed="false">
      <c r="A17" s="33" t="n">
        <v>4</v>
      </c>
      <c r="B17" s="33" t="n">
        <v>4</v>
      </c>
      <c r="C17" s="33" t="n">
        <v>8</v>
      </c>
      <c r="D17" s="33" t="n">
        <v>10</v>
      </c>
      <c r="E17" s="33" t="n">
        <v>1</v>
      </c>
      <c r="F17" s="33" t="n">
        <v>1</v>
      </c>
      <c r="G17" s="33" t="s">
        <v>233</v>
      </c>
      <c r="H17" s="33" t="s">
        <v>225</v>
      </c>
    </row>
    <row r="18" customFormat="false" ht="15" hidden="false" customHeight="false" outlineLevel="0" collapsed="false">
      <c r="A18" s="30" t="n">
        <v>5</v>
      </c>
      <c r="B18" s="30" t="n">
        <v>1</v>
      </c>
      <c r="C18" s="30" t="n">
        <v>3</v>
      </c>
      <c r="D18" s="30" t="n">
        <v>3</v>
      </c>
      <c r="E18" s="30" t="n">
        <v>1</v>
      </c>
      <c r="F18" s="30" t="n">
        <v>1</v>
      </c>
      <c r="G18" s="30" t="s">
        <v>233</v>
      </c>
      <c r="H18" s="30" t="s">
        <v>216</v>
      </c>
    </row>
    <row r="19" customFormat="false" ht="15" hidden="false" customHeight="false" outlineLevel="0" collapsed="false">
      <c r="A19" s="31" t="n">
        <v>5</v>
      </c>
      <c r="B19" s="31" t="n">
        <v>2</v>
      </c>
      <c r="C19" s="31" t="n">
        <v>5</v>
      </c>
      <c r="D19" s="31" t="n">
        <v>5</v>
      </c>
      <c r="E19" s="31" t="n">
        <v>1</v>
      </c>
      <c r="F19" s="31" t="n">
        <v>1</v>
      </c>
      <c r="G19" s="31" t="s">
        <v>233</v>
      </c>
      <c r="H19" s="31" t="s">
        <v>219</v>
      </c>
    </row>
    <row r="20" customFormat="false" ht="15" hidden="false" customHeight="false" outlineLevel="0" collapsed="false">
      <c r="A20" s="32" t="n">
        <v>5</v>
      </c>
      <c r="B20" s="32" t="n">
        <v>3</v>
      </c>
      <c r="C20" s="32" t="n">
        <v>5</v>
      </c>
      <c r="D20" s="32" t="n">
        <v>5</v>
      </c>
      <c r="E20" s="32" t="n">
        <v>1</v>
      </c>
      <c r="F20" s="32" t="n">
        <v>1</v>
      </c>
      <c r="G20" s="32" t="s">
        <v>233</v>
      </c>
      <c r="H20" s="32" t="s">
        <v>222</v>
      </c>
    </row>
    <row r="21" customFormat="false" ht="15" hidden="false" customHeight="false" outlineLevel="0" collapsed="false">
      <c r="A21" s="33" t="n">
        <v>5</v>
      </c>
      <c r="B21" s="33" t="n">
        <v>4</v>
      </c>
      <c r="C21" s="33" t="n">
        <v>12</v>
      </c>
      <c r="D21" s="33" t="n">
        <v>15</v>
      </c>
      <c r="E21" s="33" t="n">
        <v>1</v>
      </c>
      <c r="F21" s="33" t="n">
        <v>1</v>
      </c>
      <c r="G21" s="33" t="s">
        <v>233</v>
      </c>
      <c r="H21" s="33" t="s">
        <v>225</v>
      </c>
    </row>
    <row r="22" customFormat="false" ht="15" hidden="false" customHeight="false" outlineLevel="0" collapsed="false">
      <c r="A22" s="30" t="n">
        <v>6</v>
      </c>
      <c r="B22" s="30" t="n">
        <v>1</v>
      </c>
      <c r="C22" s="30" t="n">
        <v>5</v>
      </c>
      <c r="D22" s="30" t="n">
        <v>5</v>
      </c>
      <c r="E22" s="30" t="n">
        <v>1</v>
      </c>
      <c r="F22" s="30" t="n">
        <v>1</v>
      </c>
      <c r="G22" s="30" t="s">
        <v>233</v>
      </c>
      <c r="H22" s="30" t="s">
        <v>216</v>
      </c>
    </row>
    <row r="23" customFormat="false" ht="15" hidden="false" customHeight="false" outlineLevel="0" collapsed="false">
      <c r="A23" s="31" t="n">
        <v>6</v>
      </c>
      <c r="B23" s="31" t="n">
        <v>2</v>
      </c>
      <c r="C23" s="31" t="n">
        <v>3</v>
      </c>
      <c r="D23" s="31" t="n">
        <v>3</v>
      </c>
      <c r="E23" s="31" t="n">
        <v>1</v>
      </c>
      <c r="F23" s="31" t="n">
        <v>1</v>
      </c>
      <c r="G23" s="31" t="s">
        <v>233</v>
      </c>
      <c r="H23" s="31" t="s">
        <v>219</v>
      </c>
    </row>
    <row r="24" customFormat="false" ht="15" hidden="false" customHeight="false" outlineLevel="0" collapsed="false">
      <c r="A24" s="32" t="n">
        <v>6</v>
      </c>
      <c r="B24" s="32" t="n">
        <v>3</v>
      </c>
      <c r="C24" s="32" t="n">
        <v>5</v>
      </c>
      <c r="D24" s="32" t="n">
        <v>5</v>
      </c>
      <c r="E24" s="32" t="n">
        <v>1</v>
      </c>
      <c r="F24" s="32" t="n">
        <v>1</v>
      </c>
      <c r="G24" s="32" t="s">
        <v>233</v>
      </c>
      <c r="H24" s="32" t="s">
        <v>222</v>
      </c>
    </row>
    <row r="25" customFormat="false" ht="15" hidden="false" customHeight="false" outlineLevel="0" collapsed="false">
      <c r="A25" s="33" t="n">
        <v>6</v>
      </c>
      <c r="B25" s="33" t="n">
        <v>4</v>
      </c>
      <c r="C25" s="33" t="n">
        <v>10</v>
      </c>
      <c r="D25" s="33" t="n">
        <v>12</v>
      </c>
      <c r="E25" s="33" t="n">
        <v>1</v>
      </c>
      <c r="F25" s="33" t="n">
        <v>1</v>
      </c>
      <c r="G25" s="33" t="s">
        <v>233</v>
      </c>
      <c r="H25" s="33" t="s">
        <v>225</v>
      </c>
    </row>
    <row r="26" customFormat="false" ht="15" hidden="false" customHeight="false" outlineLevel="0" collapsed="false">
      <c r="A26" s="30" t="n">
        <v>7</v>
      </c>
      <c r="B26" s="30" t="n">
        <v>1</v>
      </c>
      <c r="C26" s="30" t="n">
        <v>10</v>
      </c>
      <c r="D26" s="30" t="n">
        <v>12</v>
      </c>
      <c r="E26" s="30" t="n">
        <v>1</v>
      </c>
      <c r="F26" s="30" t="n">
        <v>1</v>
      </c>
      <c r="G26" s="30" t="s">
        <v>233</v>
      </c>
      <c r="H26" s="30" t="s">
        <v>216</v>
      </c>
    </row>
    <row r="27" customFormat="false" ht="15" hidden="false" customHeight="false" outlineLevel="0" collapsed="false">
      <c r="A27" s="31" t="n">
        <v>7</v>
      </c>
      <c r="B27" s="31" t="n">
        <v>2</v>
      </c>
      <c r="C27" s="31" t="n">
        <v>3</v>
      </c>
      <c r="D27" s="31" t="n">
        <v>3</v>
      </c>
      <c r="E27" s="31" t="n">
        <v>1</v>
      </c>
      <c r="F27" s="31" t="n">
        <v>1</v>
      </c>
      <c r="G27" s="31" t="s">
        <v>233</v>
      </c>
      <c r="H27" s="31" t="s">
        <v>219</v>
      </c>
    </row>
    <row r="28" customFormat="false" ht="15" hidden="false" customHeight="false" outlineLevel="0" collapsed="false">
      <c r="A28" s="32" t="n">
        <v>7</v>
      </c>
      <c r="B28" s="32" t="n">
        <v>3</v>
      </c>
      <c r="C28" s="32" t="n">
        <v>5</v>
      </c>
      <c r="D28" s="32" t="n">
        <v>5</v>
      </c>
      <c r="E28" s="32" t="n">
        <v>1</v>
      </c>
      <c r="F28" s="32" t="n">
        <v>1</v>
      </c>
      <c r="G28" s="32" t="s">
        <v>233</v>
      </c>
      <c r="H28" s="32" t="s">
        <v>222</v>
      </c>
    </row>
    <row r="29" customFormat="false" ht="15" hidden="false" customHeight="false" outlineLevel="0" collapsed="false">
      <c r="A29" s="33" t="n">
        <v>7</v>
      </c>
      <c r="B29" s="33" t="n">
        <v>4</v>
      </c>
      <c r="C29" s="33" t="n">
        <v>8</v>
      </c>
      <c r="D29" s="33" t="n">
        <v>10</v>
      </c>
      <c r="E29" s="33" t="n">
        <v>1</v>
      </c>
      <c r="F29" s="33" t="n">
        <v>1</v>
      </c>
      <c r="G29" s="33" t="s">
        <v>233</v>
      </c>
      <c r="H29" s="33" t="s">
        <v>225</v>
      </c>
    </row>
    <row r="30" customFormat="false" ht="15" hidden="false" customHeight="false" outlineLevel="0" collapsed="false">
      <c r="A30" s="30" t="n">
        <v>8</v>
      </c>
      <c r="B30" s="30" t="n">
        <v>1</v>
      </c>
      <c r="C30" s="30" t="n">
        <v>5</v>
      </c>
      <c r="D30" s="30" t="n">
        <v>5</v>
      </c>
      <c r="E30" s="30" t="n">
        <v>1</v>
      </c>
      <c r="F30" s="30" t="n">
        <v>1</v>
      </c>
      <c r="G30" s="30" t="s">
        <v>233</v>
      </c>
      <c r="H30" s="30" t="s">
        <v>216</v>
      </c>
    </row>
    <row r="31" customFormat="false" ht="15" hidden="false" customHeight="false" outlineLevel="0" collapsed="false">
      <c r="A31" s="31" t="n">
        <v>8</v>
      </c>
      <c r="B31" s="31" t="n">
        <v>2</v>
      </c>
      <c r="C31" s="31" t="n">
        <v>8</v>
      </c>
      <c r="D31" s="31" t="n">
        <v>10</v>
      </c>
      <c r="E31" s="31" t="n">
        <v>1</v>
      </c>
      <c r="F31" s="31" t="n">
        <v>1</v>
      </c>
      <c r="G31" s="31" t="s">
        <v>233</v>
      </c>
      <c r="H31" s="31" t="s">
        <v>219</v>
      </c>
    </row>
    <row r="32" customFormat="false" ht="15" hidden="false" customHeight="false" outlineLevel="0" collapsed="false">
      <c r="A32" s="32" t="n">
        <v>8</v>
      </c>
      <c r="B32" s="32" t="n">
        <v>3</v>
      </c>
      <c r="C32" s="32" t="n">
        <v>8</v>
      </c>
      <c r="D32" s="32" t="n">
        <v>10</v>
      </c>
      <c r="E32" s="32" t="n">
        <v>1</v>
      </c>
      <c r="F32" s="32" t="n">
        <v>1</v>
      </c>
      <c r="G32" s="32" t="s">
        <v>233</v>
      </c>
      <c r="H32" s="32" t="s">
        <v>222</v>
      </c>
    </row>
    <row r="33" customFormat="false" ht="15" hidden="false" customHeight="false" outlineLevel="0" collapsed="false">
      <c r="A33" s="33" t="n">
        <v>8</v>
      </c>
      <c r="B33" s="33" t="n">
        <v>4</v>
      </c>
      <c r="C33" s="33" t="n">
        <v>5</v>
      </c>
      <c r="D33" s="33" t="n">
        <v>5</v>
      </c>
      <c r="E33" s="33" t="n">
        <v>1</v>
      </c>
      <c r="F33" s="33" t="n">
        <v>1</v>
      </c>
      <c r="G33" s="33" t="s">
        <v>233</v>
      </c>
      <c r="H33" s="33" t="s">
        <v>225</v>
      </c>
    </row>
    <row r="34" customFormat="false" ht="15" hidden="false" customHeight="false" outlineLevel="0" collapsed="false">
      <c r="A34" s="30" t="n">
        <v>9</v>
      </c>
      <c r="B34" s="30" t="n">
        <v>1</v>
      </c>
      <c r="C34" s="30" t="n">
        <v>3</v>
      </c>
      <c r="D34" s="30" t="n">
        <v>3</v>
      </c>
      <c r="E34" s="30" t="n">
        <v>1</v>
      </c>
      <c r="F34" s="30" t="n">
        <v>1</v>
      </c>
      <c r="G34" s="30" t="s">
        <v>233</v>
      </c>
      <c r="H34" s="30" t="s">
        <v>216</v>
      </c>
    </row>
    <row r="35" customFormat="false" ht="15" hidden="false" customHeight="false" outlineLevel="0" collapsed="false">
      <c r="A35" s="31" t="n">
        <v>9</v>
      </c>
      <c r="B35" s="31" t="n">
        <v>2</v>
      </c>
      <c r="C35" s="31" t="n">
        <v>8</v>
      </c>
      <c r="D35" s="31" t="n">
        <v>10</v>
      </c>
      <c r="E35" s="31" t="n">
        <v>1</v>
      </c>
      <c r="F35" s="31" t="n">
        <v>1</v>
      </c>
      <c r="G35" s="31" t="s">
        <v>233</v>
      </c>
      <c r="H35" s="31" t="s">
        <v>219</v>
      </c>
    </row>
    <row r="36" customFormat="false" ht="15" hidden="false" customHeight="false" outlineLevel="0" collapsed="false">
      <c r="A36" s="32" t="n">
        <v>9</v>
      </c>
      <c r="B36" s="32" t="n">
        <v>3</v>
      </c>
      <c r="C36" s="32" t="n">
        <v>5</v>
      </c>
      <c r="D36" s="32" t="n">
        <v>5</v>
      </c>
      <c r="E36" s="32" t="n">
        <v>1</v>
      </c>
      <c r="F36" s="32" t="n">
        <v>1</v>
      </c>
      <c r="G36" s="32" t="s">
        <v>233</v>
      </c>
      <c r="H36" s="32" t="s">
        <v>222</v>
      </c>
    </row>
    <row r="37" customFormat="false" ht="15" hidden="false" customHeight="false" outlineLevel="0" collapsed="false">
      <c r="A37" s="33" t="n">
        <v>9</v>
      </c>
      <c r="B37" s="33" t="n">
        <v>4</v>
      </c>
      <c r="C37" s="33" t="n">
        <v>5</v>
      </c>
      <c r="D37" s="33" t="n">
        <v>5</v>
      </c>
      <c r="E37" s="33" t="n">
        <v>1</v>
      </c>
      <c r="F37" s="33" t="n">
        <v>1</v>
      </c>
      <c r="G37" s="33" t="s">
        <v>233</v>
      </c>
      <c r="H37" s="33" t="s">
        <v>225</v>
      </c>
    </row>
    <row r="38" customFormat="false" ht="15" hidden="false" customHeight="false" outlineLevel="0" collapsed="false">
      <c r="A38" s="30" t="n">
        <v>10</v>
      </c>
      <c r="B38" s="30" t="n">
        <v>1</v>
      </c>
      <c r="C38" s="30" t="n">
        <v>5</v>
      </c>
      <c r="D38" s="30" t="n">
        <v>5</v>
      </c>
      <c r="E38" s="30" t="n">
        <v>1</v>
      </c>
      <c r="F38" s="30" t="n">
        <v>1</v>
      </c>
      <c r="G38" s="30" t="s">
        <v>233</v>
      </c>
      <c r="H38" s="30" t="s">
        <v>216</v>
      </c>
    </row>
    <row r="39" customFormat="false" ht="15" hidden="false" customHeight="false" outlineLevel="0" collapsed="false">
      <c r="A39" s="31" t="n">
        <v>10</v>
      </c>
      <c r="B39" s="31" t="n">
        <v>2</v>
      </c>
      <c r="C39" s="31" t="n">
        <v>5</v>
      </c>
      <c r="D39" s="31" t="n">
        <v>5</v>
      </c>
      <c r="E39" s="31" t="n">
        <v>1</v>
      </c>
      <c r="F39" s="31" t="n">
        <v>1</v>
      </c>
      <c r="G39" s="31" t="s">
        <v>233</v>
      </c>
      <c r="H39" s="31" t="s">
        <v>219</v>
      </c>
    </row>
    <row r="40" customFormat="false" ht="15" hidden="false" customHeight="false" outlineLevel="0" collapsed="false">
      <c r="A40" s="32" t="n">
        <v>10</v>
      </c>
      <c r="B40" s="32" t="n">
        <v>3</v>
      </c>
      <c r="C40" s="32" t="n">
        <v>8</v>
      </c>
      <c r="D40" s="32" t="n">
        <v>10</v>
      </c>
      <c r="E40" s="32" t="n">
        <v>1</v>
      </c>
      <c r="F40" s="32" t="n">
        <v>1</v>
      </c>
      <c r="G40" s="32" t="s">
        <v>233</v>
      </c>
      <c r="H40" s="32" t="s">
        <v>222</v>
      </c>
    </row>
    <row r="41" customFormat="false" ht="15" hidden="false" customHeight="false" outlineLevel="0" collapsed="false">
      <c r="A41" s="33" t="n">
        <v>10</v>
      </c>
      <c r="B41" s="33" t="n">
        <v>4</v>
      </c>
      <c r="C41" s="33" t="n">
        <v>12</v>
      </c>
      <c r="D41" s="33" t="n">
        <v>15</v>
      </c>
      <c r="E41" s="33" t="n">
        <v>1</v>
      </c>
      <c r="F41" s="33" t="n">
        <v>1</v>
      </c>
      <c r="G41" s="33" t="s">
        <v>233</v>
      </c>
      <c r="H41" s="33" t="s">
        <v>225</v>
      </c>
    </row>
    <row r="42" customFormat="false" ht="15" hidden="false" customHeight="false" outlineLevel="0" collapsed="false">
      <c r="A42" s="30" t="n">
        <v>11</v>
      </c>
      <c r="B42" s="30" t="n">
        <v>1</v>
      </c>
      <c r="C42" s="30" t="n">
        <v>3</v>
      </c>
      <c r="D42" s="30" t="n">
        <v>3</v>
      </c>
      <c r="E42" s="30" t="n">
        <v>1</v>
      </c>
      <c r="F42" s="30" t="n">
        <v>1</v>
      </c>
      <c r="G42" s="30" t="s">
        <v>233</v>
      </c>
      <c r="H42" s="30" t="s">
        <v>216</v>
      </c>
    </row>
    <row r="43" customFormat="false" ht="15" hidden="false" customHeight="false" outlineLevel="0" collapsed="false">
      <c r="A43" s="31" t="n">
        <v>11</v>
      </c>
      <c r="B43" s="31" t="n">
        <v>2</v>
      </c>
      <c r="C43" s="31" t="n">
        <v>8</v>
      </c>
      <c r="D43" s="31" t="n">
        <v>10</v>
      </c>
      <c r="E43" s="31" t="n">
        <v>1</v>
      </c>
      <c r="F43" s="31" t="n">
        <v>1</v>
      </c>
      <c r="G43" s="31" t="s">
        <v>233</v>
      </c>
      <c r="H43" s="31" t="s">
        <v>219</v>
      </c>
    </row>
    <row r="44" customFormat="false" ht="15" hidden="false" customHeight="false" outlineLevel="0" collapsed="false">
      <c r="A44" s="32" t="n">
        <v>11</v>
      </c>
      <c r="B44" s="32" t="n">
        <v>3</v>
      </c>
      <c r="C44" s="32" t="n">
        <v>5</v>
      </c>
      <c r="D44" s="32" t="n">
        <v>5</v>
      </c>
      <c r="E44" s="32" t="n">
        <v>1</v>
      </c>
      <c r="F44" s="32" t="n">
        <v>1</v>
      </c>
      <c r="G44" s="32" t="s">
        <v>233</v>
      </c>
      <c r="H44" s="32" t="s">
        <v>222</v>
      </c>
    </row>
    <row r="45" customFormat="false" ht="15" hidden="false" customHeight="false" outlineLevel="0" collapsed="false">
      <c r="A45" s="33" t="n">
        <v>11</v>
      </c>
      <c r="B45" s="33" t="n">
        <v>4</v>
      </c>
      <c r="C45" s="33" t="n">
        <v>8</v>
      </c>
      <c r="D45" s="33" t="n">
        <v>10</v>
      </c>
      <c r="E45" s="33" t="n">
        <v>1</v>
      </c>
      <c r="F45" s="33" t="n">
        <v>1</v>
      </c>
      <c r="G45" s="33" t="s">
        <v>233</v>
      </c>
      <c r="H45" s="33" t="s">
        <v>225</v>
      </c>
    </row>
    <row r="46" customFormat="false" ht="15" hidden="false" customHeight="false" outlineLevel="0" collapsed="false">
      <c r="A46" s="30" t="n">
        <v>12</v>
      </c>
      <c r="B46" s="30" t="n">
        <v>1</v>
      </c>
      <c r="C46" s="30" t="n">
        <v>5</v>
      </c>
      <c r="D46" s="30" t="n">
        <v>5</v>
      </c>
      <c r="E46" s="30" t="n">
        <v>1</v>
      </c>
      <c r="F46" s="30" t="n">
        <v>1</v>
      </c>
      <c r="G46" s="30" t="s">
        <v>233</v>
      </c>
      <c r="H46" s="30" t="s">
        <v>216</v>
      </c>
    </row>
    <row r="47" customFormat="false" ht="15" hidden="false" customHeight="false" outlineLevel="0" collapsed="false">
      <c r="A47" s="31" t="n">
        <v>12</v>
      </c>
      <c r="B47" s="31" t="n">
        <v>2</v>
      </c>
      <c r="C47" s="31" t="n">
        <v>5</v>
      </c>
      <c r="D47" s="31" t="n">
        <v>5</v>
      </c>
      <c r="E47" s="31" t="n">
        <v>1</v>
      </c>
      <c r="F47" s="31" t="n">
        <v>1</v>
      </c>
      <c r="G47" s="31" t="s">
        <v>233</v>
      </c>
      <c r="H47" s="31" t="s">
        <v>219</v>
      </c>
    </row>
    <row r="48" customFormat="false" ht="15" hidden="false" customHeight="false" outlineLevel="0" collapsed="false">
      <c r="A48" s="32" t="n">
        <v>12</v>
      </c>
      <c r="B48" s="32" t="n">
        <v>3</v>
      </c>
      <c r="C48" s="32" t="n">
        <v>8</v>
      </c>
      <c r="D48" s="32" t="n">
        <v>10</v>
      </c>
      <c r="E48" s="32" t="n">
        <v>1</v>
      </c>
      <c r="F48" s="32" t="n">
        <v>1</v>
      </c>
      <c r="G48" s="32" t="s">
        <v>233</v>
      </c>
      <c r="H48" s="32" t="s">
        <v>222</v>
      </c>
    </row>
    <row r="49" customFormat="false" ht="15" hidden="false" customHeight="false" outlineLevel="0" collapsed="false">
      <c r="A49" s="33" t="n">
        <v>12</v>
      </c>
      <c r="B49" s="33" t="n">
        <v>4</v>
      </c>
      <c r="C49" s="33" t="n">
        <v>5</v>
      </c>
      <c r="D49" s="33" t="n">
        <v>5</v>
      </c>
      <c r="E49" s="33" t="n">
        <v>1</v>
      </c>
      <c r="F49" s="33" t="n">
        <v>1</v>
      </c>
      <c r="G49" s="33" t="s">
        <v>233</v>
      </c>
      <c r="H49" s="33" t="s">
        <v>225</v>
      </c>
    </row>
    <row r="50" customFormat="false" ht="15" hidden="false" customHeight="false" outlineLevel="0" collapsed="false">
      <c r="A50" s="30" t="n">
        <v>13</v>
      </c>
      <c r="B50" s="30" t="n">
        <v>1</v>
      </c>
      <c r="C50" s="30" t="n">
        <v>5</v>
      </c>
      <c r="D50" s="30" t="n">
        <v>5</v>
      </c>
      <c r="E50" s="30" t="n">
        <v>1</v>
      </c>
      <c r="F50" s="30" t="n">
        <v>1</v>
      </c>
      <c r="G50" s="30" t="s">
        <v>233</v>
      </c>
      <c r="H50" s="30" t="s">
        <v>216</v>
      </c>
    </row>
    <row r="51" customFormat="false" ht="15" hidden="false" customHeight="false" outlineLevel="0" collapsed="false">
      <c r="A51" s="31" t="n">
        <v>13</v>
      </c>
      <c r="B51" s="31" t="n">
        <v>2</v>
      </c>
      <c r="C51" s="31" t="n">
        <v>10</v>
      </c>
      <c r="D51" s="31" t="n">
        <v>12</v>
      </c>
      <c r="E51" s="31" t="n">
        <v>1</v>
      </c>
      <c r="F51" s="31" t="n">
        <v>1</v>
      </c>
      <c r="G51" s="31" t="s">
        <v>233</v>
      </c>
      <c r="H51" s="31" t="s">
        <v>219</v>
      </c>
    </row>
    <row r="52" customFormat="false" ht="15" hidden="false" customHeight="false" outlineLevel="0" collapsed="false">
      <c r="A52" s="32" t="n">
        <v>13</v>
      </c>
      <c r="B52" s="32" t="n">
        <v>3</v>
      </c>
      <c r="C52" s="32" t="n">
        <v>5</v>
      </c>
      <c r="D52" s="32" t="n">
        <v>5</v>
      </c>
      <c r="E52" s="32" t="n">
        <v>1</v>
      </c>
      <c r="F52" s="32" t="n">
        <v>1</v>
      </c>
      <c r="G52" s="32" t="s">
        <v>233</v>
      </c>
      <c r="H52" s="32" t="s">
        <v>222</v>
      </c>
    </row>
    <row r="53" customFormat="false" ht="15" hidden="false" customHeight="false" outlineLevel="0" collapsed="false">
      <c r="A53" s="33" t="n">
        <v>13</v>
      </c>
      <c r="B53" s="33" t="n">
        <v>4</v>
      </c>
      <c r="C53" s="33" t="n">
        <v>15</v>
      </c>
      <c r="D53" s="33" t="n">
        <v>18</v>
      </c>
      <c r="E53" s="33" t="n">
        <v>1</v>
      </c>
      <c r="F53" s="33" t="n">
        <v>1</v>
      </c>
      <c r="G53" s="33" t="s">
        <v>233</v>
      </c>
      <c r="H53" s="33" t="s">
        <v>225</v>
      </c>
    </row>
    <row r="54" customFormat="false" ht="15" hidden="false" customHeight="false" outlineLevel="0" collapsed="false">
      <c r="A54" s="30" t="n">
        <v>14</v>
      </c>
      <c r="B54" s="30" t="n">
        <v>1</v>
      </c>
      <c r="C54" s="30" t="n">
        <v>5</v>
      </c>
      <c r="D54" s="30" t="n">
        <v>5</v>
      </c>
      <c r="E54" s="30" t="n">
        <v>1</v>
      </c>
      <c r="F54" s="30" t="n">
        <v>1</v>
      </c>
      <c r="G54" s="30" t="s">
        <v>233</v>
      </c>
      <c r="H54" s="30" t="s">
        <v>216</v>
      </c>
    </row>
    <row r="55" customFormat="false" ht="15" hidden="false" customHeight="false" outlineLevel="0" collapsed="false">
      <c r="A55" s="31" t="n">
        <v>14</v>
      </c>
      <c r="B55" s="31" t="n">
        <v>2</v>
      </c>
      <c r="C55" s="31" t="n">
        <v>5</v>
      </c>
      <c r="D55" s="31" t="n">
        <v>5</v>
      </c>
      <c r="E55" s="31" t="n">
        <v>1</v>
      </c>
      <c r="F55" s="31" t="n">
        <v>1</v>
      </c>
      <c r="G55" s="31" t="s">
        <v>233</v>
      </c>
      <c r="H55" s="31" t="s">
        <v>219</v>
      </c>
    </row>
    <row r="56" customFormat="false" ht="15" hidden="false" customHeight="false" outlineLevel="0" collapsed="false">
      <c r="A56" s="32" t="n">
        <v>14</v>
      </c>
      <c r="B56" s="32" t="n">
        <v>3</v>
      </c>
      <c r="C56" s="32" t="n">
        <v>5</v>
      </c>
      <c r="D56" s="32" t="n">
        <v>5</v>
      </c>
      <c r="E56" s="32" t="n">
        <v>1</v>
      </c>
      <c r="F56" s="32" t="n">
        <v>1</v>
      </c>
      <c r="G56" s="32" t="s">
        <v>233</v>
      </c>
      <c r="H56" s="32" t="s">
        <v>222</v>
      </c>
    </row>
    <row r="57" customFormat="false" ht="15" hidden="false" customHeight="false" outlineLevel="0" collapsed="false">
      <c r="A57" s="33" t="n">
        <v>14</v>
      </c>
      <c r="B57" s="33" t="n">
        <v>4</v>
      </c>
      <c r="C57" s="33" t="n">
        <v>18</v>
      </c>
      <c r="D57" s="33" t="n">
        <v>22</v>
      </c>
      <c r="E57" s="33" t="n">
        <v>1</v>
      </c>
      <c r="F57" s="33" t="n">
        <v>1</v>
      </c>
      <c r="G57" s="33" t="s">
        <v>233</v>
      </c>
      <c r="H57" s="33" t="s">
        <v>225</v>
      </c>
    </row>
    <row r="58" customFormat="false" ht="15" hidden="false" customHeight="false" outlineLevel="0" collapsed="false">
      <c r="A58" s="30" t="n">
        <v>15</v>
      </c>
      <c r="B58" s="30" t="n">
        <v>1</v>
      </c>
      <c r="C58" s="30" t="n">
        <v>8</v>
      </c>
      <c r="D58" s="30" t="n">
        <v>10</v>
      </c>
      <c r="E58" s="30" t="n">
        <v>1</v>
      </c>
      <c r="F58" s="30" t="n">
        <v>1</v>
      </c>
      <c r="G58" s="30" t="s">
        <v>233</v>
      </c>
      <c r="H58" s="30" t="s">
        <v>216</v>
      </c>
    </row>
    <row r="59" customFormat="false" ht="15" hidden="false" customHeight="false" outlineLevel="0" collapsed="false">
      <c r="A59" s="31" t="n">
        <v>15</v>
      </c>
      <c r="B59" s="31" t="n">
        <v>2</v>
      </c>
      <c r="C59" s="31" t="n">
        <v>3</v>
      </c>
      <c r="D59" s="31" t="n">
        <v>3</v>
      </c>
      <c r="E59" s="31" t="n">
        <v>1</v>
      </c>
      <c r="F59" s="31" t="n">
        <v>1</v>
      </c>
      <c r="G59" s="31" t="s">
        <v>233</v>
      </c>
      <c r="H59" s="31" t="s">
        <v>219</v>
      </c>
    </row>
    <row r="60" customFormat="false" ht="15" hidden="false" customHeight="false" outlineLevel="0" collapsed="false">
      <c r="A60" s="32" t="n">
        <v>15</v>
      </c>
      <c r="B60" s="32" t="n">
        <v>3</v>
      </c>
      <c r="C60" s="32" t="n">
        <v>5</v>
      </c>
      <c r="D60" s="32" t="n">
        <v>5</v>
      </c>
      <c r="E60" s="32" t="n">
        <v>1</v>
      </c>
      <c r="F60" s="32" t="n">
        <v>1</v>
      </c>
      <c r="G60" s="32" t="s">
        <v>233</v>
      </c>
      <c r="H60" s="32" t="s">
        <v>222</v>
      </c>
    </row>
    <row r="61" customFormat="false" ht="15" hidden="false" customHeight="false" outlineLevel="0" collapsed="false">
      <c r="A61" s="33" t="n">
        <v>15</v>
      </c>
      <c r="B61" s="33" t="n">
        <v>4</v>
      </c>
      <c r="C61" s="33" t="n">
        <v>12</v>
      </c>
      <c r="D61" s="33" t="n">
        <v>15</v>
      </c>
      <c r="E61" s="33" t="n">
        <v>1</v>
      </c>
      <c r="F61" s="33" t="n">
        <v>1</v>
      </c>
      <c r="G61" s="33" t="s">
        <v>233</v>
      </c>
      <c r="H61" s="33" t="s">
        <v>225</v>
      </c>
    </row>
    <row r="62" customFormat="false" ht="15" hidden="false" customHeight="false" outlineLevel="0" collapsed="false">
      <c r="A62" s="30" t="n">
        <v>16</v>
      </c>
      <c r="B62" s="30" t="n">
        <v>1</v>
      </c>
      <c r="C62" s="30" t="n">
        <v>15</v>
      </c>
      <c r="D62" s="30" t="n">
        <v>18</v>
      </c>
      <c r="E62" s="30" t="n">
        <v>1</v>
      </c>
      <c r="F62" s="30" t="n">
        <v>1</v>
      </c>
      <c r="G62" s="30" t="s">
        <v>233</v>
      </c>
      <c r="H62" s="30" t="s">
        <v>216</v>
      </c>
    </row>
    <row r="63" customFormat="false" ht="15" hidden="false" customHeight="false" outlineLevel="0" collapsed="false">
      <c r="A63" s="31" t="n">
        <v>16</v>
      </c>
      <c r="B63" s="31" t="n">
        <v>2</v>
      </c>
      <c r="C63" s="31" t="n">
        <v>3</v>
      </c>
      <c r="D63" s="31" t="n">
        <v>3</v>
      </c>
      <c r="E63" s="31" t="n">
        <v>1</v>
      </c>
      <c r="F63" s="31" t="n">
        <v>1</v>
      </c>
      <c r="G63" s="31" t="s">
        <v>233</v>
      </c>
      <c r="H63" s="31" t="s">
        <v>219</v>
      </c>
    </row>
    <row r="64" customFormat="false" ht="15" hidden="false" customHeight="false" outlineLevel="0" collapsed="false">
      <c r="A64" s="32" t="n">
        <v>16</v>
      </c>
      <c r="B64" s="32" t="n">
        <v>3</v>
      </c>
      <c r="C64" s="32" t="n">
        <v>5</v>
      </c>
      <c r="D64" s="32" t="n">
        <v>5</v>
      </c>
      <c r="E64" s="32" t="n">
        <v>1</v>
      </c>
      <c r="F64" s="32" t="n">
        <v>1</v>
      </c>
      <c r="G64" s="32" t="s">
        <v>233</v>
      </c>
      <c r="H64" s="32" t="s">
        <v>222</v>
      </c>
    </row>
    <row r="65" customFormat="false" ht="15" hidden="false" customHeight="false" outlineLevel="0" collapsed="false">
      <c r="A65" s="33" t="n">
        <v>16</v>
      </c>
      <c r="B65" s="33" t="n">
        <v>4</v>
      </c>
      <c r="C65" s="33" t="n">
        <v>10</v>
      </c>
      <c r="D65" s="33" t="n">
        <v>12</v>
      </c>
      <c r="E65" s="33" t="n">
        <v>1</v>
      </c>
      <c r="F65" s="33" t="n">
        <v>1</v>
      </c>
      <c r="G65" s="33" t="s">
        <v>233</v>
      </c>
      <c r="H65" s="33" t="s">
        <v>225</v>
      </c>
    </row>
    <row r="66" customFormat="false" ht="15" hidden="false" customHeight="false" outlineLevel="0" collapsed="false">
      <c r="A66" s="30" t="n">
        <v>17</v>
      </c>
      <c r="B66" s="30" t="n">
        <v>1</v>
      </c>
      <c r="C66" s="30" t="n">
        <v>18</v>
      </c>
      <c r="D66" s="30" t="n">
        <v>20</v>
      </c>
      <c r="E66" s="30" t="n">
        <v>1</v>
      </c>
      <c r="F66" s="30" t="n">
        <v>1</v>
      </c>
      <c r="G66" s="30" t="s">
        <v>233</v>
      </c>
      <c r="H66" s="30" t="s">
        <v>216</v>
      </c>
    </row>
    <row r="67" customFormat="false" ht="15" hidden="false" customHeight="false" outlineLevel="0" collapsed="false">
      <c r="A67" s="31" t="n">
        <v>17</v>
      </c>
      <c r="B67" s="31" t="n">
        <v>2</v>
      </c>
      <c r="C67" s="31" t="n">
        <v>3</v>
      </c>
      <c r="D67" s="31" t="n">
        <v>3</v>
      </c>
      <c r="E67" s="31" t="n">
        <v>1</v>
      </c>
      <c r="F67" s="31" t="n">
        <v>1</v>
      </c>
      <c r="G67" s="31" t="s">
        <v>233</v>
      </c>
      <c r="H67" s="31" t="s">
        <v>219</v>
      </c>
    </row>
    <row r="68" customFormat="false" ht="15" hidden="false" customHeight="false" outlineLevel="0" collapsed="false">
      <c r="A68" s="32" t="n">
        <v>17</v>
      </c>
      <c r="B68" s="32" t="n">
        <v>3</v>
      </c>
      <c r="C68" s="32" t="n">
        <v>5</v>
      </c>
      <c r="D68" s="32" t="n">
        <v>5</v>
      </c>
      <c r="E68" s="32" t="n">
        <v>1</v>
      </c>
      <c r="F68" s="32" t="n">
        <v>1</v>
      </c>
      <c r="G68" s="32" t="s">
        <v>233</v>
      </c>
      <c r="H68" s="32" t="s">
        <v>222</v>
      </c>
    </row>
    <row r="69" customFormat="false" ht="15" hidden="false" customHeight="false" outlineLevel="0" collapsed="false">
      <c r="A69" s="33" t="n">
        <v>17</v>
      </c>
      <c r="B69" s="33" t="n">
        <v>4</v>
      </c>
      <c r="C69" s="33" t="n">
        <v>8</v>
      </c>
      <c r="D69" s="33" t="n">
        <v>10</v>
      </c>
      <c r="E69" s="33" t="n">
        <v>1</v>
      </c>
      <c r="F69" s="33" t="n">
        <v>1</v>
      </c>
      <c r="G69" s="33" t="s">
        <v>233</v>
      </c>
      <c r="H69" s="33" t="s">
        <v>225</v>
      </c>
    </row>
    <row r="70" customFormat="false" ht="15" hidden="false" customHeight="false" outlineLevel="0" collapsed="false">
      <c r="A70" s="30" t="n">
        <v>18</v>
      </c>
      <c r="B70" s="30" t="n">
        <v>1</v>
      </c>
      <c r="C70" s="30" t="n">
        <v>10</v>
      </c>
      <c r="D70" s="30" t="n">
        <v>12</v>
      </c>
      <c r="E70" s="30" t="n">
        <v>1</v>
      </c>
      <c r="F70" s="30" t="n">
        <v>1</v>
      </c>
      <c r="G70" s="30" t="s">
        <v>233</v>
      </c>
      <c r="H70" s="30" t="s">
        <v>216</v>
      </c>
    </row>
    <row r="71" customFormat="false" ht="15" hidden="false" customHeight="false" outlineLevel="0" collapsed="false">
      <c r="A71" s="31" t="n">
        <v>18</v>
      </c>
      <c r="B71" s="31" t="n">
        <v>2</v>
      </c>
      <c r="C71" s="31" t="n">
        <v>8</v>
      </c>
      <c r="D71" s="31" t="n">
        <v>10</v>
      </c>
      <c r="E71" s="31" t="n">
        <v>1</v>
      </c>
      <c r="F71" s="31" t="n">
        <v>1</v>
      </c>
      <c r="G71" s="31" t="s">
        <v>233</v>
      </c>
      <c r="H71" s="31" t="s">
        <v>219</v>
      </c>
    </row>
    <row r="72" customFormat="false" ht="15" hidden="false" customHeight="false" outlineLevel="0" collapsed="false">
      <c r="A72" s="32" t="n">
        <v>18</v>
      </c>
      <c r="B72" s="32" t="n">
        <v>3</v>
      </c>
      <c r="C72" s="32" t="n">
        <v>8</v>
      </c>
      <c r="D72" s="32" t="n">
        <v>10</v>
      </c>
      <c r="E72" s="32" t="n">
        <v>1</v>
      </c>
      <c r="F72" s="32" t="n">
        <v>1</v>
      </c>
      <c r="G72" s="32" t="s">
        <v>233</v>
      </c>
      <c r="H72" s="32" t="s">
        <v>222</v>
      </c>
    </row>
    <row r="73" customFormat="false" ht="15" hidden="false" customHeight="false" outlineLevel="0" collapsed="false">
      <c r="A73" s="33" t="n">
        <v>18</v>
      </c>
      <c r="B73" s="33" t="n">
        <v>4</v>
      </c>
      <c r="C73" s="33" t="n">
        <v>10</v>
      </c>
      <c r="D73" s="33" t="n">
        <v>12</v>
      </c>
      <c r="E73" s="33" t="n">
        <v>1</v>
      </c>
      <c r="F73" s="33" t="n">
        <v>1</v>
      </c>
      <c r="G73" s="33" t="s">
        <v>233</v>
      </c>
      <c r="H73" s="33" t="s">
        <v>225</v>
      </c>
    </row>
    <row r="74" customFormat="false" ht="15" hidden="false" customHeight="false" outlineLevel="0" collapsed="false">
      <c r="A74" s="30" t="n">
        <v>19</v>
      </c>
      <c r="B74" s="30" t="n">
        <v>1</v>
      </c>
      <c r="C74" s="30" t="n">
        <v>5</v>
      </c>
      <c r="D74" s="30" t="n">
        <v>5</v>
      </c>
      <c r="E74" s="30" t="n">
        <v>1</v>
      </c>
      <c r="F74" s="30" t="n">
        <v>1</v>
      </c>
      <c r="G74" s="30" t="s">
        <v>233</v>
      </c>
      <c r="H74" s="30" t="s">
        <v>216</v>
      </c>
    </row>
    <row r="75" customFormat="false" ht="15" hidden="false" customHeight="false" outlineLevel="0" collapsed="false">
      <c r="A75" s="31" t="n">
        <v>19</v>
      </c>
      <c r="B75" s="31" t="n">
        <v>2</v>
      </c>
      <c r="C75" s="31" t="n">
        <v>10</v>
      </c>
      <c r="D75" s="31" t="n">
        <v>12</v>
      </c>
      <c r="E75" s="31" t="n">
        <v>1</v>
      </c>
      <c r="F75" s="31" t="n">
        <v>1</v>
      </c>
      <c r="G75" s="31" t="s">
        <v>233</v>
      </c>
      <c r="H75" s="31" t="s">
        <v>219</v>
      </c>
    </row>
    <row r="76" customFormat="false" ht="15" hidden="false" customHeight="false" outlineLevel="0" collapsed="false">
      <c r="A76" s="32" t="n">
        <v>19</v>
      </c>
      <c r="B76" s="32" t="n">
        <v>3</v>
      </c>
      <c r="C76" s="32" t="n">
        <v>5</v>
      </c>
      <c r="D76" s="32" t="n">
        <v>5</v>
      </c>
      <c r="E76" s="32" t="n">
        <v>1</v>
      </c>
      <c r="F76" s="32" t="n">
        <v>1</v>
      </c>
      <c r="G76" s="32" t="s">
        <v>233</v>
      </c>
      <c r="H76" s="32" t="s">
        <v>222</v>
      </c>
    </row>
    <row r="77" customFormat="false" ht="15" hidden="false" customHeight="false" outlineLevel="0" collapsed="false">
      <c r="A77" s="33" t="n">
        <v>19</v>
      </c>
      <c r="B77" s="33" t="n">
        <v>4</v>
      </c>
      <c r="C77" s="33" t="n">
        <v>5</v>
      </c>
      <c r="D77" s="33" t="n">
        <v>5</v>
      </c>
      <c r="E77" s="33" t="n">
        <v>1</v>
      </c>
      <c r="F77" s="33" t="n">
        <v>1</v>
      </c>
      <c r="G77" s="33" t="s">
        <v>233</v>
      </c>
      <c r="H77" s="33" t="s">
        <v>225</v>
      </c>
    </row>
    <row r="78" customFormat="false" ht="15" hidden="false" customHeight="false" outlineLevel="0" collapsed="false">
      <c r="A78" s="30" t="n">
        <v>20</v>
      </c>
      <c r="B78" s="30" t="n">
        <v>1</v>
      </c>
      <c r="C78" s="30" t="n">
        <v>5</v>
      </c>
      <c r="D78" s="30" t="n">
        <v>5</v>
      </c>
      <c r="E78" s="30" t="n">
        <v>1</v>
      </c>
      <c r="F78" s="30" t="n">
        <v>1</v>
      </c>
      <c r="G78" s="30" t="s">
        <v>233</v>
      </c>
      <c r="H78" s="30" t="s">
        <v>216</v>
      </c>
    </row>
    <row r="79" customFormat="false" ht="15" hidden="false" customHeight="false" outlineLevel="0" collapsed="false">
      <c r="A79" s="31" t="n">
        <v>20</v>
      </c>
      <c r="B79" s="31" t="n">
        <v>2</v>
      </c>
      <c r="C79" s="31" t="n">
        <v>5</v>
      </c>
      <c r="D79" s="31" t="n">
        <v>5</v>
      </c>
      <c r="E79" s="31" t="n">
        <v>1</v>
      </c>
      <c r="F79" s="31" t="n">
        <v>1</v>
      </c>
      <c r="G79" s="31" t="s">
        <v>233</v>
      </c>
      <c r="H79" s="31" t="s">
        <v>219</v>
      </c>
    </row>
    <row r="80" customFormat="false" ht="15" hidden="false" customHeight="false" outlineLevel="0" collapsed="false">
      <c r="A80" s="32" t="n">
        <v>20</v>
      </c>
      <c r="B80" s="32" t="n">
        <v>3</v>
      </c>
      <c r="C80" s="32" t="n">
        <v>5</v>
      </c>
      <c r="D80" s="32" t="n">
        <v>5</v>
      </c>
      <c r="E80" s="32" t="n">
        <v>1</v>
      </c>
      <c r="F80" s="32" t="n">
        <v>1</v>
      </c>
      <c r="G80" s="32" t="s">
        <v>233</v>
      </c>
      <c r="H80" s="32" t="s">
        <v>222</v>
      </c>
    </row>
    <row r="81" customFormat="false" ht="15" hidden="false" customHeight="false" outlineLevel="0" collapsed="false">
      <c r="A81" s="33" t="n">
        <v>20</v>
      </c>
      <c r="B81" s="33" t="n">
        <v>4</v>
      </c>
      <c r="C81" s="33" t="n">
        <v>20</v>
      </c>
      <c r="D81" s="33" t="n">
        <v>25</v>
      </c>
      <c r="E81" s="33" t="n">
        <v>1</v>
      </c>
      <c r="F81" s="33" t="n">
        <v>1</v>
      </c>
      <c r="G81" s="33" t="s">
        <v>233</v>
      </c>
      <c r="H81" s="33" t="s">
        <v>225</v>
      </c>
    </row>
    <row r="82" customFormat="false" ht="15" hidden="false" customHeight="false" outlineLevel="0" collapsed="false">
      <c r="A82" s="30" t="n">
        <v>21</v>
      </c>
      <c r="B82" s="30" t="n">
        <v>1</v>
      </c>
      <c r="C82" s="30" t="n">
        <v>5</v>
      </c>
      <c r="D82" s="30" t="n">
        <v>5</v>
      </c>
      <c r="E82" s="30" t="n">
        <v>1</v>
      </c>
      <c r="F82" s="30" t="n">
        <v>1</v>
      </c>
      <c r="G82" s="30" t="s">
        <v>233</v>
      </c>
      <c r="H82" s="30" t="s">
        <v>216</v>
      </c>
    </row>
    <row r="83" customFormat="false" ht="15" hidden="false" customHeight="false" outlineLevel="0" collapsed="false">
      <c r="A83" s="31" t="n">
        <v>21</v>
      </c>
      <c r="B83" s="31" t="n">
        <v>2</v>
      </c>
      <c r="C83" s="31" t="n">
        <v>3</v>
      </c>
      <c r="D83" s="31" t="n">
        <v>3</v>
      </c>
      <c r="E83" s="31" t="n">
        <v>1</v>
      </c>
      <c r="F83" s="31" t="n">
        <v>1</v>
      </c>
      <c r="G83" s="31" t="s">
        <v>233</v>
      </c>
      <c r="H83" s="31" t="s">
        <v>219</v>
      </c>
    </row>
    <row r="84" customFormat="false" ht="15" hidden="false" customHeight="false" outlineLevel="0" collapsed="false">
      <c r="A84" s="32" t="n">
        <v>21</v>
      </c>
      <c r="B84" s="32" t="n">
        <v>3</v>
      </c>
      <c r="C84" s="32" t="n">
        <v>3</v>
      </c>
      <c r="D84" s="32" t="n">
        <v>3</v>
      </c>
      <c r="E84" s="32" t="n">
        <v>1</v>
      </c>
      <c r="F84" s="32" t="n">
        <v>1</v>
      </c>
      <c r="G84" s="32" t="s">
        <v>233</v>
      </c>
      <c r="H84" s="32" t="s">
        <v>222</v>
      </c>
    </row>
    <row r="85" customFormat="false" ht="15" hidden="false" customHeight="false" outlineLevel="0" collapsed="false">
      <c r="A85" s="33" t="n">
        <v>21</v>
      </c>
      <c r="B85" s="33" t="n">
        <v>4</v>
      </c>
      <c r="C85" s="33" t="n">
        <v>5</v>
      </c>
      <c r="D85" s="33" t="n">
        <v>5</v>
      </c>
      <c r="E85" s="33" t="n">
        <v>1</v>
      </c>
      <c r="F85" s="33" t="n">
        <v>1</v>
      </c>
      <c r="G85" s="33" t="s">
        <v>233</v>
      </c>
      <c r="H85" s="33" t="s">
        <v>225</v>
      </c>
    </row>
    <row r="86" customFormat="false" ht="15" hidden="false" customHeight="false" outlineLevel="0" collapsed="false">
      <c r="A86" s="30" t="n">
        <v>22</v>
      </c>
      <c r="B86" s="30" t="n">
        <v>1</v>
      </c>
      <c r="C86" s="30" t="n">
        <v>3</v>
      </c>
      <c r="D86" s="30" t="n">
        <v>3</v>
      </c>
      <c r="E86" s="30" t="n">
        <v>1</v>
      </c>
      <c r="F86" s="30" t="n">
        <v>1</v>
      </c>
      <c r="G86" s="30" t="s">
        <v>233</v>
      </c>
      <c r="H86" s="30" t="s">
        <v>216</v>
      </c>
    </row>
    <row r="87" customFormat="false" ht="15" hidden="false" customHeight="false" outlineLevel="0" collapsed="false">
      <c r="A87" s="31" t="n">
        <v>22</v>
      </c>
      <c r="B87" s="31" t="n">
        <v>2</v>
      </c>
      <c r="C87" s="31" t="n">
        <v>8</v>
      </c>
      <c r="D87" s="31" t="n">
        <v>10</v>
      </c>
      <c r="E87" s="31" t="n">
        <v>1</v>
      </c>
      <c r="F87" s="31" t="n">
        <v>1</v>
      </c>
      <c r="G87" s="31" t="s">
        <v>233</v>
      </c>
      <c r="H87" s="31" t="s">
        <v>219</v>
      </c>
    </row>
    <row r="88" customFormat="false" ht="15" hidden="false" customHeight="false" outlineLevel="0" collapsed="false">
      <c r="A88" s="32" t="n">
        <v>22</v>
      </c>
      <c r="B88" s="32" t="n">
        <v>3</v>
      </c>
      <c r="C88" s="32" t="n">
        <v>8</v>
      </c>
      <c r="D88" s="32" t="n">
        <v>10</v>
      </c>
      <c r="E88" s="32" t="n">
        <v>1</v>
      </c>
      <c r="F88" s="32" t="n">
        <v>1</v>
      </c>
      <c r="G88" s="32" t="s">
        <v>233</v>
      </c>
      <c r="H88" s="32" t="s">
        <v>222</v>
      </c>
    </row>
    <row r="89" customFormat="false" ht="15" hidden="false" customHeight="false" outlineLevel="0" collapsed="false">
      <c r="A89" s="33" t="n">
        <v>22</v>
      </c>
      <c r="B89" s="33" t="n">
        <v>4</v>
      </c>
      <c r="C89" s="33" t="n">
        <v>8</v>
      </c>
      <c r="D89" s="33" t="n">
        <v>10</v>
      </c>
      <c r="E89" s="33" t="n">
        <v>1</v>
      </c>
      <c r="F89" s="33" t="n">
        <v>1</v>
      </c>
      <c r="G89" s="33" t="s">
        <v>233</v>
      </c>
      <c r="H89" s="33" t="s">
        <v>225</v>
      </c>
    </row>
    <row r="90" customFormat="false" ht="15" hidden="false" customHeight="false" outlineLevel="0" collapsed="false">
      <c r="A90" s="30" t="n">
        <v>23</v>
      </c>
      <c r="B90" s="30" t="n">
        <v>1</v>
      </c>
      <c r="C90" s="30" t="n">
        <v>25</v>
      </c>
      <c r="D90" s="30" t="n">
        <v>25</v>
      </c>
      <c r="E90" s="30" t="n">
        <v>1</v>
      </c>
      <c r="F90" s="30" t="n">
        <v>1</v>
      </c>
      <c r="G90" s="30" t="s">
        <v>233</v>
      </c>
      <c r="H90" s="30" t="s">
        <v>216</v>
      </c>
    </row>
    <row r="91" customFormat="false" ht="15" hidden="false" customHeight="false" outlineLevel="0" collapsed="false">
      <c r="A91" s="31" t="n">
        <v>23</v>
      </c>
      <c r="B91" s="31" t="n">
        <v>2</v>
      </c>
      <c r="C91" s="31" t="n">
        <v>25</v>
      </c>
      <c r="D91" s="31" t="n">
        <v>25</v>
      </c>
      <c r="E91" s="31" t="n">
        <v>1</v>
      </c>
      <c r="F91" s="31" t="n">
        <v>1</v>
      </c>
      <c r="G91" s="31" t="s">
        <v>233</v>
      </c>
      <c r="H91" s="31" t="s">
        <v>219</v>
      </c>
    </row>
    <row r="92" customFormat="false" ht="15" hidden="false" customHeight="false" outlineLevel="0" collapsed="false">
      <c r="A92" s="32" t="n">
        <v>23</v>
      </c>
      <c r="B92" s="32" t="n">
        <v>3</v>
      </c>
      <c r="C92" s="32" t="n">
        <v>25</v>
      </c>
      <c r="D92" s="32" t="n">
        <v>25</v>
      </c>
      <c r="E92" s="32" t="n">
        <v>1</v>
      </c>
      <c r="F92" s="32" t="n">
        <v>1</v>
      </c>
      <c r="G92" s="32" t="s">
        <v>233</v>
      </c>
      <c r="H92" s="32" t="s">
        <v>222</v>
      </c>
    </row>
    <row r="93" customFormat="false" ht="15" hidden="false" customHeight="false" outlineLevel="0" collapsed="false">
      <c r="A93" s="33" t="n">
        <v>23</v>
      </c>
      <c r="B93" s="33" t="n">
        <v>4</v>
      </c>
      <c r="C93" s="33" t="n">
        <v>25</v>
      </c>
      <c r="D93" s="33" t="n">
        <v>25</v>
      </c>
      <c r="E93" s="33" t="n">
        <v>1</v>
      </c>
      <c r="F93" s="33" t="n">
        <v>1</v>
      </c>
      <c r="G93" s="33" t="s">
        <v>233</v>
      </c>
      <c r="H93" s="33" t="s">
        <v>225</v>
      </c>
    </row>
    <row r="94" customFormat="false" ht="15" hidden="false" customHeight="false" outlineLevel="0" collapsed="false">
      <c r="A94" s="30" t="n">
        <v>44</v>
      </c>
      <c r="B94" s="30" t="n">
        <v>1</v>
      </c>
      <c r="C94" s="30" t="n">
        <v>3</v>
      </c>
      <c r="D94" s="30" t="n">
        <v>3</v>
      </c>
      <c r="E94" s="30" t="n">
        <v>1</v>
      </c>
      <c r="F94" s="30" t="n">
        <v>1</v>
      </c>
      <c r="G94" s="30" t="s">
        <v>233</v>
      </c>
      <c r="H94" s="30" t="s">
        <v>216</v>
      </c>
    </row>
    <row r="95" customFormat="false" ht="15" hidden="false" customHeight="false" outlineLevel="0" collapsed="false">
      <c r="A95" s="31" t="n">
        <v>44</v>
      </c>
      <c r="B95" s="31" t="n">
        <v>2</v>
      </c>
      <c r="C95" s="31" t="n">
        <v>8</v>
      </c>
      <c r="D95" s="31" t="n">
        <v>10</v>
      </c>
      <c r="E95" s="31" t="n">
        <v>1</v>
      </c>
      <c r="F95" s="31" t="n">
        <v>1</v>
      </c>
      <c r="G95" s="31" t="s">
        <v>233</v>
      </c>
      <c r="H95" s="31" t="s">
        <v>219</v>
      </c>
    </row>
    <row r="96" customFormat="false" ht="15" hidden="false" customHeight="false" outlineLevel="0" collapsed="false">
      <c r="A96" s="32" t="n">
        <v>44</v>
      </c>
      <c r="B96" s="32" t="n">
        <v>3</v>
      </c>
      <c r="C96" s="32" t="n">
        <v>5</v>
      </c>
      <c r="D96" s="32" t="n">
        <v>5</v>
      </c>
      <c r="E96" s="32" t="n">
        <v>1</v>
      </c>
      <c r="F96" s="32" t="n">
        <v>1</v>
      </c>
      <c r="G96" s="32" t="s">
        <v>233</v>
      </c>
      <c r="H96" s="32" t="s">
        <v>222</v>
      </c>
    </row>
    <row r="97" customFormat="false" ht="15" hidden="false" customHeight="false" outlineLevel="0" collapsed="false">
      <c r="A97" s="33" t="n">
        <v>44</v>
      </c>
      <c r="B97" s="33" t="n">
        <v>4</v>
      </c>
      <c r="C97" s="33" t="n">
        <v>10</v>
      </c>
      <c r="D97" s="33" t="n">
        <v>12</v>
      </c>
      <c r="E97" s="33" t="n">
        <v>1</v>
      </c>
      <c r="F97" s="33" t="n">
        <v>1</v>
      </c>
      <c r="G97" s="33" t="s">
        <v>233</v>
      </c>
      <c r="H97" s="33" t="s">
        <v>225</v>
      </c>
    </row>
    <row r="98" customFormat="false" ht="15" hidden="false" customHeight="false" outlineLevel="0" collapsed="false">
      <c r="A98" s="30" t="n">
        <v>24</v>
      </c>
      <c r="B98" s="30" t="n">
        <v>1</v>
      </c>
      <c r="C98" s="30" t="n">
        <v>10</v>
      </c>
      <c r="D98" s="30" t="n">
        <v>12</v>
      </c>
      <c r="E98" s="30" t="n">
        <v>1</v>
      </c>
      <c r="F98" s="30" t="n">
        <v>1</v>
      </c>
      <c r="G98" s="30" t="s">
        <v>234</v>
      </c>
      <c r="H98" s="30" t="s">
        <v>216</v>
      </c>
    </row>
    <row r="99" customFormat="false" ht="15" hidden="false" customHeight="false" outlineLevel="0" collapsed="false">
      <c r="A99" s="31" t="n">
        <v>24</v>
      </c>
      <c r="B99" s="31" t="n">
        <v>2</v>
      </c>
      <c r="C99" s="31" t="n">
        <v>45</v>
      </c>
      <c r="D99" s="31" t="n">
        <v>50</v>
      </c>
      <c r="E99" s="31" t="n">
        <v>1</v>
      </c>
      <c r="F99" s="31" t="n">
        <v>1</v>
      </c>
      <c r="G99" s="31" t="s">
        <v>234</v>
      </c>
      <c r="H99" s="31" t="s">
        <v>219</v>
      </c>
    </row>
    <row r="100" customFormat="false" ht="15" hidden="false" customHeight="false" outlineLevel="0" collapsed="false">
      <c r="A100" s="32" t="n">
        <v>24</v>
      </c>
      <c r="B100" s="32" t="n">
        <v>3</v>
      </c>
      <c r="C100" s="32" t="n">
        <v>10</v>
      </c>
      <c r="D100" s="32" t="n">
        <v>12</v>
      </c>
      <c r="E100" s="32" t="n">
        <v>1</v>
      </c>
      <c r="F100" s="32" t="n">
        <v>1</v>
      </c>
      <c r="G100" s="32" t="s">
        <v>234</v>
      </c>
      <c r="H100" s="32" t="s">
        <v>222</v>
      </c>
    </row>
    <row r="101" customFormat="false" ht="15" hidden="false" customHeight="false" outlineLevel="0" collapsed="false">
      <c r="A101" s="33" t="n">
        <v>24</v>
      </c>
      <c r="B101" s="33" t="n">
        <v>4</v>
      </c>
      <c r="C101" s="33" t="n">
        <v>15</v>
      </c>
      <c r="D101" s="33" t="n">
        <v>18</v>
      </c>
      <c r="E101" s="33" t="n">
        <v>1</v>
      </c>
      <c r="F101" s="33" t="n">
        <v>1</v>
      </c>
      <c r="G101" s="33" t="s">
        <v>234</v>
      </c>
      <c r="H101" s="33" t="s">
        <v>225</v>
      </c>
    </row>
    <row r="102" customFormat="false" ht="15" hidden="false" customHeight="false" outlineLevel="0" collapsed="false">
      <c r="A102" s="30" t="n">
        <v>25</v>
      </c>
      <c r="B102" s="30" t="n">
        <v>1</v>
      </c>
      <c r="C102" s="30" t="n">
        <v>30</v>
      </c>
      <c r="D102" s="30" t="n">
        <v>35</v>
      </c>
      <c r="E102" s="30" t="n">
        <v>1</v>
      </c>
      <c r="F102" s="30" t="n">
        <v>1</v>
      </c>
      <c r="G102" s="30" t="s">
        <v>234</v>
      </c>
      <c r="H102" s="30" t="s">
        <v>216</v>
      </c>
    </row>
    <row r="103" customFormat="false" ht="15" hidden="false" customHeight="false" outlineLevel="0" collapsed="false">
      <c r="A103" s="31" t="n">
        <v>25</v>
      </c>
      <c r="B103" s="31" t="n">
        <v>2</v>
      </c>
      <c r="C103" s="31" t="n">
        <v>30</v>
      </c>
      <c r="D103" s="31" t="n">
        <v>35</v>
      </c>
      <c r="E103" s="31" t="n">
        <v>1</v>
      </c>
      <c r="F103" s="31" t="n">
        <v>1</v>
      </c>
      <c r="G103" s="31" t="s">
        <v>234</v>
      </c>
      <c r="H103" s="31" t="s">
        <v>219</v>
      </c>
    </row>
    <row r="104" customFormat="false" ht="15" hidden="false" customHeight="false" outlineLevel="0" collapsed="false">
      <c r="A104" s="32" t="n">
        <v>25</v>
      </c>
      <c r="B104" s="32" t="n">
        <v>3</v>
      </c>
      <c r="C104" s="32" t="n">
        <v>20</v>
      </c>
      <c r="D104" s="32" t="n">
        <v>25</v>
      </c>
      <c r="E104" s="32" t="n">
        <v>1</v>
      </c>
      <c r="F104" s="32" t="n">
        <v>1</v>
      </c>
      <c r="G104" s="32" t="s">
        <v>234</v>
      </c>
      <c r="H104" s="32" t="s">
        <v>222</v>
      </c>
    </row>
    <row r="105" customFormat="false" ht="15" hidden="false" customHeight="false" outlineLevel="0" collapsed="false">
      <c r="A105" s="33" t="n">
        <v>25</v>
      </c>
      <c r="B105" s="33" t="n">
        <v>4</v>
      </c>
      <c r="C105" s="33" t="n">
        <v>20</v>
      </c>
      <c r="D105" s="33" t="n">
        <v>25</v>
      </c>
      <c r="E105" s="33" t="n">
        <v>1</v>
      </c>
      <c r="F105" s="33" t="n">
        <v>1</v>
      </c>
      <c r="G105" s="33" t="s">
        <v>234</v>
      </c>
      <c r="H105" s="33" t="s">
        <v>225</v>
      </c>
    </row>
    <row r="106" customFormat="false" ht="15" hidden="false" customHeight="false" outlineLevel="0" collapsed="false">
      <c r="A106" s="30" t="n">
        <v>26</v>
      </c>
      <c r="B106" s="30" t="n">
        <v>1</v>
      </c>
      <c r="C106" s="30" t="n">
        <v>40</v>
      </c>
      <c r="D106" s="30" t="n">
        <v>45</v>
      </c>
      <c r="E106" s="30" t="n">
        <v>1</v>
      </c>
      <c r="F106" s="30" t="n">
        <v>1</v>
      </c>
      <c r="G106" s="30" t="s">
        <v>234</v>
      </c>
      <c r="H106" s="30" t="s">
        <v>216</v>
      </c>
    </row>
    <row r="107" customFormat="false" ht="15" hidden="false" customHeight="false" outlineLevel="0" collapsed="false">
      <c r="A107" s="31" t="n">
        <v>26</v>
      </c>
      <c r="B107" s="31" t="n">
        <v>2</v>
      </c>
      <c r="C107" s="31" t="n">
        <v>5</v>
      </c>
      <c r="D107" s="31" t="n">
        <v>5</v>
      </c>
      <c r="E107" s="31" t="n">
        <v>1</v>
      </c>
      <c r="F107" s="31" t="n">
        <v>1</v>
      </c>
      <c r="G107" s="31" t="s">
        <v>234</v>
      </c>
      <c r="H107" s="31" t="s">
        <v>219</v>
      </c>
    </row>
    <row r="108" customFormat="false" ht="15" hidden="false" customHeight="false" outlineLevel="0" collapsed="false">
      <c r="A108" s="32" t="n">
        <v>26</v>
      </c>
      <c r="B108" s="32" t="n">
        <v>3</v>
      </c>
      <c r="C108" s="32" t="n">
        <v>5</v>
      </c>
      <c r="D108" s="32" t="n">
        <v>5</v>
      </c>
      <c r="E108" s="32" t="n">
        <v>1</v>
      </c>
      <c r="F108" s="32" t="n">
        <v>1</v>
      </c>
      <c r="G108" s="32" t="s">
        <v>234</v>
      </c>
      <c r="H108" s="32" t="s">
        <v>222</v>
      </c>
    </row>
    <row r="109" customFormat="false" ht="15" hidden="false" customHeight="false" outlineLevel="0" collapsed="false">
      <c r="A109" s="33" t="n">
        <v>26</v>
      </c>
      <c r="B109" s="33" t="n">
        <v>4</v>
      </c>
      <c r="C109" s="33" t="n">
        <v>10</v>
      </c>
      <c r="D109" s="33" t="n">
        <v>12</v>
      </c>
      <c r="E109" s="33" t="n">
        <v>1</v>
      </c>
      <c r="F109" s="33" t="n">
        <v>1</v>
      </c>
      <c r="G109" s="33" t="s">
        <v>234</v>
      </c>
      <c r="H109" s="33" t="s">
        <v>225</v>
      </c>
    </row>
    <row r="110" customFormat="false" ht="15" hidden="false" customHeight="false" outlineLevel="0" collapsed="false">
      <c r="A110" s="30" t="n">
        <v>27</v>
      </c>
      <c r="B110" s="30" t="n">
        <v>1</v>
      </c>
      <c r="C110" s="30" t="n">
        <v>5</v>
      </c>
      <c r="D110" s="30" t="n">
        <v>5</v>
      </c>
      <c r="E110" s="30" t="n">
        <v>1</v>
      </c>
      <c r="F110" s="30" t="n">
        <v>1</v>
      </c>
      <c r="G110" s="30" t="s">
        <v>234</v>
      </c>
      <c r="H110" s="30" t="s">
        <v>216</v>
      </c>
    </row>
    <row r="111" customFormat="false" ht="15" hidden="false" customHeight="false" outlineLevel="0" collapsed="false">
      <c r="A111" s="31" t="n">
        <v>27</v>
      </c>
      <c r="B111" s="31" t="n">
        <v>2</v>
      </c>
      <c r="C111" s="31" t="n">
        <v>40</v>
      </c>
      <c r="D111" s="31" t="n">
        <v>45</v>
      </c>
      <c r="E111" s="31" t="n">
        <v>1</v>
      </c>
      <c r="F111" s="31" t="n">
        <v>1</v>
      </c>
      <c r="G111" s="31" t="s">
        <v>234</v>
      </c>
      <c r="H111" s="31" t="s">
        <v>219</v>
      </c>
    </row>
    <row r="112" customFormat="false" ht="15" hidden="false" customHeight="false" outlineLevel="0" collapsed="false">
      <c r="A112" s="32" t="n">
        <v>27</v>
      </c>
      <c r="B112" s="32" t="n">
        <v>3</v>
      </c>
      <c r="C112" s="32" t="n">
        <v>15</v>
      </c>
      <c r="D112" s="32" t="n">
        <v>18</v>
      </c>
      <c r="E112" s="32" t="n">
        <v>1</v>
      </c>
      <c r="F112" s="32" t="n">
        <v>1</v>
      </c>
      <c r="G112" s="32" t="s">
        <v>234</v>
      </c>
      <c r="H112" s="32" t="s">
        <v>222</v>
      </c>
    </row>
    <row r="113" customFormat="false" ht="15" hidden="false" customHeight="false" outlineLevel="0" collapsed="false">
      <c r="A113" s="33" t="n">
        <v>27</v>
      </c>
      <c r="B113" s="33" t="n">
        <v>4</v>
      </c>
      <c r="C113" s="33" t="n">
        <v>15</v>
      </c>
      <c r="D113" s="33" t="n">
        <v>18</v>
      </c>
      <c r="E113" s="33" t="n">
        <v>1</v>
      </c>
      <c r="F113" s="33" t="n">
        <v>1</v>
      </c>
      <c r="G113" s="33" t="s">
        <v>234</v>
      </c>
      <c r="H113" s="33" t="s">
        <v>225</v>
      </c>
    </row>
    <row r="114" customFormat="false" ht="15" hidden="false" customHeight="false" outlineLevel="0" collapsed="false">
      <c r="A114" s="30" t="n">
        <v>28</v>
      </c>
      <c r="B114" s="30" t="n">
        <v>1</v>
      </c>
      <c r="C114" s="30" t="n">
        <v>5</v>
      </c>
      <c r="D114" s="30" t="n">
        <v>5</v>
      </c>
      <c r="E114" s="30" t="n">
        <v>1</v>
      </c>
      <c r="F114" s="30" t="n">
        <v>1</v>
      </c>
      <c r="G114" s="30" t="s">
        <v>234</v>
      </c>
      <c r="H114" s="30" t="s">
        <v>216</v>
      </c>
    </row>
    <row r="115" customFormat="false" ht="15" hidden="false" customHeight="false" outlineLevel="0" collapsed="false">
      <c r="A115" s="31" t="n">
        <v>28</v>
      </c>
      <c r="B115" s="31" t="n">
        <v>2</v>
      </c>
      <c r="C115" s="31" t="n">
        <v>35</v>
      </c>
      <c r="D115" s="31" t="n">
        <v>40</v>
      </c>
      <c r="E115" s="31" t="n">
        <v>1</v>
      </c>
      <c r="F115" s="31" t="n">
        <v>1</v>
      </c>
      <c r="G115" s="31" t="s">
        <v>234</v>
      </c>
      <c r="H115" s="31" t="s">
        <v>219</v>
      </c>
    </row>
    <row r="116" customFormat="false" ht="15" hidden="false" customHeight="false" outlineLevel="0" collapsed="false">
      <c r="A116" s="32" t="n">
        <v>28</v>
      </c>
      <c r="B116" s="32" t="n">
        <v>3</v>
      </c>
      <c r="C116" s="32" t="n">
        <v>15</v>
      </c>
      <c r="D116" s="32" t="n">
        <v>18</v>
      </c>
      <c r="E116" s="32" t="n">
        <v>1</v>
      </c>
      <c r="F116" s="32" t="n">
        <v>1</v>
      </c>
      <c r="G116" s="32" t="s">
        <v>234</v>
      </c>
      <c r="H116" s="32" t="s">
        <v>222</v>
      </c>
    </row>
    <row r="117" customFormat="false" ht="15" hidden="false" customHeight="false" outlineLevel="0" collapsed="false">
      <c r="A117" s="33" t="n">
        <v>28</v>
      </c>
      <c r="B117" s="33" t="n">
        <v>4</v>
      </c>
      <c r="C117" s="33" t="n">
        <v>10</v>
      </c>
      <c r="D117" s="33" t="n">
        <v>12</v>
      </c>
      <c r="E117" s="33" t="n">
        <v>1</v>
      </c>
      <c r="F117" s="33" t="n">
        <v>1</v>
      </c>
      <c r="G117" s="33" t="s">
        <v>234</v>
      </c>
      <c r="H117" s="33" t="s">
        <v>225</v>
      </c>
    </row>
    <row r="118" customFormat="false" ht="15" hidden="false" customHeight="false" outlineLevel="0" collapsed="false">
      <c r="A118" s="30" t="n">
        <v>29</v>
      </c>
      <c r="B118" s="30" t="n">
        <v>1</v>
      </c>
      <c r="C118" s="30" t="n">
        <v>20</v>
      </c>
      <c r="D118" s="30" t="n">
        <v>25</v>
      </c>
      <c r="E118" s="30" t="n">
        <v>1</v>
      </c>
      <c r="F118" s="30" t="n">
        <v>1</v>
      </c>
      <c r="G118" s="30" t="s">
        <v>234</v>
      </c>
      <c r="H118" s="30" t="s">
        <v>216</v>
      </c>
    </row>
    <row r="119" customFormat="false" ht="15" hidden="false" customHeight="false" outlineLevel="0" collapsed="false">
      <c r="A119" s="31" t="n">
        <v>29</v>
      </c>
      <c r="B119" s="31" t="n">
        <v>2</v>
      </c>
      <c r="C119" s="31" t="n">
        <v>15</v>
      </c>
      <c r="D119" s="31" t="n">
        <v>18</v>
      </c>
      <c r="E119" s="31" t="n">
        <v>1</v>
      </c>
      <c r="F119" s="31" t="n">
        <v>1</v>
      </c>
      <c r="G119" s="31" t="s">
        <v>234</v>
      </c>
      <c r="H119" s="31" t="s">
        <v>219</v>
      </c>
    </row>
    <row r="120" customFormat="false" ht="15" hidden="false" customHeight="false" outlineLevel="0" collapsed="false">
      <c r="A120" s="32" t="n">
        <v>29</v>
      </c>
      <c r="B120" s="32" t="n">
        <v>3</v>
      </c>
      <c r="C120" s="32" t="n">
        <v>30</v>
      </c>
      <c r="D120" s="32" t="n">
        <v>35</v>
      </c>
      <c r="E120" s="32" t="n">
        <v>1</v>
      </c>
      <c r="F120" s="32" t="n">
        <v>1</v>
      </c>
      <c r="G120" s="32" t="s">
        <v>234</v>
      </c>
      <c r="H120" s="32" t="s">
        <v>222</v>
      </c>
    </row>
    <row r="121" customFormat="false" ht="15" hidden="false" customHeight="false" outlineLevel="0" collapsed="false">
      <c r="A121" s="33" t="n">
        <v>29</v>
      </c>
      <c r="B121" s="33" t="n">
        <v>4</v>
      </c>
      <c r="C121" s="33" t="n">
        <v>10</v>
      </c>
      <c r="D121" s="33" t="n">
        <v>12</v>
      </c>
      <c r="E121" s="33" t="n">
        <v>1</v>
      </c>
      <c r="F121" s="33" t="n">
        <v>1</v>
      </c>
      <c r="G121" s="33" t="s">
        <v>234</v>
      </c>
      <c r="H121" s="33" t="s">
        <v>225</v>
      </c>
    </row>
    <row r="122" customFormat="false" ht="15" hidden="false" customHeight="false" outlineLevel="0" collapsed="false">
      <c r="A122" s="30" t="n">
        <v>30</v>
      </c>
      <c r="B122" s="30" t="n">
        <v>1</v>
      </c>
      <c r="C122" s="30" t="n">
        <v>15</v>
      </c>
      <c r="D122" s="30" t="n">
        <v>18</v>
      </c>
      <c r="E122" s="30" t="n">
        <v>1</v>
      </c>
      <c r="F122" s="30" t="n">
        <v>1</v>
      </c>
      <c r="G122" s="30" t="s">
        <v>234</v>
      </c>
      <c r="H122" s="30" t="s">
        <v>216</v>
      </c>
    </row>
    <row r="123" customFormat="false" ht="15" hidden="false" customHeight="false" outlineLevel="0" collapsed="false">
      <c r="A123" s="31" t="n">
        <v>30</v>
      </c>
      <c r="B123" s="31" t="n">
        <v>2</v>
      </c>
      <c r="C123" s="31" t="n">
        <v>15</v>
      </c>
      <c r="D123" s="31" t="n">
        <v>18</v>
      </c>
      <c r="E123" s="31" t="n">
        <v>1</v>
      </c>
      <c r="F123" s="31" t="n">
        <v>1</v>
      </c>
      <c r="G123" s="31" t="s">
        <v>234</v>
      </c>
      <c r="H123" s="31" t="s">
        <v>219</v>
      </c>
    </row>
    <row r="124" customFormat="false" ht="15" hidden="false" customHeight="false" outlineLevel="0" collapsed="false">
      <c r="A124" s="32" t="n">
        <v>30</v>
      </c>
      <c r="B124" s="32" t="n">
        <v>3</v>
      </c>
      <c r="C124" s="32" t="n">
        <v>10</v>
      </c>
      <c r="D124" s="32" t="n">
        <v>12</v>
      </c>
      <c r="E124" s="32" t="n">
        <v>1</v>
      </c>
      <c r="F124" s="32" t="n">
        <v>1</v>
      </c>
      <c r="G124" s="32" t="s">
        <v>234</v>
      </c>
      <c r="H124" s="32" t="s">
        <v>222</v>
      </c>
    </row>
    <row r="125" customFormat="false" ht="15" hidden="false" customHeight="false" outlineLevel="0" collapsed="false">
      <c r="A125" s="33" t="n">
        <v>30</v>
      </c>
      <c r="B125" s="33" t="n">
        <v>4</v>
      </c>
      <c r="C125" s="33" t="n">
        <v>30</v>
      </c>
      <c r="D125" s="33" t="n">
        <v>35</v>
      </c>
      <c r="E125" s="33" t="n">
        <v>1</v>
      </c>
      <c r="F125" s="33" t="n">
        <v>1</v>
      </c>
      <c r="G125" s="33" t="s">
        <v>234</v>
      </c>
      <c r="H125" s="33" t="s">
        <v>225</v>
      </c>
    </row>
    <row r="126" customFormat="false" ht="15" hidden="false" customHeight="false" outlineLevel="0" collapsed="false">
      <c r="A126" s="30" t="n">
        <v>31</v>
      </c>
      <c r="B126" s="30" t="n">
        <v>1</v>
      </c>
      <c r="C126" s="30" t="n">
        <v>10</v>
      </c>
      <c r="D126" s="30" t="n">
        <v>12</v>
      </c>
      <c r="E126" s="30" t="n">
        <v>1</v>
      </c>
      <c r="F126" s="30" t="n">
        <v>1</v>
      </c>
      <c r="G126" s="30" t="s">
        <v>234</v>
      </c>
      <c r="H126" s="30" t="s">
        <v>216</v>
      </c>
    </row>
    <row r="127" customFormat="false" ht="15" hidden="false" customHeight="false" outlineLevel="0" collapsed="false">
      <c r="A127" s="31" t="n">
        <v>31</v>
      </c>
      <c r="B127" s="31" t="n">
        <v>2</v>
      </c>
      <c r="C127" s="31" t="n">
        <v>10</v>
      </c>
      <c r="D127" s="31" t="n">
        <v>12</v>
      </c>
      <c r="E127" s="31" t="n">
        <v>1</v>
      </c>
      <c r="F127" s="31" t="n">
        <v>1</v>
      </c>
      <c r="G127" s="31" t="s">
        <v>234</v>
      </c>
      <c r="H127" s="31" t="s">
        <v>219</v>
      </c>
    </row>
    <row r="128" customFormat="false" ht="15" hidden="false" customHeight="false" outlineLevel="0" collapsed="false">
      <c r="A128" s="32" t="n">
        <v>31</v>
      </c>
      <c r="B128" s="32" t="n">
        <v>3</v>
      </c>
      <c r="C128" s="32" t="n">
        <v>15</v>
      </c>
      <c r="D128" s="32" t="n">
        <v>18</v>
      </c>
      <c r="E128" s="32" t="n">
        <v>1</v>
      </c>
      <c r="F128" s="32" t="n">
        <v>1</v>
      </c>
      <c r="G128" s="32" t="s">
        <v>234</v>
      </c>
      <c r="H128" s="32" t="s">
        <v>222</v>
      </c>
    </row>
    <row r="129" customFormat="false" ht="15" hidden="false" customHeight="false" outlineLevel="0" collapsed="false">
      <c r="A129" s="33" t="n">
        <v>31</v>
      </c>
      <c r="B129" s="33" t="n">
        <v>4</v>
      </c>
      <c r="C129" s="33" t="n">
        <v>35</v>
      </c>
      <c r="D129" s="33" t="n">
        <v>40</v>
      </c>
      <c r="E129" s="33" t="n">
        <v>1</v>
      </c>
      <c r="F129" s="33" t="n">
        <v>1</v>
      </c>
      <c r="G129" s="33" t="s">
        <v>234</v>
      </c>
      <c r="H129" s="33" t="s">
        <v>225</v>
      </c>
    </row>
    <row r="130" customFormat="false" ht="15" hidden="false" customHeight="false" outlineLevel="0" collapsed="false">
      <c r="A130" s="30" t="n">
        <v>32</v>
      </c>
      <c r="B130" s="30" t="n">
        <v>1</v>
      </c>
      <c r="C130" s="30" t="n">
        <v>20</v>
      </c>
      <c r="D130" s="30" t="n">
        <v>25</v>
      </c>
      <c r="E130" s="30" t="n">
        <v>1</v>
      </c>
      <c r="F130" s="30" t="n">
        <v>1</v>
      </c>
      <c r="G130" s="30" t="s">
        <v>234</v>
      </c>
      <c r="H130" s="30" t="s">
        <v>216</v>
      </c>
    </row>
    <row r="131" customFormat="false" ht="15" hidden="false" customHeight="false" outlineLevel="0" collapsed="false">
      <c r="A131" s="31" t="n">
        <v>32</v>
      </c>
      <c r="B131" s="31" t="n">
        <v>2</v>
      </c>
      <c r="C131" s="31" t="n">
        <v>10</v>
      </c>
      <c r="D131" s="31" t="n">
        <v>12</v>
      </c>
      <c r="E131" s="31" t="n">
        <v>1</v>
      </c>
      <c r="F131" s="31" t="n">
        <v>1</v>
      </c>
      <c r="G131" s="31" t="s">
        <v>234</v>
      </c>
      <c r="H131" s="31" t="s">
        <v>219</v>
      </c>
    </row>
    <row r="132" customFormat="false" ht="15" hidden="false" customHeight="false" outlineLevel="0" collapsed="false">
      <c r="A132" s="32" t="n">
        <v>32</v>
      </c>
      <c r="B132" s="32" t="n">
        <v>3</v>
      </c>
      <c r="C132" s="32" t="n">
        <v>15</v>
      </c>
      <c r="D132" s="32" t="n">
        <v>18</v>
      </c>
      <c r="E132" s="32" t="n">
        <v>1</v>
      </c>
      <c r="F132" s="32" t="n">
        <v>1</v>
      </c>
      <c r="G132" s="32" t="s">
        <v>234</v>
      </c>
      <c r="H132" s="32" t="s">
        <v>222</v>
      </c>
    </row>
    <row r="133" customFormat="false" ht="15" hidden="false" customHeight="false" outlineLevel="0" collapsed="false">
      <c r="A133" s="33" t="n">
        <v>32</v>
      </c>
      <c r="B133" s="33" t="n">
        <v>4</v>
      </c>
      <c r="C133" s="33" t="n">
        <v>30</v>
      </c>
      <c r="D133" s="33" t="n">
        <v>35</v>
      </c>
      <c r="E133" s="33" t="n">
        <v>1</v>
      </c>
      <c r="F133" s="33" t="n">
        <v>1</v>
      </c>
      <c r="G133" s="33" t="s">
        <v>234</v>
      </c>
      <c r="H133" s="33" t="s">
        <v>225</v>
      </c>
    </row>
    <row r="134" customFormat="false" ht="15" hidden="false" customHeight="false" outlineLevel="0" collapsed="false">
      <c r="A134" s="30" t="n">
        <v>33</v>
      </c>
      <c r="B134" s="30" t="n">
        <v>1</v>
      </c>
      <c r="C134" s="30" t="n">
        <v>25</v>
      </c>
      <c r="D134" s="30" t="n">
        <v>28</v>
      </c>
      <c r="E134" s="30" t="n">
        <v>1</v>
      </c>
      <c r="F134" s="30" t="n">
        <v>1</v>
      </c>
      <c r="G134" s="30" t="s">
        <v>234</v>
      </c>
      <c r="H134" s="30" t="s">
        <v>216</v>
      </c>
    </row>
    <row r="135" customFormat="false" ht="15" hidden="false" customHeight="false" outlineLevel="0" collapsed="false">
      <c r="A135" s="31" t="n">
        <v>33</v>
      </c>
      <c r="B135" s="31" t="n">
        <v>2</v>
      </c>
      <c r="C135" s="31" t="n">
        <v>20</v>
      </c>
      <c r="D135" s="31" t="n">
        <v>25</v>
      </c>
      <c r="E135" s="31" t="n">
        <v>1</v>
      </c>
      <c r="F135" s="31" t="n">
        <v>1</v>
      </c>
      <c r="G135" s="31" t="s">
        <v>234</v>
      </c>
      <c r="H135" s="31" t="s">
        <v>219</v>
      </c>
    </row>
    <row r="136" customFormat="false" ht="15" hidden="false" customHeight="false" outlineLevel="0" collapsed="false">
      <c r="A136" s="32" t="n">
        <v>33</v>
      </c>
      <c r="B136" s="32" t="n">
        <v>3</v>
      </c>
      <c r="C136" s="32" t="n">
        <v>35</v>
      </c>
      <c r="D136" s="32" t="n">
        <v>40</v>
      </c>
      <c r="E136" s="32" t="n">
        <v>1</v>
      </c>
      <c r="F136" s="32" t="n">
        <v>1</v>
      </c>
      <c r="G136" s="32" t="s">
        <v>234</v>
      </c>
      <c r="H136" s="32" t="s">
        <v>222</v>
      </c>
    </row>
    <row r="137" customFormat="false" ht="15" hidden="false" customHeight="false" outlineLevel="0" collapsed="false">
      <c r="A137" s="33" t="n">
        <v>33</v>
      </c>
      <c r="B137" s="33" t="n">
        <v>4</v>
      </c>
      <c r="C137" s="33" t="n">
        <v>15</v>
      </c>
      <c r="D137" s="33" t="n">
        <v>18</v>
      </c>
      <c r="E137" s="33" t="n">
        <v>1</v>
      </c>
      <c r="F137" s="33" t="n">
        <v>1</v>
      </c>
      <c r="G137" s="33" t="s">
        <v>234</v>
      </c>
      <c r="H137" s="33" t="s">
        <v>225</v>
      </c>
    </row>
    <row r="138" customFormat="false" ht="15" hidden="false" customHeight="false" outlineLevel="0" collapsed="false">
      <c r="A138" s="30" t="n">
        <v>34</v>
      </c>
      <c r="B138" s="30" t="n">
        <v>1</v>
      </c>
      <c r="C138" s="30" t="n">
        <v>15</v>
      </c>
      <c r="D138" s="30" t="n">
        <v>18</v>
      </c>
      <c r="E138" s="30" t="n">
        <v>1</v>
      </c>
      <c r="F138" s="30" t="n">
        <v>1</v>
      </c>
      <c r="G138" s="30" t="s">
        <v>234</v>
      </c>
      <c r="H138" s="30" t="s">
        <v>216</v>
      </c>
    </row>
    <row r="139" customFormat="false" ht="15" hidden="false" customHeight="false" outlineLevel="0" collapsed="false">
      <c r="A139" s="31" t="n">
        <v>34</v>
      </c>
      <c r="B139" s="31" t="n">
        <v>2</v>
      </c>
      <c r="C139" s="31" t="n">
        <v>5</v>
      </c>
      <c r="D139" s="31" t="n">
        <v>5</v>
      </c>
      <c r="E139" s="31" t="n">
        <v>1</v>
      </c>
      <c r="F139" s="31" t="n">
        <v>1</v>
      </c>
      <c r="G139" s="31" t="s">
        <v>234</v>
      </c>
      <c r="H139" s="31" t="s">
        <v>219</v>
      </c>
    </row>
    <row r="140" customFormat="false" ht="15" hidden="false" customHeight="false" outlineLevel="0" collapsed="false">
      <c r="A140" s="32" t="n">
        <v>34</v>
      </c>
      <c r="B140" s="32" t="n">
        <v>3</v>
      </c>
      <c r="C140" s="32" t="n">
        <v>10</v>
      </c>
      <c r="D140" s="32" t="n">
        <v>12</v>
      </c>
      <c r="E140" s="32" t="n">
        <v>1</v>
      </c>
      <c r="F140" s="32" t="n">
        <v>1</v>
      </c>
      <c r="G140" s="32" t="s">
        <v>234</v>
      </c>
      <c r="H140" s="32" t="s">
        <v>222</v>
      </c>
    </row>
    <row r="141" customFormat="false" ht="15" hidden="false" customHeight="false" outlineLevel="0" collapsed="false">
      <c r="A141" s="33" t="n">
        <v>34</v>
      </c>
      <c r="B141" s="33" t="n">
        <v>4</v>
      </c>
      <c r="C141" s="33" t="n">
        <v>30</v>
      </c>
      <c r="D141" s="33" t="n">
        <v>35</v>
      </c>
      <c r="E141" s="33" t="n">
        <v>1</v>
      </c>
      <c r="F141" s="33" t="n">
        <v>1</v>
      </c>
      <c r="G141" s="33" t="s">
        <v>234</v>
      </c>
      <c r="H141" s="33" t="s">
        <v>225</v>
      </c>
    </row>
    <row r="142" customFormat="false" ht="15" hidden="false" customHeight="false" outlineLevel="0" collapsed="false">
      <c r="A142" s="30" t="n">
        <v>35</v>
      </c>
      <c r="B142" s="30" t="n">
        <v>1</v>
      </c>
      <c r="C142" s="30" t="n">
        <v>10</v>
      </c>
      <c r="D142" s="30" t="n">
        <v>12</v>
      </c>
      <c r="E142" s="30" t="n">
        <v>1</v>
      </c>
      <c r="F142" s="30" t="n">
        <v>1</v>
      </c>
      <c r="G142" s="30" t="s">
        <v>234</v>
      </c>
      <c r="H142" s="30" t="s">
        <v>216</v>
      </c>
    </row>
    <row r="143" customFormat="false" ht="15" hidden="false" customHeight="false" outlineLevel="0" collapsed="false">
      <c r="A143" s="31" t="n">
        <v>35</v>
      </c>
      <c r="B143" s="31" t="n">
        <v>2</v>
      </c>
      <c r="C143" s="31" t="n">
        <v>35</v>
      </c>
      <c r="D143" s="31" t="n">
        <v>40</v>
      </c>
      <c r="E143" s="31" t="n">
        <v>1</v>
      </c>
      <c r="F143" s="31" t="n">
        <v>1</v>
      </c>
      <c r="G143" s="31" t="s">
        <v>234</v>
      </c>
      <c r="H143" s="31" t="s">
        <v>219</v>
      </c>
    </row>
    <row r="144" customFormat="false" ht="15" hidden="false" customHeight="false" outlineLevel="0" collapsed="false">
      <c r="A144" s="32" t="n">
        <v>35</v>
      </c>
      <c r="B144" s="32" t="n">
        <v>3</v>
      </c>
      <c r="C144" s="32" t="n">
        <v>20</v>
      </c>
      <c r="D144" s="32" t="n">
        <v>25</v>
      </c>
      <c r="E144" s="32" t="n">
        <v>1</v>
      </c>
      <c r="F144" s="32" t="n">
        <v>1</v>
      </c>
      <c r="G144" s="32" t="s">
        <v>234</v>
      </c>
      <c r="H144" s="32" t="s">
        <v>222</v>
      </c>
    </row>
    <row r="145" customFormat="false" ht="15" hidden="false" customHeight="false" outlineLevel="0" collapsed="false">
      <c r="A145" s="33" t="n">
        <v>35</v>
      </c>
      <c r="B145" s="33" t="n">
        <v>4</v>
      </c>
      <c r="C145" s="33" t="n">
        <v>5</v>
      </c>
      <c r="D145" s="33" t="n">
        <v>5</v>
      </c>
      <c r="E145" s="33" t="n">
        <v>1</v>
      </c>
      <c r="F145" s="33" t="n">
        <v>1</v>
      </c>
      <c r="G145" s="33" t="s">
        <v>234</v>
      </c>
      <c r="H145" s="33" t="s">
        <v>225</v>
      </c>
    </row>
    <row r="146" customFormat="false" ht="15" hidden="false" customHeight="false" outlineLevel="0" collapsed="false">
      <c r="A146" s="30" t="n">
        <v>36</v>
      </c>
      <c r="B146" s="30" t="n">
        <v>1</v>
      </c>
      <c r="C146" s="30" t="n">
        <v>5</v>
      </c>
      <c r="D146" s="30" t="n">
        <v>5</v>
      </c>
      <c r="E146" s="30" t="n">
        <v>1</v>
      </c>
      <c r="F146" s="30" t="n">
        <v>1</v>
      </c>
      <c r="G146" s="30" t="s">
        <v>234</v>
      </c>
      <c r="H146" s="30" t="s">
        <v>216</v>
      </c>
    </row>
    <row r="147" customFormat="false" ht="15" hidden="false" customHeight="false" outlineLevel="0" collapsed="false">
      <c r="A147" s="31" t="n">
        <v>36</v>
      </c>
      <c r="B147" s="31" t="n">
        <v>2</v>
      </c>
      <c r="C147" s="31" t="n">
        <v>45</v>
      </c>
      <c r="D147" s="31" t="n">
        <v>50</v>
      </c>
      <c r="E147" s="31" t="n">
        <v>1</v>
      </c>
      <c r="F147" s="31" t="n">
        <v>1</v>
      </c>
      <c r="G147" s="31" t="s">
        <v>234</v>
      </c>
      <c r="H147" s="31" t="s">
        <v>219</v>
      </c>
    </row>
    <row r="148" customFormat="false" ht="15" hidden="false" customHeight="false" outlineLevel="0" collapsed="false">
      <c r="A148" s="32" t="n">
        <v>36</v>
      </c>
      <c r="B148" s="32" t="n">
        <v>3</v>
      </c>
      <c r="C148" s="32" t="n">
        <v>10</v>
      </c>
      <c r="D148" s="32" t="n">
        <v>12</v>
      </c>
      <c r="E148" s="32" t="n">
        <v>1</v>
      </c>
      <c r="F148" s="32" t="n">
        <v>1</v>
      </c>
      <c r="G148" s="32" t="s">
        <v>234</v>
      </c>
      <c r="H148" s="32" t="s">
        <v>222</v>
      </c>
    </row>
    <row r="149" customFormat="false" ht="15" hidden="false" customHeight="false" outlineLevel="0" collapsed="false">
      <c r="A149" s="33" t="n">
        <v>36</v>
      </c>
      <c r="B149" s="33" t="n">
        <v>4</v>
      </c>
      <c r="C149" s="33" t="n">
        <v>15</v>
      </c>
      <c r="D149" s="33" t="n">
        <v>18</v>
      </c>
      <c r="E149" s="33" t="n">
        <v>1</v>
      </c>
      <c r="F149" s="33" t="n">
        <v>1</v>
      </c>
      <c r="G149" s="33" t="s">
        <v>234</v>
      </c>
      <c r="H149" s="33" t="s">
        <v>225</v>
      </c>
    </row>
    <row r="150" customFormat="false" ht="15" hidden="false" customHeight="false" outlineLevel="0" collapsed="false">
      <c r="A150" s="30" t="n">
        <v>37</v>
      </c>
      <c r="B150" s="30" t="n">
        <v>1</v>
      </c>
      <c r="C150" s="30" t="n">
        <v>20</v>
      </c>
      <c r="D150" s="30" t="n">
        <v>25</v>
      </c>
      <c r="E150" s="30" t="n">
        <v>1</v>
      </c>
      <c r="F150" s="30" t="n">
        <v>1</v>
      </c>
      <c r="G150" s="30" t="s">
        <v>234</v>
      </c>
      <c r="H150" s="30" t="s">
        <v>216</v>
      </c>
    </row>
    <row r="151" customFormat="false" ht="15" hidden="false" customHeight="false" outlineLevel="0" collapsed="false">
      <c r="A151" s="31" t="n">
        <v>37</v>
      </c>
      <c r="B151" s="31" t="n">
        <v>2</v>
      </c>
      <c r="C151" s="31" t="n">
        <v>10</v>
      </c>
      <c r="D151" s="31" t="n">
        <v>12</v>
      </c>
      <c r="E151" s="31" t="n">
        <v>1</v>
      </c>
      <c r="F151" s="31" t="n">
        <v>1</v>
      </c>
      <c r="G151" s="31" t="s">
        <v>234</v>
      </c>
      <c r="H151" s="31" t="s">
        <v>219</v>
      </c>
    </row>
    <row r="152" customFormat="false" ht="15" hidden="false" customHeight="false" outlineLevel="0" collapsed="false">
      <c r="A152" s="32" t="n">
        <v>37</v>
      </c>
      <c r="B152" s="32" t="n">
        <v>3</v>
      </c>
      <c r="C152" s="32" t="n">
        <v>20</v>
      </c>
      <c r="D152" s="32" t="n">
        <v>25</v>
      </c>
      <c r="E152" s="32" t="n">
        <v>1</v>
      </c>
      <c r="F152" s="32" t="n">
        <v>1</v>
      </c>
      <c r="G152" s="32" t="s">
        <v>234</v>
      </c>
      <c r="H152" s="32" t="s">
        <v>222</v>
      </c>
    </row>
    <row r="153" customFormat="false" ht="15" hidden="false" customHeight="false" outlineLevel="0" collapsed="false">
      <c r="A153" s="33" t="n">
        <v>37</v>
      </c>
      <c r="B153" s="33" t="n">
        <v>4</v>
      </c>
      <c r="C153" s="33" t="n">
        <v>20</v>
      </c>
      <c r="D153" s="33" t="n">
        <v>25</v>
      </c>
      <c r="E153" s="33" t="n">
        <v>1</v>
      </c>
      <c r="F153" s="33" t="n">
        <v>1</v>
      </c>
      <c r="G153" s="33" t="s">
        <v>234</v>
      </c>
      <c r="H153" s="33" t="s">
        <v>225</v>
      </c>
    </row>
    <row r="154" customFormat="false" ht="15" hidden="false" customHeight="false" outlineLevel="0" collapsed="false">
      <c r="A154" s="30" t="n">
        <v>38</v>
      </c>
      <c r="B154" s="30" t="n">
        <v>1</v>
      </c>
      <c r="C154" s="30" t="n">
        <v>15</v>
      </c>
      <c r="D154" s="30" t="n">
        <v>18</v>
      </c>
      <c r="E154" s="30" t="n">
        <v>1</v>
      </c>
      <c r="F154" s="30" t="n">
        <v>1</v>
      </c>
      <c r="G154" s="30" t="s">
        <v>234</v>
      </c>
      <c r="H154" s="30" t="s">
        <v>216</v>
      </c>
    </row>
    <row r="155" customFormat="false" ht="15" hidden="false" customHeight="false" outlineLevel="0" collapsed="false">
      <c r="A155" s="31" t="n">
        <v>38</v>
      </c>
      <c r="B155" s="31" t="n">
        <v>2</v>
      </c>
      <c r="C155" s="31" t="n">
        <v>10</v>
      </c>
      <c r="D155" s="31" t="n">
        <v>12</v>
      </c>
      <c r="E155" s="31" t="n">
        <v>1</v>
      </c>
      <c r="F155" s="31" t="n">
        <v>1</v>
      </c>
      <c r="G155" s="31" t="s">
        <v>234</v>
      </c>
      <c r="H155" s="31" t="s">
        <v>219</v>
      </c>
    </row>
    <row r="156" customFormat="false" ht="15" hidden="false" customHeight="false" outlineLevel="0" collapsed="false">
      <c r="A156" s="32" t="n">
        <v>38</v>
      </c>
      <c r="B156" s="32" t="n">
        <v>3</v>
      </c>
      <c r="C156" s="32" t="n">
        <v>10</v>
      </c>
      <c r="D156" s="32" t="n">
        <v>12</v>
      </c>
      <c r="E156" s="32" t="n">
        <v>1</v>
      </c>
      <c r="F156" s="32" t="n">
        <v>1</v>
      </c>
      <c r="G156" s="32" t="s">
        <v>234</v>
      </c>
      <c r="H156" s="32" t="s">
        <v>222</v>
      </c>
    </row>
    <row r="157" customFormat="false" ht="15" hidden="false" customHeight="false" outlineLevel="0" collapsed="false">
      <c r="A157" s="33" t="n">
        <v>38</v>
      </c>
      <c r="B157" s="33" t="n">
        <v>4</v>
      </c>
      <c r="C157" s="33" t="n">
        <v>35</v>
      </c>
      <c r="D157" s="33" t="n">
        <v>40</v>
      </c>
      <c r="E157" s="33" t="n">
        <v>1</v>
      </c>
      <c r="F157" s="33" t="n">
        <v>1</v>
      </c>
      <c r="G157" s="33" t="s">
        <v>234</v>
      </c>
      <c r="H157" s="33" t="s">
        <v>225</v>
      </c>
    </row>
    <row r="158" customFormat="false" ht="15" hidden="false" customHeight="false" outlineLevel="0" collapsed="false">
      <c r="A158" s="30" t="n">
        <v>39</v>
      </c>
      <c r="B158" s="30" t="n">
        <v>1</v>
      </c>
      <c r="C158" s="30" t="n">
        <v>25</v>
      </c>
      <c r="D158" s="30" t="n">
        <v>28</v>
      </c>
      <c r="E158" s="30" t="n">
        <v>1</v>
      </c>
      <c r="F158" s="30" t="n">
        <v>1</v>
      </c>
      <c r="G158" s="30" t="s">
        <v>234</v>
      </c>
      <c r="H158" s="30" t="s">
        <v>216</v>
      </c>
    </row>
    <row r="159" customFormat="false" ht="15" hidden="false" customHeight="false" outlineLevel="0" collapsed="false">
      <c r="A159" s="31" t="n">
        <v>39</v>
      </c>
      <c r="B159" s="31" t="n">
        <v>2</v>
      </c>
      <c r="C159" s="31" t="n">
        <v>5</v>
      </c>
      <c r="D159" s="31" t="n">
        <v>5</v>
      </c>
      <c r="E159" s="31" t="n">
        <v>1</v>
      </c>
      <c r="F159" s="31" t="n">
        <v>1</v>
      </c>
      <c r="G159" s="31" t="s">
        <v>234</v>
      </c>
      <c r="H159" s="31" t="s">
        <v>219</v>
      </c>
    </row>
    <row r="160" customFormat="false" ht="15" hidden="false" customHeight="false" outlineLevel="0" collapsed="false">
      <c r="A160" s="32" t="n">
        <v>39</v>
      </c>
      <c r="B160" s="32" t="n">
        <v>3</v>
      </c>
      <c r="C160" s="32" t="n">
        <v>20</v>
      </c>
      <c r="D160" s="32" t="n">
        <v>25</v>
      </c>
      <c r="E160" s="32" t="n">
        <v>1</v>
      </c>
      <c r="F160" s="32" t="n">
        <v>1</v>
      </c>
      <c r="G160" s="32" t="s">
        <v>234</v>
      </c>
      <c r="H160" s="32" t="s">
        <v>222</v>
      </c>
    </row>
    <row r="161" customFormat="false" ht="15" hidden="false" customHeight="false" outlineLevel="0" collapsed="false">
      <c r="A161" s="33" t="n">
        <v>39</v>
      </c>
      <c r="B161" s="33" t="n">
        <v>4</v>
      </c>
      <c r="C161" s="33" t="n">
        <v>20</v>
      </c>
      <c r="D161" s="33" t="n">
        <v>25</v>
      </c>
      <c r="E161" s="33" t="n">
        <v>1</v>
      </c>
      <c r="F161" s="33" t="n">
        <v>1</v>
      </c>
      <c r="G161" s="33" t="s">
        <v>234</v>
      </c>
      <c r="H161" s="33" t="s">
        <v>225</v>
      </c>
    </row>
    <row r="162" customFormat="false" ht="15" hidden="false" customHeight="false" outlineLevel="0" collapsed="false">
      <c r="A162" s="30" t="n">
        <v>40</v>
      </c>
      <c r="B162" s="30" t="n">
        <v>1</v>
      </c>
      <c r="C162" s="30" t="n">
        <v>20</v>
      </c>
      <c r="D162" s="30" t="n">
        <v>25</v>
      </c>
      <c r="E162" s="30" t="n">
        <v>1</v>
      </c>
      <c r="F162" s="30" t="n">
        <v>1</v>
      </c>
      <c r="G162" s="30" t="s">
        <v>234</v>
      </c>
      <c r="H162" s="30" t="s">
        <v>216</v>
      </c>
    </row>
    <row r="163" customFormat="false" ht="15" hidden="false" customHeight="false" outlineLevel="0" collapsed="false">
      <c r="A163" s="31" t="n">
        <v>40</v>
      </c>
      <c r="B163" s="31" t="n">
        <v>2</v>
      </c>
      <c r="C163" s="31" t="n">
        <v>25</v>
      </c>
      <c r="D163" s="31" t="n">
        <v>28</v>
      </c>
      <c r="E163" s="31" t="n">
        <v>1</v>
      </c>
      <c r="F163" s="31" t="n">
        <v>1</v>
      </c>
      <c r="G163" s="31" t="s">
        <v>234</v>
      </c>
      <c r="H163" s="31" t="s">
        <v>219</v>
      </c>
    </row>
    <row r="164" customFormat="false" ht="15" hidden="false" customHeight="false" outlineLevel="0" collapsed="false">
      <c r="A164" s="32" t="n">
        <v>40</v>
      </c>
      <c r="B164" s="32" t="n">
        <v>3</v>
      </c>
      <c r="C164" s="32" t="n">
        <v>40</v>
      </c>
      <c r="D164" s="32" t="n">
        <v>45</v>
      </c>
      <c r="E164" s="32" t="n">
        <v>1</v>
      </c>
      <c r="F164" s="32" t="n">
        <v>1</v>
      </c>
      <c r="G164" s="32" t="s">
        <v>234</v>
      </c>
      <c r="H164" s="32" t="s">
        <v>222</v>
      </c>
    </row>
    <row r="165" customFormat="false" ht="15" hidden="false" customHeight="false" outlineLevel="0" collapsed="false">
      <c r="A165" s="33" t="n">
        <v>40</v>
      </c>
      <c r="B165" s="33" t="n">
        <v>4</v>
      </c>
      <c r="C165" s="33" t="n">
        <v>10</v>
      </c>
      <c r="D165" s="33" t="n">
        <v>12</v>
      </c>
      <c r="E165" s="33" t="n">
        <v>1</v>
      </c>
      <c r="F165" s="33" t="n">
        <v>1</v>
      </c>
      <c r="G165" s="33" t="s">
        <v>234</v>
      </c>
      <c r="H165" s="33" t="s">
        <v>225</v>
      </c>
    </row>
    <row r="166" customFormat="false" ht="15" hidden="false" customHeight="false" outlineLevel="0" collapsed="false">
      <c r="A166" s="30" t="n">
        <v>41</v>
      </c>
      <c r="B166" s="30" t="n">
        <v>1</v>
      </c>
      <c r="C166" s="30" t="n">
        <v>35</v>
      </c>
      <c r="D166" s="30" t="n">
        <v>40</v>
      </c>
      <c r="E166" s="30" t="n">
        <v>1</v>
      </c>
      <c r="F166" s="30" t="n">
        <v>1</v>
      </c>
      <c r="G166" s="30" t="s">
        <v>234</v>
      </c>
      <c r="H166" s="30" t="s">
        <v>216</v>
      </c>
    </row>
    <row r="167" customFormat="false" ht="15" hidden="false" customHeight="false" outlineLevel="0" collapsed="false">
      <c r="A167" s="31" t="n">
        <v>41</v>
      </c>
      <c r="B167" s="31" t="n">
        <v>2</v>
      </c>
      <c r="C167" s="31" t="n">
        <v>10</v>
      </c>
      <c r="D167" s="31" t="n">
        <v>12</v>
      </c>
      <c r="E167" s="31" t="n">
        <v>1</v>
      </c>
      <c r="F167" s="31" t="n">
        <v>1</v>
      </c>
      <c r="G167" s="31" t="s">
        <v>234</v>
      </c>
      <c r="H167" s="31" t="s">
        <v>219</v>
      </c>
    </row>
    <row r="168" customFormat="false" ht="15" hidden="false" customHeight="false" outlineLevel="0" collapsed="false">
      <c r="A168" s="32" t="n">
        <v>41</v>
      </c>
      <c r="B168" s="32" t="n">
        <v>3</v>
      </c>
      <c r="C168" s="32" t="n">
        <v>20</v>
      </c>
      <c r="D168" s="32" t="n">
        <v>25</v>
      </c>
      <c r="E168" s="32" t="n">
        <v>1</v>
      </c>
      <c r="F168" s="32" t="n">
        <v>1</v>
      </c>
      <c r="G168" s="32" t="s">
        <v>234</v>
      </c>
      <c r="H168" s="32" t="s">
        <v>222</v>
      </c>
    </row>
    <row r="169" customFormat="false" ht="15" hidden="false" customHeight="false" outlineLevel="0" collapsed="false">
      <c r="A169" s="33" t="n">
        <v>41</v>
      </c>
      <c r="B169" s="33" t="n">
        <v>4</v>
      </c>
      <c r="C169" s="33" t="n">
        <v>15</v>
      </c>
      <c r="D169" s="33" t="n">
        <v>18</v>
      </c>
      <c r="E169" s="33" t="n">
        <v>1</v>
      </c>
      <c r="F169" s="33" t="n">
        <v>1</v>
      </c>
      <c r="G169" s="33" t="s">
        <v>234</v>
      </c>
      <c r="H169" s="33" t="s">
        <v>225</v>
      </c>
    </row>
    <row r="170" customFormat="false" ht="15" hidden="false" customHeight="false" outlineLevel="0" collapsed="false">
      <c r="A170" s="30" t="n">
        <v>42</v>
      </c>
      <c r="B170" s="30" t="n">
        <v>1</v>
      </c>
      <c r="C170" s="30" t="n">
        <v>10</v>
      </c>
      <c r="D170" s="30" t="n">
        <v>12</v>
      </c>
      <c r="E170" s="30" t="n">
        <v>1</v>
      </c>
      <c r="F170" s="30" t="n">
        <v>1</v>
      </c>
      <c r="G170" s="30" t="s">
        <v>234</v>
      </c>
      <c r="H170" s="30" t="s">
        <v>216</v>
      </c>
    </row>
    <row r="171" customFormat="false" ht="15" hidden="false" customHeight="false" outlineLevel="0" collapsed="false">
      <c r="A171" s="31" t="n">
        <v>42</v>
      </c>
      <c r="B171" s="31" t="n">
        <v>2</v>
      </c>
      <c r="C171" s="31" t="n">
        <v>15</v>
      </c>
      <c r="D171" s="31" t="n">
        <v>18</v>
      </c>
      <c r="E171" s="31" t="n">
        <v>1</v>
      </c>
      <c r="F171" s="31" t="n">
        <v>1</v>
      </c>
      <c r="G171" s="31" t="s">
        <v>234</v>
      </c>
      <c r="H171" s="31" t="s">
        <v>219</v>
      </c>
    </row>
    <row r="172" customFormat="false" ht="15" hidden="false" customHeight="false" outlineLevel="0" collapsed="false">
      <c r="A172" s="32" t="n">
        <v>42</v>
      </c>
      <c r="B172" s="32" t="n">
        <v>3</v>
      </c>
      <c r="C172" s="32" t="n">
        <v>20</v>
      </c>
      <c r="D172" s="32" t="n">
        <v>25</v>
      </c>
      <c r="E172" s="32" t="n">
        <v>1</v>
      </c>
      <c r="F172" s="32" t="n">
        <v>1</v>
      </c>
      <c r="G172" s="32" t="s">
        <v>234</v>
      </c>
      <c r="H172" s="32" t="s">
        <v>222</v>
      </c>
    </row>
    <row r="173" customFormat="false" ht="15" hidden="false" customHeight="false" outlineLevel="0" collapsed="false">
      <c r="A173" s="33" t="n">
        <v>42</v>
      </c>
      <c r="B173" s="33" t="n">
        <v>4</v>
      </c>
      <c r="C173" s="33" t="n">
        <v>30</v>
      </c>
      <c r="D173" s="33" t="n">
        <v>35</v>
      </c>
      <c r="E173" s="33" t="n">
        <v>1</v>
      </c>
      <c r="F173" s="33" t="n">
        <v>1</v>
      </c>
      <c r="G173" s="33" t="s">
        <v>234</v>
      </c>
      <c r="H173" s="33" t="s">
        <v>225</v>
      </c>
    </row>
    <row r="174" customFormat="false" ht="15" hidden="false" customHeight="false" outlineLevel="0" collapsed="false">
      <c r="A174" s="30" t="n">
        <v>43</v>
      </c>
      <c r="B174" s="30" t="n">
        <v>1</v>
      </c>
      <c r="C174" s="30" t="n">
        <v>45</v>
      </c>
      <c r="D174" s="30" t="n">
        <v>50</v>
      </c>
      <c r="E174" s="30" t="n">
        <v>1</v>
      </c>
      <c r="F174" s="30" t="n">
        <v>1</v>
      </c>
      <c r="G174" s="30" t="s">
        <v>234</v>
      </c>
      <c r="H174" s="30" t="s">
        <v>216</v>
      </c>
    </row>
    <row r="175" customFormat="false" ht="15" hidden="false" customHeight="false" outlineLevel="0" collapsed="false">
      <c r="A175" s="31" t="n">
        <v>43</v>
      </c>
      <c r="B175" s="31" t="n">
        <v>2</v>
      </c>
      <c r="C175" s="31" t="n">
        <v>5</v>
      </c>
      <c r="D175" s="31" t="n">
        <v>5</v>
      </c>
      <c r="E175" s="31" t="n">
        <v>1</v>
      </c>
      <c r="F175" s="31" t="n">
        <v>1</v>
      </c>
      <c r="G175" s="31" t="s">
        <v>234</v>
      </c>
      <c r="H175" s="31" t="s">
        <v>219</v>
      </c>
    </row>
    <row r="176" customFormat="false" ht="15" hidden="false" customHeight="false" outlineLevel="0" collapsed="false">
      <c r="A176" s="32" t="n">
        <v>43</v>
      </c>
      <c r="B176" s="32" t="n">
        <v>3</v>
      </c>
      <c r="C176" s="32" t="n">
        <v>15</v>
      </c>
      <c r="D176" s="32" t="n">
        <v>18</v>
      </c>
      <c r="E176" s="32" t="n">
        <v>1</v>
      </c>
      <c r="F176" s="32" t="n">
        <v>1</v>
      </c>
      <c r="G176" s="32" t="s">
        <v>234</v>
      </c>
      <c r="H176" s="32" t="s">
        <v>222</v>
      </c>
    </row>
    <row r="177" customFormat="false" ht="15" hidden="false" customHeight="false" outlineLevel="0" collapsed="false">
      <c r="A177" s="33" t="n">
        <v>43</v>
      </c>
      <c r="B177" s="33" t="n">
        <v>4</v>
      </c>
      <c r="C177" s="33" t="n">
        <v>10</v>
      </c>
      <c r="D177" s="33" t="n">
        <v>12</v>
      </c>
      <c r="E177" s="33" t="n">
        <v>1</v>
      </c>
      <c r="F177" s="33" t="n">
        <v>1</v>
      </c>
      <c r="G177" s="33" t="s">
        <v>234</v>
      </c>
      <c r="H177" s="33" t="s">
        <v>225</v>
      </c>
    </row>
    <row r="178" customFormat="false" ht="15" hidden="false" customHeight="false" outlineLevel="0" collapsed="false">
      <c r="A178" s="30" t="n">
        <v>45</v>
      </c>
      <c r="B178" s="30" t="n">
        <v>1</v>
      </c>
      <c r="C178" s="30" t="n">
        <v>5</v>
      </c>
      <c r="D178" s="30" t="n">
        <v>5</v>
      </c>
      <c r="E178" s="30" t="n">
        <v>1</v>
      </c>
      <c r="F178" s="30" t="n">
        <v>1</v>
      </c>
      <c r="G178" s="30" t="s">
        <v>234</v>
      </c>
      <c r="H178" s="30" t="s">
        <v>216</v>
      </c>
    </row>
    <row r="179" customFormat="false" ht="15" hidden="false" customHeight="false" outlineLevel="0" collapsed="false">
      <c r="A179" s="31" t="n">
        <v>45</v>
      </c>
      <c r="B179" s="31" t="n">
        <v>2</v>
      </c>
      <c r="C179" s="31" t="n">
        <v>40</v>
      </c>
      <c r="D179" s="31" t="n">
        <v>45</v>
      </c>
      <c r="E179" s="31" t="n">
        <v>1</v>
      </c>
      <c r="F179" s="31" t="n">
        <v>1</v>
      </c>
      <c r="G179" s="31" t="s">
        <v>234</v>
      </c>
      <c r="H179" s="31" t="s">
        <v>219</v>
      </c>
    </row>
    <row r="180" customFormat="false" ht="15" hidden="false" customHeight="false" outlineLevel="0" collapsed="false">
      <c r="A180" s="32" t="n">
        <v>45</v>
      </c>
      <c r="B180" s="32" t="n">
        <v>3</v>
      </c>
      <c r="C180" s="32" t="n">
        <v>15</v>
      </c>
      <c r="D180" s="32" t="n">
        <v>18</v>
      </c>
      <c r="E180" s="32" t="n">
        <v>1</v>
      </c>
      <c r="F180" s="32" t="n">
        <v>1</v>
      </c>
      <c r="G180" s="32" t="s">
        <v>234</v>
      </c>
      <c r="H180" s="32" t="s">
        <v>222</v>
      </c>
    </row>
    <row r="181" customFormat="false" ht="15" hidden="false" customHeight="false" outlineLevel="0" collapsed="false">
      <c r="A181" s="33" t="n">
        <v>45</v>
      </c>
      <c r="B181" s="33" t="n">
        <v>4</v>
      </c>
      <c r="C181" s="33" t="n">
        <v>15</v>
      </c>
      <c r="D181" s="33" t="n">
        <v>18</v>
      </c>
      <c r="E181" s="33" t="n">
        <v>1</v>
      </c>
      <c r="F181" s="33" t="n">
        <v>1</v>
      </c>
      <c r="G181" s="33" t="s">
        <v>234</v>
      </c>
      <c r="H181" s="33" t="s">
        <v>225</v>
      </c>
    </row>
    <row r="182" customFormat="false" ht="15" hidden="false" customHeight="false" outlineLevel="0" collapsed="false">
      <c r="A182" s="30" t="n">
        <v>46</v>
      </c>
      <c r="B182" s="30" t="n">
        <v>1</v>
      </c>
      <c r="C182" s="30" t="n">
        <v>20</v>
      </c>
      <c r="D182" s="30" t="n">
        <v>25</v>
      </c>
      <c r="E182" s="30" t="n">
        <v>1</v>
      </c>
      <c r="F182" s="30" t="n">
        <v>1</v>
      </c>
      <c r="G182" s="30" t="s">
        <v>234</v>
      </c>
      <c r="H182" s="30" t="s">
        <v>216</v>
      </c>
    </row>
    <row r="183" customFormat="false" ht="15" hidden="false" customHeight="false" outlineLevel="0" collapsed="false">
      <c r="A183" s="31" t="n">
        <v>46</v>
      </c>
      <c r="B183" s="31" t="n">
        <v>2</v>
      </c>
      <c r="C183" s="31" t="n">
        <v>20</v>
      </c>
      <c r="D183" s="31" t="n">
        <v>25</v>
      </c>
      <c r="E183" s="31" t="n">
        <v>1</v>
      </c>
      <c r="F183" s="31" t="n">
        <v>1</v>
      </c>
      <c r="G183" s="31" t="s">
        <v>234</v>
      </c>
      <c r="H183" s="31" t="s">
        <v>219</v>
      </c>
    </row>
    <row r="184" customFormat="false" ht="15" hidden="false" customHeight="false" outlineLevel="0" collapsed="false">
      <c r="A184" s="32" t="n">
        <v>46</v>
      </c>
      <c r="B184" s="32" t="n">
        <v>3</v>
      </c>
      <c r="C184" s="32" t="n">
        <v>35</v>
      </c>
      <c r="D184" s="32" t="n">
        <v>40</v>
      </c>
      <c r="E184" s="32" t="n">
        <v>1</v>
      </c>
      <c r="F184" s="32" t="n">
        <v>1</v>
      </c>
      <c r="G184" s="32" t="s">
        <v>234</v>
      </c>
      <c r="H184" s="32" t="s">
        <v>222</v>
      </c>
    </row>
    <row r="185" customFormat="false" ht="15" hidden="false" customHeight="false" outlineLevel="0" collapsed="false">
      <c r="A185" s="33" t="n">
        <v>46</v>
      </c>
      <c r="B185" s="33" t="n">
        <v>4</v>
      </c>
      <c r="C185" s="33" t="n">
        <v>10</v>
      </c>
      <c r="D185" s="33" t="n">
        <v>12</v>
      </c>
      <c r="E185" s="33" t="n">
        <v>1</v>
      </c>
      <c r="F185" s="33" t="n">
        <v>1</v>
      </c>
      <c r="G185" s="33" t="s">
        <v>234</v>
      </c>
      <c r="H185" s="33" t="s">
        <v>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2" activeCellId="0" sqref="D22"/>
    </sheetView>
  </sheetViews>
  <sheetFormatPr defaultColWidth="8.6796875" defaultRowHeight="15" customHeight="false" zeroHeight="false" outlineLevelRow="0" outlineLevelCol="0"/>
  <cols>
    <col collapsed="false" customWidth="true" hidden="false" outlineLevel="0" max="2" min="1" style="1" width="10"/>
    <col collapsed="false" customWidth="true" hidden="false" outlineLevel="0" max="3" min="3" style="1" width="75"/>
    <col collapsed="false" customWidth="true" hidden="false" outlineLevel="0" max="4" min="4" style="1" width="14"/>
  </cols>
  <sheetData>
    <row r="1" customFormat="false" ht="23.85" hidden="false" customHeight="false" outlineLevel="0" collapsed="false">
      <c r="A1" s="24" t="s">
        <v>25</v>
      </c>
      <c r="B1" s="24" t="s">
        <v>30</v>
      </c>
      <c r="C1" s="24" t="s">
        <v>235</v>
      </c>
      <c r="D1" s="24"/>
    </row>
    <row r="2" customFormat="false" ht="22.35" hidden="false" customHeight="false" outlineLevel="0" collapsed="false">
      <c r="A2" s="7" t="n">
        <v>4</v>
      </c>
      <c r="B2" s="7" t="n">
        <v>3</v>
      </c>
      <c r="C2" s="7" t="s">
        <v>236</v>
      </c>
      <c r="D2" s="7"/>
    </row>
    <row r="3" customFormat="false" ht="22.35" hidden="false" customHeight="false" outlineLevel="0" collapsed="false">
      <c r="A3" s="9" t="n">
        <v>10</v>
      </c>
      <c r="B3" s="9" t="n">
        <v>2</v>
      </c>
      <c r="C3" s="9" t="s">
        <v>237</v>
      </c>
      <c r="D3" s="9"/>
    </row>
    <row r="4" customFormat="false" ht="22.35" hidden="false" customHeight="false" outlineLevel="0" collapsed="false">
      <c r="A4" s="7" t="n">
        <v>11</v>
      </c>
      <c r="B4" s="7" t="n">
        <v>2</v>
      </c>
      <c r="C4" s="7" t="s">
        <v>238</v>
      </c>
      <c r="D4" s="7"/>
    </row>
    <row r="5" customFormat="false" ht="22.35" hidden="false" customHeight="false" outlineLevel="0" collapsed="false">
      <c r="A5" s="9" t="n">
        <v>14</v>
      </c>
      <c r="B5" s="9" t="n">
        <v>1</v>
      </c>
      <c r="C5" s="9" t="s">
        <v>239</v>
      </c>
      <c r="D5" s="9"/>
    </row>
    <row r="6" customFormat="false" ht="22.35" hidden="false" customHeight="false" outlineLevel="0" collapsed="false">
      <c r="A6" s="7" t="n">
        <v>14</v>
      </c>
      <c r="B6" s="7" t="n">
        <v>3</v>
      </c>
      <c r="C6" s="7" t="s">
        <v>240</v>
      </c>
      <c r="D6" s="7"/>
    </row>
    <row r="7" customFormat="false" ht="22.35" hidden="false" customHeight="false" outlineLevel="0" collapsed="false">
      <c r="A7" s="9" t="n">
        <v>15</v>
      </c>
      <c r="B7" s="9" t="n">
        <v>6</v>
      </c>
      <c r="C7" s="9" t="s">
        <v>241</v>
      </c>
      <c r="D7" s="9"/>
    </row>
    <row r="8" customFormat="false" ht="22.35" hidden="false" customHeight="false" outlineLevel="0" collapsed="false">
      <c r="A8" s="7" t="n">
        <v>16</v>
      </c>
      <c r="B8" s="7" t="n">
        <v>7</v>
      </c>
      <c r="C8" s="7" t="s">
        <v>242</v>
      </c>
      <c r="D8" s="7"/>
    </row>
    <row r="9" customFormat="false" ht="22.35" hidden="false" customHeight="false" outlineLevel="0" collapsed="false">
      <c r="A9" s="9" t="n">
        <v>16</v>
      </c>
      <c r="B9" s="9" t="n">
        <v>17</v>
      </c>
      <c r="C9" s="9" t="s">
        <v>243</v>
      </c>
      <c r="D9" s="9"/>
    </row>
    <row r="10" customFormat="false" ht="22.35" hidden="false" customHeight="false" outlineLevel="0" collapsed="false">
      <c r="A10" s="7" t="n">
        <v>20</v>
      </c>
      <c r="B10" s="7" t="n">
        <v>1</v>
      </c>
      <c r="C10" s="7" t="s">
        <v>244</v>
      </c>
      <c r="D10" s="7"/>
    </row>
    <row r="11" customFormat="false" ht="22.35" hidden="false" customHeight="false" outlineLevel="0" collapsed="false">
      <c r="A11" s="9" t="n">
        <v>20</v>
      </c>
      <c r="B11" s="9" t="n">
        <v>14</v>
      </c>
      <c r="C11" s="9" t="s">
        <v>245</v>
      </c>
      <c r="D11" s="9"/>
    </row>
    <row r="12" customFormat="false" ht="22.35" hidden="false" customHeight="false" outlineLevel="0" collapsed="false">
      <c r="A12" s="7" t="n">
        <v>23</v>
      </c>
      <c r="B12" s="7" t="n">
        <v>20</v>
      </c>
      <c r="C12" s="7" t="s">
        <v>246</v>
      </c>
      <c r="D12" s="7"/>
    </row>
    <row r="13" customFormat="false" ht="22.35" hidden="false" customHeight="false" outlineLevel="0" collapsed="false">
      <c r="A13" s="9" t="n">
        <v>23</v>
      </c>
      <c r="B13" s="9" t="n">
        <v>13</v>
      </c>
      <c r="C13" s="9" t="s">
        <v>247</v>
      </c>
      <c r="D13" s="9"/>
    </row>
    <row r="14" customFormat="false" ht="22.35" hidden="false" customHeight="false" outlineLevel="0" collapsed="false">
      <c r="A14" s="7" t="n">
        <v>25</v>
      </c>
      <c r="B14" s="7" t="n">
        <v>24</v>
      </c>
      <c r="C14" s="7" t="s">
        <v>248</v>
      </c>
      <c r="D14" s="7"/>
    </row>
    <row r="15" customFormat="false" ht="22.35" hidden="false" customHeight="false" outlineLevel="0" collapsed="false">
      <c r="A15" s="9" t="n">
        <v>25</v>
      </c>
      <c r="B15" s="9" t="n">
        <v>27</v>
      </c>
      <c r="C15" s="9" t="s">
        <v>249</v>
      </c>
      <c r="D15" s="9"/>
    </row>
    <row r="16" customFormat="false" ht="22.35" hidden="false" customHeight="false" outlineLevel="0" collapsed="false">
      <c r="A16" s="7" t="n">
        <v>30</v>
      </c>
      <c r="B16" s="7" t="n">
        <v>15</v>
      </c>
      <c r="C16" s="7" t="s">
        <v>250</v>
      </c>
      <c r="D16" s="7"/>
    </row>
    <row r="17" customFormat="false" ht="22.35" hidden="false" customHeight="false" outlineLevel="0" collapsed="false">
      <c r="A17" s="9" t="n">
        <v>31</v>
      </c>
      <c r="B17" s="9" t="n">
        <v>30</v>
      </c>
      <c r="C17" s="9" t="s">
        <v>251</v>
      </c>
      <c r="D17" s="9"/>
    </row>
    <row r="18" customFormat="false" ht="22.35" hidden="false" customHeight="false" outlineLevel="0" collapsed="false">
      <c r="A18" s="7" t="n">
        <v>33</v>
      </c>
      <c r="B18" s="7" t="n">
        <v>30</v>
      </c>
      <c r="C18" s="7" t="s">
        <v>252</v>
      </c>
      <c r="D18" s="7"/>
    </row>
    <row r="19" customFormat="false" ht="22.35" hidden="false" customHeight="false" outlineLevel="0" collapsed="false">
      <c r="A19" s="9" t="n">
        <v>33</v>
      </c>
      <c r="B19" s="9" t="n">
        <v>31</v>
      </c>
      <c r="C19" s="9" t="s">
        <v>253</v>
      </c>
      <c r="D19" s="9"/>
    </row>
    <row r="20" customFormat="false" ht="22.35" hidden="false" customHeight="false" outlineLevel="0" collapsed="false">
      <c r="A20" s="7" t="n">
        <v>35</v>
      </c>
      <c r="B20" s="7" t="n">
        <v>19</v>
      </c>
      <c r="C20" s="7" t="s">
        <v>254</v>
      </c>
      <c r="D20" s="7"/>
    </row>
    <row r="21" customFormat="false" ht="22.35" hidden="false" customHeight="false" outlineLevel="0" collapsed="false">
      <c r="A21" s="9" t="n">
        <v>40</v>
      </c>
      <c r="B21" s="9" t="n">
        <v>33</v>
      </c>
      <c r="C21" s="9" t="s">
        <v>255</v>
      </c>
      <c r="D21" s="9"/>
    </row>
    <row r="22" customFormat="false" ht="22.35" hidden="false" customHeight="false" outlineLevel="0" collapsed="false">
      <c r="A22" s="7" t="n">
        <v>43</v>
      </c>
      <c r="B22" s="7" t="n">
        <v>41</v>
      </c>
      <c r="C22" s="7" t="s">
        <v>256</v>
      </c>
      <c r="D22"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28"/>
    <col collapsed="false" customWidth="true" hidden="false" outlineLevel="0" max="3" min="3" style="1" width="65"/>
    <col collapsed="false" customWidth="true" hidden="false" outlineLevel="0" max="5" min="4" style="1" width="18"/>
    <col collapsed="false" customWidth="true" hidden="false" outlineLevel="0" max="6" min="6" style="1" width="65"/>
  </cols>
  <sheetData>
    <row r="1" customFormat="false" ht="15" hidden="false" customHeight="false" outlineLevel="0" collapsed="false">
      <c r="A1" s="34" t="s">
        <v>257</v>
      </c>
    </row>
    <row r="2" customFormat="false" ht="15" hidden="false" customHeight="false" outlineLevel="0" collapsed="false">
      <c r="A2" s="35" t="s">
        <v>258</v>
      </c>
    </row>
    <row r="4" customFormat="false" ht="15" hidden="false" customHeight="false" outlineLevel="0" collapsed="false">
      <c r="A4" s="34" t="s">
        <v>259</v>
      </c>
    </row>
    <row r="5" customFormat="false" ht="15" hidden="false" customHeight="false" outlineLevel="0" collapsed="false">
      <c r="A5" s="35" t="s">
        <v>260</v>
      </c>
      <c r="B5" s="1" t="s">
        <v>261</v>
      </c>
      <c r="C5" s="1" t="s">
        <v>262</v>
      </c>
    </row>
    <row r="6" customFormat="false" ht="15" hidden="false" customHeight="false" outlineLevel="0" collapsed="false">
      <c r="A6" s="35" t="s">
        <v>263</v>
      </c>
      <c r="B6" s="1" t="s">
        <v>264</v>
      </c>
      <c r="C6" s="1" t="s">
        <v>265</v>
      </c>
    </row>
    <row r="7" customFormat="false" ht="15" hidden="false" customHeight="false" outlineLevel="0" collapsed="false">
      <c r="A7" s="35" t="s">
        <v>266</v>
      </c>
      <c r="B7" s="1" t="s">
        <v>267</v>
      </c>
      <c r="C7" s="1" t="s">
        <v>268</v>
      </c>
    </row>
    <row r="8" customFormat="false" ht="15" hidden="false" customHeight="false" outlineLevel="0" collapsed="false">
      <c r="A8" s="35" t="s">
        <v>269</v>
      </c>
      <c r="B8" s="1" t="s">
        <v>270</v>
      </c>
      <c r="C8" s="1" t="s">
        <v>271</v>
      </c>
    </row>
    <row r="9" customFormat="false" ht="15" hidden="false" customHeight="false" outlineLevel="0" collapsed="false">
      <c r="A9" s="35" t="s">
        <v>272</v>
      </c>
      <c r="B9" s="1" t="s">
        <v>273</v>
      </c>
      <c r="C9" s="1" t="s">
        <v>274</v>
      </c>
    </row>
    <row r="11" customFormat="false" ht="15" hidden="false" customHeight="false" outlineLevel="0" collapsed="false">
      <c r="A11" s="34" t="s">
        <v>275</v>
      </c>
    </row>
    <row r="12" customFormat="false" ht="15" hidden="false" customHeight="false" outlineLevel="0" collapsed="false">
      <c r="A12" s="35" t="s">
        <v>276</v>
      </c>
      <c r="B12" s="1" t="s">
        <v>277</v>
      </c>
      <c r="C12" s="1" t="s">
        <v>278</v>
      </c>
    </row>
    <row r="13" customFormat="false" ht="15" hidden="false" customHeight="false" outlineLevel="0" collapsed="false">
      <c r="A13" s="35" t="s">
        <v>279</v>
      </c>
      <c r="B13" s="1" t="s">
        <v>280</v>
      </c>
      <c r="C13" s="1" t="s">
        <v>281</v>
      </c>
    </row>
    <row r="14" customFormat="false" ht="15" hidden="false" customHeight="false" outlineLevel="0" collapsed="false">
      <c r="A14" s="35" t="s">
        <v>282</v>
      </c>
      <c r="B14" s="1" t="e">
        <f aca="false">MIN(48 ; 34 + ROUND((pre/24)*14, 0))</f>
        <v>#VALUE!</v>
      </c>
      <c r="C14" s="1" t="s">
        <v>283</v>
      </c>
    </row>
    <row r="15" customFormat="false" ht="15" hidden="false" customHeight="false" outlineLevel="0" collapsed="false">
      <c r="A15" s="35" t="s">
        <v>284</v>
      </c>
      <c r="B15" s="1" t="s">
        <v>285</v>
      </c>
      <c r="C15" s="1" t="s">
        <v>286</v>
      </c>
    </row>
    <row r="17" customFormat="false" ht="15" hidden="false" customHeight="false" outlineLevel="0" collapsed="false">
      <c r="A17" s="34" t="s">
        <v>287</v>
      </c>
    </row>
    <row r="18" customFormat="false" ht="15" hidden="false" customHeight="false" outlineLevel="0" collapsed="false">
      <c r="A18" s="35" t="s">
        <v>288</v>
      </c>
      <c r="B18" s="1" t="s">
        <v>289</v>
      </c>
    </row>
    <row r="19" customFormat="false" ht="15" hidden="false" customHeight="false" outlineLevel="0" collapsed="false">
      <c r="A19" s="35" t="s">
        <v>290</v>
      </c>
      <c r="B19" s="1" t="s">
        <v>291</v>
      </c>
      <c r="C19" s="1" t="s">
        <v>292</v>
      </c>
    </row>
    <row r="20" customFormat="false" ht="15" hidden="false" customHeight="false" outlineLevel="0" collapsed="false">
      <c r="A20" s="35" t="s">
        <v>293</v>
      </c>
      <c r="B20" s="1" t="s">
        <v>294</v>
      </c>
      <c r="C20" s="1" t="s">
        <v>295</v>
      </c>
    </row>
    <row r="21" customFormat="false" ht="15" hidden="false" customHeight="false" outlineLevel="0" collapsed="false">
      <c r="A21" s="35" t="s">
        <v>296</v>
      </c>
      <c r="B21" s="1" t="s">
        <v>297</v>
      </c>
      <c r="C21" s="1" t="s">
        <v>298</v>
      </c>
    </row>
    <row r="23" customFormat="false" ht="15" hidden="false" customHeight="false" outlineLevel="0" collapsed="false">
      <c r="A23" s="34" t="s">
        <v>299</v>
      </c>
    </row>
    <row r="24" customFormat="false" ht="15" hidden="false" customHeight="false" outlineLevel="0" collapsed="false">
      <c r="A24" s="35" t="s">
        <v>300</v>
      </c>
      <c r="B24" s="1" t="s">
        <v>301</v>
      </c>
      <c r="C24" s="1" t="s">
        <v>302</v>
      </c>
    </row>
    <row r="25" customFormat="false" ht="15" hidden="false" customHeight="false" outlineLevel="0" collapsed="false">
      <c r="A25" s="35" t="s">
        <v>303</v>
      </c>
      <c r="B25" s="1" t="s">
        <v>304</v>
      </c>
      <c r="C25" s="1" t="s">
        <v>305</v>
      </c>
    </row>
    <row r="26" customFormat="false" ht="15" hidden="false" customHeight="false" outlineLevel="0" collapsed="false">
      <c r="A26" s="35" t="s">
        <v>306</v>
      </c>
      <c r="B26" s="1" t="s">
        <v>307</v>
      </c>
      <c r="C26" s="1" t="s">
        <v>308</v>
      </c>
    </row>
    <row r="27" customFormat="false" ht="15" hidden="false" customHeight="false" outlineLevel="0" collapsed="false">
      <c r="A27" s="35" t="s">
        <v>309</v>
      </c>
      <c r="B27" s="1" t="s">
        <v>310</v>
      </c>
      <c r="C27" s="1" t="s">
        <v>311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2026-03-14T08:38:41Z</dcterms:created>
  <dc:creator>openpyxl</dc:creator>
  <dc:description/>
  <dc:language>pl-PL</dc:language>
  <cp:lastModifiedBy/>
  <dcterms:modified xsi:type="dcterms:W3CDTF">2026-03-16T16:31:46Z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
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rds" sheetId="1" r:id="rId5"/>
    <sheet state="visible" name="Decisions" sheetId="2" r:id="rId6"/>
    <sheet state="visible" name="Feedbacks" sheetId="3" r:id="rId7"/>
    <sheet state="visible" name="Processes" sheetId="4" r:id="rId8"/>
    <sheet state="visible" name="CardsWeight" sheetId="5" r:id="rId9"/>
    <sheet state="visible" name="EconomySettings" sheetId="6" r:id="rId10"/>
    <sheet state="visible" name="Cards" sheetId="7" r:id="rId11"/>
    <sheet state="visible" name="CardsWeights" sheetId="8" r:id="rId12"/>
    <sheet state="visible" name="CardsEnablers" sheetId="9" r:id="rId13"/>
  </sheets>
  <definedNames/>
  <calcPr/>
</workbook>
</file>

<file path=xl/sharedStrings.xml><?xml version="1.0" encoding="utf-8"?>
<sst xmlns="http://schemas.openxmlformats.org/spreadsheetml/2006/main" count="3647" uniqueCount="329">
  <si>
    <t>Name</t>
  </si>
  <si>
    <t>Labels_Up</t>
  </si>
  <si>
    <t>Labels_Right</t>
  </si>
  <si>
    <t>Description_Down</t>
  </si>
  <si>
    <t>Description_Left</t>
  </si>
  <si>
    <t>Rows</t>
  </si>
  <si>
    <t>Cols</t>
  </si>
  <si>
    <t>Border_Color</t>
  </si>
  <si>
    <t>Cell_Color</t>
  </si>
  <si>
    <t>Borders_Colors</t>
  </si>
  <si>
    <t>Cells_Descriptions</t>
  </si>
  <si>
    <t>Plansza Rynku</t>
  </si>
  <si>
    <t>Skalowalność modelu przychodu;Trafność komunikatu;Jakość doświadczenia klienta;Penetracja segmentu;</t>
  </si>
  <si>
    <t>Marża/Rentowność;Skuteczność lejka sprzedażowego;Zasięg/Reach;Lojalność/Retencja;</t>
  </si>
  <si>
    <t>#595959</t>
  </si>
  <si>
    <t>#fefae0</t>
  </si>
  <si>
    <t>#5faf4c;#f9e44d;#e32e81;#00b8e4</t>
  </si>
  <si>
    <t>Zysk;Widoczność;Konwersja;Udział w rynku</t>
  </si>
  <si>
    <t>Plansza Przygotowawcza</t>
  </si>
  <si>
    <t>Podstawowa;Zintegrowana;Inteligentna;Autonomiczna</t>
  </si>
  <si>
    <t>Operacyjna;Adaptacyjna;Strategiczna;Innowacyjna</t>
  </si>
  <si>
    <t>Automatyzacja Procesów</t>
  </si>
  <si>
    <t>Zwinność Procesów</t>
  </si>
  <si>
    <t>#212121</t>
  </si>
  <si>
    <t>#008000;#FFFF00;#FFA500;#FF0000</t>
  </si>
  <si>
    <t>Mapa strategiczna</t>
  </si>
  <si>
    <t>Mapa strategiczna;Planowanie;Implementacja;Kontrola</t>
  </si>
  <si>
    <t>Strategia;Taktyka;Operacje</t>
  </si>
  <si>
    <t>Etapy zarządzania</t>
  </si>
  <si>
    <t>Poziomy zarządzania</t>
  </si>
  <si>
    <t>#444444</t>
  </si>
  <si>
    <t>#e0f7fa</t>
  </si>
  <si>
    <t>#1abc9c;#3498db;#f39c12;#e74c3c</t>
  </si>
  <si>
    <t>Cards_Id</t>
  </si>
  <si>
    <t>Decisions_Short_Desc</t>
  </si>
  <si>
    <t>Decisions_Long_Desc</t>
  </si>
  <si>
    <t>Decisions_Cost_Bits</t>
  </si>
  <si>
    <t>Decisions_Cost_Bits_Weight</t>
  </si>
  <si>
    <t>Enablers_Id</t>
  </si>
  <si>
    <t>Default_Weight_X</t>
  </si>
  <si>
    <t>Default_Weight_Y</t>
  </si>
  <si>
    <t>Default_Booster_X</t>
  </si>
  <si>
    <t>Default_Booster_Y</t>
  </si>
  <si>
    <t>Phase</t>
  </si>
  <si>
    <t>Audyt dojrzałości cyfrowej</t>
  </si>
  <si>
    <t>Zanim zaczniesz inwestować, sprawdź gdzie jesteś. Oceń stan infrastruktury IT, kompetencje zespołu i jakość danych w firmie. Wynik audytu pokaże Ci, które obszary wymagają wzmocnienia przed wejściem do e-commerce. To Twoja mapa startowa – bez niej działasz w ciemno.</t>
  </si>
  <si>
    <t>Segmentacja klientów</t>
  </si>
  <si>
    <t>Kim są Twoi klienci? Podziel ich na grupy według zachowań, potrzeb i możliwości zakupowych. Dla każdego segmentu zrozum co ich boli, czego pragną i jakie zadania chcą wykonać. Ten krok sprawi, że każda kolejna decyzja – od ceny po marketing – będzie celniejsza.</t>
  </si>
  <si>
    <t>Propozycja wartości online</t>
  </si>
  <si>
    <t>Dlaczego klient miałby kupić grill u Ciebie, a nie u konkurencji? Zdefiniuj swoją unikalną ofertę dla kanału online – co zyskuje klient, jakich problemów mu oszczędzasz i czym naprawdę się wyróżniasz. Bez wyraźnej odpowiedzi na to pytanie reszta działań jest przepalaniem budżetu.</t>
  </si>
  <si>
    <t>Analiza konkurencji</t>
  </si>
  <si>
    <t>Sprawdź co robią rywale. Przejrzyj ich sklepy, ceny, komunikację i opinie klientów. Zidentyfikuj ich słabe strony i luki w ofercie – to miejsca, w które możesz uderzyć. Znajomość konkurencji to przewaga, której nie da się kupić.</t>
  </si>
  <si>
    <t>Wybór platformy e-commerce</t>
  </si>
  <si>
    <t>Wybierz silnik swojego sklepu – platformę na której zbudujesz całą sprzedaż online. Oceń możliwości integracji z Twoimi systemami, koszty oraz łatwość obsługi. To decyzja na lata, więc warto ją podjąć świadomie zamiast przeprowadzać kosztowne migracje w przyszłości.</t>
  </si>
  <si>
    <t>Cyfryzacja katalogu produktów</t>
  </si>
  <si>
    <t>Przenieś swoje produkty do świata online w sposób który sprzedaje. Profesjonalne zdjęcia, rzetelne opisy, jasne specyfikacje i dane techniczne – to wszystko, czego klient szuka zanim kliknie 'kup'. Dobry katalog zastępuje sprzedawcę i pracuje przez całą dobę.</t>
  </si>
  <si>
    <t>Strategia cenowa online</t>
  </si>
  <si>
    <t>Ustal ceny które zarabiają i jednocześnie wygrywają z konkurencją. Przemyśl relację cen online do oferty stacjonarnej, uwzględnij koszty dostawy i możliwości promocji. Pamiętaj: zbyt niska cena niszczy marżę, zbyt wysoka wyklucza z rynku.</t>
  </si>
  <si>
    <t>Integracja systemów ERP i CRM</t>
  </si>
  <si>
    <t>Połącz sklep internetowy z systemem, w którym zarządzasz magazynem i klientami. Dzięki temu stany magazynowe aktualizują się automatycznie, a historia każdego klienta jest dostępna w jednym miejscu. Bez tej integracji przy większej skali sprzedaży grzęźniesz w ręcznej pracy.
⚠ Wymaga: Wyboru platformy e-commerce (karta 5)</t>
  </si>
  <si>
    <t>5</t>
  </si>
  <si>
    <t>Strategia logistyczna</t>
  </si>
  <si>
    <t>Zaplanuj jak produkt dotrze do klienta i co się stanie gdy zechce go zwrócić. Wybierz operatorów kurierskich, ustal progi darmowej dostawy i politykę zwrotów. Szybka dostawa i bezproblemowy zwrot to dziś standard – bez tego tracisz klientów na finiszu zakupu.</t>
  </si>
  <si>
    <t>Zielona logistyka i ekologiczne opakowania</t>
  </si>
  <si>
    <t>Twoja firma może dostarczać grille i jednocześnie dbać o środowisko. Wprowadź opakowania z recyclingu, wybierz przewoźników kompensujących emisję CO₂ i konsoliduj przesyłki. Coraz więcej klientów świadomie wybiera marki odpowiedzialne ekologicznie – to Twoja szansa na wyróżnienie.</t>
  </si>
  <si>
    <t>Implementacja bramek płatniczych</t>
  </si>
  <si>
    <t>Daj klientom zapłacić tak jak lubią. BLIK, karty, PayPal, przelewy ekspresowe, płatności odroczone – im więcej opcji, tym mniej powodów do porzucenia koszyka. Brak ulubionej metody płatności to jeden z najczęstszych powodów rezygnacji z zakupu w ostatniej chwili.</t>
  </si>
  <si>
    <t>Standard obsługi klienta online</t>
  </si>
  <si>
    <t>Zadbaj o to, żeby klient nigdy nie czuł się sam. Wdróż live chat, jasne FAQ i przejrzystą politykę zwrotów. Szybka i pomocna obsługa zamienia jednorazowych kupujących w lojalnych klientów i pozytywne opinie – które z kolei przyciągają kolejnych.</t>
  </si>
  <si>
    <t>Szkolenie zespołu</t>
  </si>
  <si>
    <t>Twoje systemy są tak dobre jak ludzie, którzy z nich korzystają. Przeszkól zespół z obsługi platformy, podstaw SEO, analityki i procesów logistycznych. Wyznacz e-commerce managera który będzie koordynował całość. Kompetentny zespół to fundament sprawnego sklepu.</t>
  </si>
  <si>
    <t>Plan marketingu cyfrowego</t>
  </si>
  <si>
    <t>Zaplanuj jak dotrzesz do klientów zanim zaczniesz wydawać pieniądze. Wybierz kanały – SEO, Google Ads, social media, email – i określ co chcesz osiągnąć w każdym z nich. Plan marketingowy zamienia chaotyczne wydatki w inwestycję z mierzalnym zwrotem.</t>
  </si>
  <si>
    <t>Projektowanie UX/UI sklepu</t>
  </si>
  <si>
    <t>Zadbaj o to, żeby zakupy w Twoim sklepie były przyjemnością a nie frustracją. Intuicyjna nawigacja, szybkie ładowanie, prosty checkout i doskonałe działanie na telefonie to dziś obowiązkowe minimum. 7 na 10 porzuconych koszyków wynika ze złego doświadczenia zakupowego.</t>
  </si>
  <si>
    <t>6;5</t>
  </si>
  <si>
    <t>System monitorowania KPI</t>
  </si>
  <si>
    <t>Ustaw liczniki, które powiedzą Ci czy idzie dobrze czy źle. Wskaźniki konwersji, średnia wartość zamówienia, koszt pozyskania klienta – to Twoja tablica rozdzielcza. Sklep bez analityki to jak jazda samochodem bez deski rozdzielczej – nie wiesz kiedy skończy się benzyna.</t>
  </si>
  <si>
    <t>Testy i odbiór techniczny sklepu</t>
  </si>
  <si>
    <t>Przetestuj wszystko zanim klient zobaczy sklep. Sprawdź czy płatności działają, strona szybko się ładuje i nie ma błędów na ścieżce zakupowej. Problemy techniczne w dniu startu kosztują reputację i sprzedaż – i bardzo trudno je odrobić.</t>
  </si>
  <si>
    <t>Compliance prawne</t>
  </si>
  <si>
    <t>Zadbaj o regulamin, politykę prywatności i informacje wymagane przez prawo konsumenckie. To nie biurokracja – to fundament zaufania klienta i ochrona przed karami finansowymi. Przejrzyste warunki zakupu to sygnał, że jesteś wiarygodnym sprzedawcą.</t>
  </si>
  <si>
    <t>Kampania zapowiedzi – pre-launch</t>
  </si>
  <si>
    <t>Zacznij budować widownię zanim sklep ruszy. Landing page z zapisem do newslettera, zapowiedzi w social media i oferty early bird zbierają potencjalnych klientów przed startem. Dzięki temu w dniu uruchomienia masz do kogo napisać – i generujesz sprzedaż od pierwszego dnia.
⚠ Wymaga: Planu marketingu cyfrowego (karta 14) + Segmentacji klientów (karta 2)</t>
  </si>
  <si>
    <t>14;2</t>
  </si>
  <si>
    <t>Model finansowy e-commerce</t>
  </si>
  <si>
    <t>Policz zanim zapłacisz. Stwórz prosty model który pokaże Ci: ile musisz sprzedać żeby wyjść na zero, jaki budżet marketingowy jest rozsądny i kiedy inwestycja w e-commerce się zwróci. Firmy które działają bez modelu finansowego zazwyczaj dowiadują się że 'coś nie gra' za późno.</t>
  </si>
  <si>
    <t>Mapa podróży klienta</t>
  </si>
  <si>
    <t>Przejdź ścieżką klienta krok po kroku – od momentu gdy po raz pierwszy słyszy o Twojej marce, przez rozważanie zakupu, aż po doświadczenie po dostawie. Zidentyfikuj momenty w których możesz go zachwycić i te, w których możesz go stracić. Kto rozumie klienta lepiej niż konkurencja – wygrywa.</t>
  </si>
  <si>
    <t>Pilotaż z grupą testową – soft launch</t>
  </si>
  <si>
    <t>Uruchom sklep w cichym trybie dla wybranej grupy klientów – zanim otworzy się dla wszystkich. Zbierz prawdziwy feedback, sprawdź co nie działa pod presją rzeczywistych zakupów i popraw zanim błędy zobaczą tysiące osób. Lepszy problem zgłoszony przez 10 osób niż przez 10 000.</t>
  </si>
  <si>
    <t>★ WEJŚCIE NA RYNEK E-COMMERCE ★</t>
  </si>
  <si>
    <t>To jest moment. Oficjalnie uruchamiasz sklep internetowy i wchodzisz na rynek e-commerce. Od tej chwili zaczyna się Mapa 2 – walka o klientów, widoczność i zysk. Im lepiej przygotowałeś się na Mapie 1, tym silniejsze będą efekty każdej kolejnej decyzji.</t>
  </si>
  <si>
    <t>5;11;17</t>
  </si>
  <si>
    <t>Kampania SEO – widoczność organiczna</t>
  </si>
  <si>
    <t>Pojawiaj się na szczycie Google gdy klient szuka grilla. Optymalizuj opisy produktów pod słowa kluczowe, buduj wartościowe treści i zdobywaj linki z innych stron. SEO to inwestycja która procentuje latami – każdy zaoszczędzony złoty na reklamach przekłada się bezpośrednio na zysk.</t>
  </si>
  <si>
    <t>Kampanie Google Ads (SEM)</t>
  </si>
  <si>
    <t>Kup widoczność tam gdzie klienci szukają produktów. Kampanie w wyszukiwarce i Google Shopping trafiają do ludzi z konkretną intencją zakupu – w chwili gdy są gotowi zapłacić. Efekty są natychmiastowe, choć wymagają stałego budżetu i systematycznej optymalizacji.</t>
  </si>
  <si>
    <t>Marketing w social mediach</t>
  </si>
  <si>
    <t>Buduj społeczność wokół grillowania. Regularne posty, tutoriale, sezonowe inspiracje i kampanie Meta Ads docierają do pasjonatów BBQ zanim jeszcze pomyślą o zakupie. Silna marka w social media to długoterminowy zasób, który obniża koszty reklamy z każdym miesiącem.</t>
  </si>
  <si>
    <t>Content marketing – blog grillowy</t>
  </si>
  <si>
    <t>Zostań ekspertem którego klienci szukają. Artykuły z przepisami, poradniki, rankingi i porównania grilli przyciągają ruch organiczny i budują zaufanie do marki. Wartościowy content sprzedaje subtelniej niż reklama – i nie kończy się gdy skończy się budżet.</t>
  </si>
  <si>
    <t>24</t>
  </si>
  <si>
    <t>Email marketing i automatyzacja</t>
  </si>
  <si>
    <t>Wyślij właściwą wiadomość do właściwej osoby we właściwym momencie. Automatyczne sekwencje emaili witają nowych klientów, przypominają o porzuconym koszyku i reaktywują nieaktywnych kupujących. Dobrze ustawiona automatyzacja pracuje na sprzedaż przez całą dobę bez Twojej interwencji.</t>
  </si>
  <si>
    <t>Optymalizacja UX na podstawie danych</t>
  </si>
  <si>
    <t>Śledź jak klienci poruszają się po sklepie i usuń bariery które zatrzymują ich przed zakupem. Nagrania sesji, mapy ciepła i analiza lejka wskazują gdzie tracisz sprzedaż. Poprawa jednego kroku w ścieżce zakupowej może zwiększyć konwersję o kilkadziesiąt procent.</t>
  </si>
  <si>
    <t>A/B Testing – optymalizacja konwersji</t>
  </si>
  <si>
    <t>Testuj dwie wersje strony i sprawdź która sprzedaje lepiej. Nagłówek, kolor przycisku, układ zdjęć, opis produktu – każdy element wpływa na decyzję klienta. Systematyczne testy zamieniają intuicję w pewność.</t>
  </si>
  <si>
    <t>29;16</t>
  </si>
  <si>
    <t>Program lojalnościowy</t>
  </si>
  <si>
    <t>Nagradzaj klientów którzy wracają. Punkty za zakupy, rabaty urodzinowe, ekskluzywne oferty dla stałych kupujących i program 'poleć znajomego' sprawiają że jednorazowy klient staje się ambasadorem marki. Zatrzymanie klienta jest 5 razy tańsze niż pozyskanie nowego.</t>
  </si>
  <si>
    <t>Sprzedaż na marketplace – Allegro / Amazon</t>
  </si>
  <si>
    <t>Wejdź tam gdzie klienci już kupują. Allegro i Amazon dają Ci natychmiastowy dostęp do milionów kupujących bez konieczności budowania własnego ruchu. Marketplace to świetny kanał pozyskiwania nowych klientów – a do własnego sklepu przyciągniesz ich programem lojalnościowym.</t>
  </si>
  <si>
    <t>Influencer marketing i program afiliacyjny</t>
  </si>
  <si>
    <t>Niech inni mówią o Twoich produktach. Współpraca z blogerami kulinarnymi, YouTuberami grillowymi i twórcami na TikToku przynosi autentyczne rekomendacje które trafiają do zaangażowanej społeczności. Model afiliacyjny jest bezpieczny – płacisz prowizję tylko od realnej sprzedaży.</t>
  </si>
  <si>
    <t>Kampanie remarketingowe</t>
  </si>
  <si>
    <t>Przypomnij o sobie klientom którzy oglądali produkty ale nie kupili. Reklamy remarketingowe w Google i Meta pokazują dokładnie te produkty które ich interesowały – w momencie gdy są gotowi do decyzji. To jedne z najtańszych i najskuteczniejszych reklam w e-commerce.</t>
  </si>
  <si>
    <t>25</t>
  </si>
  <si>
    <t>Cross-selling i up-selling</t>
  </si>
  <si>
    <t>Zwiększaj wartość każdego zamówienia. Proponuj klientom akcesoria do kupionego grilla, lepsze modele, zestawy i uzupełnienia. Inteligentne rekomendacje w koszyku i na stronie produktu podnoszą średnią wartość zamówienia – bez dodatkowego kosztu pozyskania klienta.</t>
  </si>
  <si>
    <t>Model subskrypcyjny – Grill Box</t>
  </si>
  <si>
    <t>Zamień jednorazowych kupujących w regularnych klientów. Miesięczna skrzynka z węglem premium, sosami i akcesoriami grillowymi dostarcza wartość co miesiąc i generuje przewidywalny przychód. Subskrypcja to najstabilniejszy model przychodów.</t>
  </si>
  <si>
    <t>31;28</t>
  </si>
  <si>
    <t>Optymalizacja kosztów operacyjnych</t>
  </si>
  <si>
    <t>Zarabiaj więcej bez podnoszenia cen. Zautomatyzuj wystawianie faktur, negocjuj stawki kurierskie, uprość obsługę zwrotów i zoptymalizuj opakowania. Redukcja kosztów operacyjnych o 10% przekłada się bezpośrednio na wzrost marży – to czysty zysk bez dodatkowej sprzedaży.</t>
  </si>
  <si>
    <t>Social proof – recenzje i certyfikaty</t>
  </si>
  <si>
    <t>Daj klientom powód żeby Ci zaufali. Zbieraj opinie po każdym zakupie i pokazuj je na stronach produktów. Certyfikaty jakości, nagrody branżowe i setki pozytywnych recenzji mówią więcej niż najlepsza reklama. Nowy klient który widzi 4,8/5 z 200 opinii rzadko odchodzi do konkurencji.</t>
  </si>
  <si>
    <t>Ekspansja na nowe rynki</t>
  </si>
  <si>
    <t>Wyjdź poza Polskę. Czesi, Słowacy i Niemcy też grillują – a tamtejsze rynki mogą być mniej konkurencyjne niż polski. Allegro CZ i Amazon DE to bezpieczne pierwsze kroki na nowe terytoria.</t>
  </si>
  <si>
    <t>32;9</t>
  </si>
  <si>
    <t>Linia eco-friendly – green economy</t>
  </si>
  <si>
    <t>Daj klientom możliwość grillowania z czystym sumieniem. Wprowadź do oferty grille elektryczne, na bioetanol lub wodór oraz akcesoria z materiałów ekologicznych. Certyfikaty środowiskowe i transparentna komunikacja budują wiarygodność wśród rosnącej grupy świadomych konsumentów – i otwierają zupełnie nowy segment rynku.</t>
  </si>
  <si>
    <t>Business Intelligence i analityka</t>
  </si>
  <si>
    <t>Zamień dane w decyzje. Połącz informacje z Google Analytics, CRM i platformy e-commerce w jeden dashboard który pokazuje co napędza sprzedaż, kto jest Twoim najlepszym klientem i gdzie tracisz pieniądze. Firmy które decydują na podstawie danych rosną szybciej niż te które ufają przeczuciom.</t>
  </si>
  <si>
    <t>Sezonowe kampanie promocyjne</t>
  </si>
  <si>
    <t>Grill to produkt sezonowy – wykorzystaj to. Zaplanuj kampanie na kluczowe momenty roku: start sezonu grillowego (kwiecień-maj), Dzień Ojca, letnie promocje, Black Friday i przedświąteczne zestawy. Odpowiednia kampania we właściwym momencie generuje wielokrotność miesięcznej sprzedaży w kilka dni.</t>
  </si>
  <si>
    <t>Ceneo i porównywarki cenowe</t>
  </si>
  <si>
    <t>Bądź widoczny tam gdzie klienci porównują ceny. Integracja z Ceneo, Skąpiec i Google Shopping sprawia że Twoje produkty pojawiają się obok konkurencji – z Twoją ceną, dostępnością i opiniami. Klienci którzy trafią do Ciebie przez porównywarkę są gotowi kupić – wystarczy wygrać ceną lub jakością oferty.</t>
  </si>
  <si>
    <t>Status</t>
  </si>
  <si>
    <t>Feedbacks_Long_Description</t>
  </si>
  <si>
    <t>Audyt ujawnił dokładny obraz firmy – wiesz gdzie jesteś i co wymaga wzmocnienia. Masz solidną podstawę do budowania planu transformacji i każdej kolejnej decyzji inwestycyjnej.</t>
  </si>
  <si>
    <t>Masz precyzyjny obraz klientów i rozumiesz co ich motywuje. Twoje decyzje marketingowe i produktowe będą celniejsze niż u konkurentów którzy działają na domysłach.</t>
  </si>
  <si>
    <t>Twoja propozycja wartości jest wyraźna i przekonująca. Klienci rozumieją dlaczego mają wybrać właśnie Ciebie spośród dziesiątek sklepów z grillami.</t>
  </si>
  <si>
    <t>Znasz mocne i słabe strony rywali oraz luki rynkowe które możesz zagospodarować. To bezcenna wiedza – teraz możesz trafić tam gdzie konkurencja jest najsłabsza.</t>
  </si>
  <si>
    <t>Platforma idealnie dopasowana do Twoich potrzeb. Integracje działają sprawnie i możesz skupić się na sprzedaży zamiast problemach technicznych.</t>
  </si>
  <si>
    <t>Profesjonalny katalog który sprzedaje przez całą dobę. Klienci mają wszystko czego potrzebują do decyzji – bez konieczności dzwonienia i wychodzenia ze sklepu.</t>
  </si>
  <si>
    <t>Ceny które zarabiają i wygrywają z konkurencją jednocześnie. Model cenowy jest spójny – marże zdrowe, klienci zadowoleni, a Ty wiesz dokładnie ile zarabiasz na każdej transakcji.</t>
  </si>
  <si>
    <t>Integracja ERP i CRM działa bezproblemowo. Zamówienia spływają automatycznie, stany magazynowe się zgadzają, a dane klientów są zawsze aktualne i dostępne w jednym miejscu.</t>
  </si>
  <si>
    <t>Ręczna synchronizacja danych generuje błędy i opóźnienia. Klienci zamawiają produkty których nie ma w magazynie – a Ty tracisz czas na ręczne korekty zamiast rozwijać sprzedaż.</t>
  </si>
  <si>
    <t>Logistyka jest Twoją przewagą. Szybka dostawa, przejrzyste zwroty i konkurencyjne koszty sprawiają że klienci wracają i polecają sklep znajomym.</t>
  </si>
  <si>
    <t>Zielona logistyka stała się realnym atutem marki. Klienci ekologicznie świadomi aktywnie wybierają Twój sklep – certyfikaty środowiskowe robią robotę.</t>
  </si>
  <si>
    <t>Bogaty wybór metod płatności eliminuje bariery zakupowe. Odsetek porzuconych koszyków z powodu braku preferowanej metody płatności spadł do absolutnego minimum.</t>
  </si>
  <si>
    <t>Obsługa na poziomie który buduje lojalność. Szybkie odpowiedzi i bezproblemowe zwroty przekształcają problemy w pozytywne doświadczenia i powracających klientów.</t>
  </si>
  <si>
    <t>Zespół sprawnie operuje narzędziami i procesami. E-commerce manager trzyma rękę na pulsie – sklep działa jak dobrze naoliwiona maszyna od pierwszego dnia.</t>
  </si>
  <si>
    <t>Strategia marketingowa jest spójna i mierzalna. Każdy kanał ma swoją rolę i budżet – działasz planowo zamiast chaotycznie, a każda złotówka ma określony cel.</t>
  </si>
  <si>
    <t>Sklep jest intuicyjny i szybki na każdym urządzeniu. Klienci docierają do kasy bez frustracji – ścieżka zakupowa nie stawia żadnych niepotrzebnych barier.</t>
  </si>
  <si>
    <t>Sklep zaprojektowany bez uwzględnienia katalogu produktów i ograniczeń platformy. Nawigacja nie odpowiada strukturze oferty, a część funkcji UX jest technicznie niemożliwa do wdrożenia. Klienci odchodzą sfrustrowaną – a przeprojektowanie kosztuje tyle co pierwsze wdrożenie.</t>
  </si>
  <si>
    <t>Masz pełny wgląd w to co działa. Dane z dashboardu KPI pozwalają reagować na problemy zanim staną się kryzysem i alokować budżet tam gdzie przynosi największy zwrot.</t>
  </si>
  <si>
    <t>Start przebiegł bez żadnego błędu technicznego. Pierwsi klienci mieli doskonałe doświadczenie – zaufanie do marki budowane jest od pierwszej wizyty.</t>
  </si>
  <si>
    <t>Sklep w pełni zgodny z prawem. Klienci widzą przejrzyste warunki zakupu i czują że trafiają do profesjonalnego i wiarygodnego sprzedawcy.</t>
  </si>
  <si>
    <t>Kampania pre-launch zebrała ponad 2 000 adresów email. W dniu startu masz do kogo napisać – i generujesz sprzedaż od pierwszych godzin bez potrzeby płatnych reklam.</t>
  </si>
  <si>
    <t>Kampania pre-launch bez segmentacji klientów i strategii marketingowej to losowe działania w social media. Zebrane emaile należą do osób niezainteresowanych Twoją ofertą – lista jest bezużyteczna. W dniu startu wysyłasz do pustej widowni.</t>
  </si>
  <si>
    <t>Model finansowy potwierdza opłacalność i wskazuje realistyczny próg rentowności. Wiesz ile musisz sprzedać i możesz planować budżet marketingowy bez zgadywania.</t>
  </si>
  <si>
    <t>Mapa podróży klienta ujawniła krytyczne momenty w których możesz zachwycić lub stracić kupującego. Sklep i komunikacja są teraz zoptymalizowane pod rzeczywiste zachowania.</t>
  </si>
  <si>
    <t>Pilotaż ujawnił kilka krytycznych błędów zanim zobaczył je cały rynek. Poprawki wprowadzone w ciszy kosztują ułamek kryzysu reputacyjnego przy pełnym launchu.</t>
  </si>
  <si>
    <t>Oficjalny start! Mapa 2 jest odblokowana. Mnożnik przygotowania aktywny – Twoje decyzje rynkowe są tym silniejsze im więcej kart zagrałeś na Mapie 1. Czas na zdobywanie rynku.</t>
  </si>
  <si>
    <t>Sklep uruchomiony bez sprawdzonych płatności lub testów technicznych. Pierwsi klienci trafiają na błędy w procesie zakupu – i już nie wracają. Zaufanie do marki buduje się latami, a traci w pierwszej minucie od startu.</t>
  </si>
  <si>
    <t>SEO przynosi efekty. Ruch organiczny rośnie co miesiąc, a koszt pozyskania klienta z Google jest kilkukrotnie niższy niż z płatnych reklam – i rośnie bez wzrostu budżetu.</t>
  </si>
  <si>
    <t>Google Ads generuje pozytywny ROAS. Kampanie Shopping trafiają w intencje zakupowe klientów w chwili gdy są gotowi zapłacić – sprzedaż rośnie przy kontrolowanych kosztach.</t>
  </si>
  <si>
    <t>Social media budują aktywną społeczność fanów grillowania. Organiczny zasięg rośnie, a kampanie Meta trafiają precyzyjnie do segmentu docelowego z rosnącą skutecznością.</t>
  </si>
  <si>
    <t>Blog grillowy stał się źródłem wartościowego ruchu organicznego. Klienci trafiają przez eksperckie treści i są już gotowi do zakupu – konwersja z tego kanału należy do najwyższych.</t>
  </si>
  <si>
    <t>Blog istnieje ale nikt go nie czyta. Treści niezoptymalizowane pod SEO nie pojawiają się w wynikach wyszukiwania – inwestycja w content nie przynosi zwrotu bez solidnego fundamentu SEO.</t>
  </si>
  <si>
    <t>Automatyzacja email pracuje za Ciebie bez przerwy. Porzucone koszyki odzyskiwane automatycznie, personalizowane kampanie z open rate 3× wyższym niż branżowa średnia.</t>
  </si>
  <si>
    <t>Iteracyjne poprawki UX przynoszą wymierne efekty. Konwersja wzrosła znacząco po uproszczeniu procesu zakupowego – dane behawioralne wskazywały dokładnie gdzie są problemy.</t>
  </si>
  <si>
    <t>Testy A/B odsłaniają zaskakujące prawdy o zachowaniach klientów. Każda iteracja podnosi konwersję – decyzje oparte na danych systematycznie wyprzedzają intuicję.</t>
  </si>
  <si>
    <t>Testy A/B bez danych behawioralnych z UX i bez systemu KPI dają wyniki przypadkowe. Nie wiesz co testować ani jak mierzyć sukces. Decyzje podejmowane na podstawie takich testów są tak samo ryzykowne jak intuicja – tylko droższe.</t>
  </si>
  <si>
    <t>Program lojalnościowy angażuje rosnącą grupę klientów. Powracający kupujący generują większość przychodu przy znacznie niższych kosztach niż pozyskanie nowych.</t>
  </si>
  <si>
    <t>Allegro otwiera dostęp do milionów kupujących bez kosztów budowania własnego ruchu. Marketplace przyciąga nowych klientów którzy następnie wracają bezpośrednio do Twojego sklepu.</t>
  </si>
  <si>
    <t>Influencerzy grillowi polecają Twoje produkty swoim zaangażowanym społecznościom. Autentyczne rekomendacje konwertują znacznie lepiej niż tradycyjna reklama display.</t>
  </si>
  <si>
    <t>Remarketing skutecznie dogania klientów którzy odwiedzili sklep bez zakupu. CTR reklam remarketingowych jest kilkukrotnie wyższy niż standardowych kampanii – przy niższym koszcie kliknięcia.</t>
  </si>
  <si>
    <t>Remarketing bez aktywnych kampanii Google Ads nie ma skonfigurowanego piksela konwersji. Reklamy nie trafiają do właściwych odbiorców i przepalają budżet bez mierzalnego efektu.</t>
  </si>
  <si>
    <t>Cross-sell i up-sell podniosły średnią wartość zamówienia o blisko 30%. Klienci kupują kompletne zestawy zamiast pojedynczych produktów – więcej przychodu bez wzrostu kosztów akwizycji.</t>
  </si>
  <si>
    <t>Grill Box zdobywa lojalnych abonentów. Przewidywalny przychód co miesiąc ułatwia planowanie zakupów i logistyki – i stabilizuje wyniki niezależnie od sezonowości.</t>
  </si>
  <si>
    <t>Subskrypcja uruchomiona bez bazy lojalnych klientów i bez automatyzacji email to chaos operacyjny. Klienci nie mają powodu by się zapisać, a obsługa abonentów ręcznie pochłania cały zysk modelu. Model subskrypcyjny działa tylko gdy ma pod sobą gotową infrastrukturę.</t>
  </si>
  <si>
    <t>Optymalizacja operacyjna przyniosła realną redukcję kosztów. Wyższa marża bez podnoszenia cen wzmacnia pozycję konkurencyjną i tworzy przestrzeń na inwestycje w kolejne obszary.</t>
  </si>
  <si>
    <t>Setki pozytywnych recenzji budują zaufanie które konwertuje. Nowi klienci kupują chętniej widząc że inni są zadowoleni – social proof zastępuje działanie sprzedawcy przy każdej wizycie.</t>
  </si>
  <si>
    <t>Ekspansja na czeski rynek przynosi pierwsze transakcje po 6 tygodniach. Infrastruktura i doświadczenie z marketplace w Polsce okazały się solidnym fundamentem dla wejścia zagranicznego.</t>
  </si>
  <si>
    <t>Ekspansja bez sprawdzonej logistyki krajowej i bez infrastruktury marketplace jest skazana na niepowodzenie. Koszty dostawy zagranicznej bez negocjowanych stawek zjadają marżę, a brak obecności na lokalnych platformach sprawia że nikt Cię nie znajdzie.</t>
  </si>
  <si>
    <t>Linia eco-friendly przyciąga nowy segment świadomych konsumentów. Marka zyskuje wizerunek odpowiedzialnego producenta i otwiera dostęp do kanałów dystrybucji niedostępnych dla zwykłych sklepów.</t>
  </si>
  <si>
    <t>Dashboardy BI dają Ci przewagę informacyjną nad konkurencją. Widzisz trendy zanim staną się problemem – decyzje podejmowane na danych są szybsze i trafniejsze niż oparte na przeczuciach.</t>
  </si>
  <si>
    <t>Kampania sezonowa wygenerowała rekordową sprzedaż tygodniową. Odpowiedni moment i trafny przekaz sprawiły że budżet reklamowy zwrócił się wielokrotnie w ciągu kilku intensywnych dni.</t>
  </si>
  <si>
    <t>Integracja z Ceneo przynosi stały strumień klientów z wysoką intencją zakupową. Twoje ceny i opinie wypadają korzystnie w porównaniu z konkurencją – konwersja z tego kanału jest wysoka.</t>
  </si>
  <si>
    <t>Processes_Id</t>
  </si>
  <si>
    <t>Processes_Desc</t>
  </si>
  <si>
    <t>Processes_Long_Desc</t>
  </si>
  <si>
    <t>Processes_Color</t>
  </si>
  <si>
    <t>Processes_Weight</t>
  </si>
  <si>
    <t>ZYSK</t>
  </si>
  <si>
    <t>Oś Y: Marża / Rentowność (Strata → Próg rentowności → Zysk → Wysoka rentowność) | Oś X: Skalowalność modelu przychodów (Jednorazowy → Powtarzalny → Subskrypcyjny → Pasywny/automatyczny). Zakotwiczenie: Osterwalder – BMC: Strumienie Przychodów vs Struktura Kosztów + Testing Business Ideas: opłacalność.</t>
  </si>
  <si>
    <t>1F3864</t>
  </si>
  <si>
    <t>VISIBILITY</t>
  </si>
  <si>
    <t>Oś Y: Zasięg / Reach (Nieznany → Lokalny → Regionalny → Ogólnopolski/Masowy) | Oś X: Trafność komunikatu / Relevance (Generyczny → Segmentowany → Personalizowany → Precyzyjnie targetowany). Zakotwiczenie: Osterwalder – BMC: Kanały i Relacje z Klientami + lejek Awareness→Consideration→Purchase.</t>
  </si>
  <si>
    <t>2E75B6</t>
  </si>
  <si>
    <t>UDZIAŁ W RYNKU</t>
  </si>
  <si>
    <t>Oś Y: Lojalność / Retencja (Jednorazowi klienci → Powracający → Stali → Ambasadorzy marki) | Oś X: Penetracja segmentu (Niszowy → Wschodzący → Istotny gracz → Lider segmentu). Zakotwiczenie: Osterwalder – The Invincible Company: przewaga konkurencyjna, Exploit vs Explore.</t>
  </si>
  <si>
    <t>375623</t>
  </si>
  <si>
    <t>KONWERSJA</t>
  </si>
  <si>
    <t>Oś Y: Skuteczność lejka sprzedażowego (&lt;1% → 1–3% → 3–7% → &gt;7%) | Oś X: Jakość doświadczenia klienta UX/CX (Frustrujące → Akceptowalne → Przyjemne → Wirusowe/Rekomendowane). Zakotwiczenie: Osterwalder – BMC: Kanały fazy ocena–zakup–po sprzedaży + metryki e-commerce.</t>
  </si>
  <si>
    <t>7030A0</t>
  </si>
  <si>
    <t>Weight_X</t>
  </si>
  <si>
    <t>Weight_Y</t>
  </si>
  <si>
    <t>Booster_X</t>
  </si>
  <si>
    <t>Booster_Y</t>
  </si>
  <si>
    <t>📊  EKONOMIA GRY — DIGITAL WARS S1: Digitalizacja</t>
  </si>
  <si>
    <t>Waluta: BITY  |  Zasada ogólna: Zasoby są ograniczone — gracz musi strategicznie wybierać karty</t>
  </si>
  <si>
    <t>MAPA 1 — Budżet startowy</t>
  </si>
  <si>
    <t>Budżet startowy</t>
  </si>
  <si>
    <t>40 bitów</t>
  </si>
  <si>
    <t>Wystarczy na 13–16 z 22 dostępnych kart (średni koszt karty = 2,6 bita)</t>
  </si>
  <si>
    <t>Karty obowiązkowe</t>
  </si>
  <si>
    <t>Karta 5 + 11 + 17</t>
  </si>
  <si>
    <t>Łączny koszt: 9 bitów — enablery do Wejścia na rynek (karta 23)</t>
  </si>
  <si>
    <t>Pozostały budżet po mandatory</t>
  </si>
  <si>
    <t>31 bitów</t>
  </si>
  <si>
    <t>Pozwala zagrać ~12 dowolnych dodatkowych kart PRE</t>
  </si>
  <si>
    <t>Cel projektowy Map 1</t>
  </si>
  <si>
    <t>14–16 kart zagranych</t>
  </si>
  <si>
    <t>Gracz nie może zagrać wszystkich — musi priorytetyzować obszary strategiczne</t>
  </si>
  <si>
    <t>Nagroda za szybkie wejście</t>
  </si>
  <si>
    <t>Brak</t>
  </si>
  <si>
    <t>Gra nie premiuje rychłego wejścia — premiuje głębokość przygotowania</t>
  </si>
  <si>
    <t>MAPA 2 — Budżet rynkowy (dynamiczny)</t>
  </si>
  <si>
    <t>Budżet bazowy</t>
  </si>
  <si>
    <t>32 bity</t>
  </si>
  <si>
    <t>Każdy zespół startuje na Mapie 2 z tym samym bazowym budżetem</t>
  </si>
  <si>
    <t>Bonus przygotowania</t>
  </si>
  <si>
    <t>(kart_PRE / 22) × 12 bitów</t>
  </si>
  <si>
    <t>Maksymalny bonus: +12 bitów (jeśli zagrano wszystkie 22 karty PRE)</t>
  </si>
  <si>
    <t>Formuła aplikacji</t>
  </si>
  <si>
    <t>Aplikacja wylicza budżet Map 2 automatycznie po zakończeniu Map 1</t>
  </si>
  <si>
    <t>Zakres budżetu Map 2</t>
  </si>
  <si>
    <t>34–44 bity</t>
  </si>
  <si>
    <t>Min: 3 karty PRE → ~34 bity | Max: 22 karty PRE → 44 bity</t>
  </si>
  <si>
    <t>Zagrane karty POST</t>
  </si>
  <si>
    <t>11–14 kart</t>
  </si>
  <si>
    <t>Różnica między słabym a doskonałym przygotowaniem = 3 dodatkowe karty rynkowe</t>
  </si>
  <si>
    <t>Cel projektowy Map 2</t>
  </si>
  <si>
    <t>11–13 kart zagranych</t>
  </si>
  <si>
    <t>Gracz musi wybrać strategię: widoczność vs zysk vs rynek vs konwersja</t>
  </si>
  <si>
    <t>MNOŻNIK PRZYGOTOWANIA — wpływ Map 1 na efekty Map 2</t>
  </si>
  <si>
    <t>Formuła</t>
  </si>
  <si>
    <t>Mnożnik_Wagi = MIN(2,0 ; 1 + kart_PRE_zagranych / 22)</t>
  </si>
  <si>
    <t>3 kart PRE</t>
  </si>
  <si>
    <t>×1,14</t>
  </si>
  <si>
    <t>3 karty PRE (minimum) — efekty rynkowe o 14% silniejsze niż bazowe</t>
  </si>
  <si>
    <t>8 kart PRE</t>
  </si>
  <si>
    <t>×1,36</t>
  </si>
  <si>
    <t>8 kart PRE — umiarkowane przygotowanie</t>
  </si>
  <si>
    <t>14 kart PRE</t>
  </si>
  <si>
    <t>×1,64</t>
  </si>
  <si>
    <t>14 kart PRE — dobre przygotowanie</t>
  </si>
  <si>
    <t>19 kart PRE</t>
  </si>
  <si>
    <t>×1,86</t>
  </si>
  <si>
    <t>19 kart PRE — bardzo dobre przygotowanie</t>
  </si>
  <si>
    <t>22 kart PRE</t>
  </si>
  <si>
    <t>×2,00</t>
  </si>
  <si>
    <t>22 karty PRE (maksimum) — każda karta rynkowa działa 2× silniej niż bazowo</t>
  </si>
  <si>
    <t>⚖️  ZASADY WAG — CARDSWEIGHTS (jak karty wpływają na macierze Mapy 2)</t>
  </si>
  <si>
    <t>Struktura: każda karta ma 4 wiersze w CardsWeights — po jednym dla każdej macierzy (ZYSK / VISIBILITY / RYNEK / KONWERSJA)</t>
  </si>
  <si>
    <t>Weights_X i Weights_Y — co oznaczają?</t>
  </si>
  <si>
    <t>Weights_X</t>
  </si>
  <si>
    <t>Przesunięcie pionka na osi X danej macierzy (pozioma oś każdej macierzy 4×4 na Mapie 2)</t>
  </si>
  <si>
    <t>Weights_Y</t>
  </si>
  <si>
    <t>Przesunięcie pionka na osi Y danej macierzy (pionowa oś każdej macierzy 4×4 na Mapie 2)</t>
  </si>
  <si>
    <t>Boosters_X/Y</t>
  </si>
  <si>
    <t>Mnożnik przyspieszający ruch — wartość 1 = brak boostera. Boostery &gt;1 stosowane przy kartach synergicznych.</t>
  </si>
  <si>
    <t>REGUŁY PROJEKTOWANIA WAG</t>
  </si>
  <si>
    <t>REGUŁA 1</t>
  </si>
  <si>
    <t>Każda karta POST ma jedną MACIERZ GŁÓWNĄ i do dwóch macierzy pomocniczych</t>
  </si>
  <si>
    <t>Przykład: Karta 36 Subskrypcja: ZYSK jest główny (50,55) → firma zarabia na modelu MRR. RYNEK pomocniczy (15,18) → retencja rośnie.</t>
  </si>
  <si>
    <t>REGUŁA 2</t>
  </si>
  <si>
    <t>Waga karty PRE na macierzach = przygotowanie pośrednie (wartości 3–20)</t>
  </si>
  <si>
    <t>Przykład: Karta 14 Plan marketingowy: VISIBILITY wysoka (18,20) — bo dobry plan jest fundamentem widoczności na Mapie 2.</t>
  </si>
  <si>
    <t>REGUŁA 3</t>
  </si>
  <si>
    <t>Karta ENTRY daje równy impuls startowy na wszystkich macierzach (25,25)</t>
  </si>
  <si>
    <t>Przykład: Wejście na rynek uruchamia wszystkie procesy jednocześnie — bez wyróżnienia żadnego z nich.</t>
  </si>
  <si>
    <t>REGUŁA 4</t>
  </si>
  <si>
    <t>Suma wag X na wszystkich 4 macierzach dla karty POST wynosi 55–75 pkt</t>
  </si>
  <si>
    <t>Przykład: Karta 24 SEO: X: 3+45+8+10=66. Karta 36 Subskrypcja: X: 50+5+15+8=78. Karty premium kosztują więcej i dają więcej.</t>
  </si>
  <si>
    <t>REGUŁA 5</t>
  </si>
  <si>
    <t>Karty skupione na jednej macierzy mają ją silniej (35–55) i słabiej inne (&lt;15)</t>
  </si>
  <si>
    <t>Przykład: Karta 37 Optymalizacja kosztów: ZYSK (35,40) silna, pozostałe ≤3 — bo korekta kosztów nie poprawia widoczności.</t>
  </si>
  <si>
    <t>REGUŁA 6</t>
  </si>
  <si>
    <t>Weights_X ≤ Weights_Y w macierzy ZYSK i RYNEK; Weights_Y ≤ Weights_X w VISIBILITY i KONWERSJA</t>
  </si>
  <si>
    <t>Przykład: Zysk i Rynek: łatwiej rosnąć w osi Y (rentowność/lojalność) niż X (skalowalność/penetracja) w e-commerce startowym.</t>
  </si>
  <si>
    <t>REGUŁA 7</t>
  </si>
  <si>
    <t>Mnożnik przygotowania jest aplikowany przez system dopiero po zakończeniu Mapy 1</t>
  </si>
  <si>
    <t>Przykład: W Excelu widoczne są zawsze wagi BAZOWE. Aplikacja mnoży je przez MIN(2,0 ; 1+PRE/22) w momencie zagrywania karty POST.</t>
  </si>
  <si>
    <t>MACIERZE — dominujące karty POST według macierzy głównej</t>
  </si>
  <si>
    <t>ZYSK 🟡</t>
  </si>
  <si>
    <t>Karta 36 Subskrypcja (50,55) | Karta 35 Cross-sell (40,45) | Karta 37 Koszty (35,40) | Karta 41 BI (20,25) | Karta 42 Sezon (20,25)</t>
  </si>
  <si>
    <t>VISIBILITY 🔵</t>
  </si>
  <si>
    <t>Karta 24 SEO (50,55) | Karta 25 Google Ads (45,50) | Karta 26 Social media (40,45) | Karta 27 Content (30,35) | Karta 33 Influencer (35,40)</t>
  </si>
  <si>
    <t>RYNEK 🟢</t>
  </si>
  <si>
    <t>Karta 31 Lojalność (45,50) | Karta 32 Marketplace (40,45) | Karta 39 Ekspansja (45,50) | Karta 38 Recenzje (20,25)</t>
  </si>
  <si>
    <t>KONWERSJA 🟣</t>
  </si>
  <si>
    <t>Karta 29 UX optym (45,50) | Karta 28 Email auto (40,45) | Karta 30 A/B Test (35,40) | Karta 34 Remarketing (35,40) | Karta 43 Ceneo (20,25)</t>
  </si>
  <si>
    <t>Phases_Id</t>
  </si>
  <si>
    <t>Boosters_X</t>
  </si>
  <si>
    <t>Boosters_Y</t>
  </si>
  <si>
    <t/>
  </si>
  <si>
    <t>Cards_Enablers_Description</t>
  </si>
  <si>
    <t>ERP i CRM muszą znać architekturę sklepu – integracja jest zawsze specyficzna dla wybranej platformy.</t>
  </si>
  <si>
    <t>UX projektujesz wokół konkretnych produktów – bez katalogu nie wiesz co pokazywać i jak nawigować.</t>
  </si>
  <si>
    <t>Design musi uwzględniać możliwości i ograniczenia wybranej platformy – inaczej wdrożenie jest niemożliwe.</t>
  </si>
  <si>
    <t>Kampania pre-launch to realizacja planu marketingowego – najpierw strategia, potem akcja.</t>
  </si>
  <si>
    <t>Bez segmentacji klientów nie wiesz do kogo pisać ani jak skonstruować ofertę early bird.</t>
  </si>
  <si>
    <t>Nie możesz uruchomić sklepu bez sklepu – platforma to absolutny warunek konieczny.</t>
  </si>
  <si>
    <t>Sklep bez możliwości przyjmowania płatności to tylko strona internetowa – nie e-commerce.</t>
  </si>
  <si>
    <t>Uruchamiasz sklep publicznie dopiero po potwierdzeniu że wszystko działa. Bez testów ryzykujesz katastrofę startową.</t>
  </si>
  <si>
    <t>Content marketing wzmacnia SEO – bez aktywnej optymalizacji wartościowe treści nie rankują w wyszukiwarce.</t>
  </si>
  <si>
    <t>Testy A/B wymagają danych behawioralnych z mapy ciepła i nagrań sesji – bez UX optimization nie masz co testować.</t>
  </si>
  <si>
    <t>Każdy test A/B musi mieć hipotezę i cel mierzony przez system KPI – bez niego nie wiesz czy wynik jest istotny statystycznie.</t>
  </si>
  <si>
    <t>Remarketing działa wyłącznie na pikselu konwersji ustawionym przez aktywne kampanie Google Ads.</t>
  </si>
  <si>
    <t>Subskrypcja to kolejny poziom programu lojalnościowego – nie zbudujesz jej dla klientów którzy nie mają jeszcze powodu wracać.</t>
  </si>
  <si>
    <t>Zarządzanie cyklicznymi dostawami i komunikacja z abonentami wymaga systemu automatyzacji email – bez niego subskrypcja to chaos operacyjny.</t>
  </si>
  <si>
    <t>Ekspansja zagraniczna opiera się na doświadczeniu i infrastrukturze zdobytej na marketplace – samodzielne wejście na nowy rynek bez tego fundamencie jest zbyt ryzykowne.</t>
  </si>
  <si>
    <t>Logistyka transgraniczna wymaga przemyślanej strategii już na etapie krajowym – bez niej koszty dostawy za granicę zjedzą całą marżę.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</si>
</sst>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sz val="11.0"/>
      <color theme="1"/>
      <name val="Consolas"/>
    </font>
    <font>
      <color theme="1"/>
      <name val="Arial"/>
    </font>
    <font>
      <sz val="10.0"/>
      <color theme="1"/>
      <name val="Aptos Narrow"/>
    </font>
    <font>
      <color theme="1"/>
      <name val="Aptos Narrow"/>
      <scheme val="minor"/>
    </font>
    <font>
      <b/>
      <sz val="9.0"/>
      <color theme="1"/>
      <name val="Arial"/>
    </font>
    <font>
      <sz val="9.0"/>
      <color theme="1"/>
      <name val="Arial"/>
    </font>
    <font>
      <color theme="1"/>
      <name val="Aptos Narrow"/>
    </font>
    <font>
      <sz val="10.0"/>
      <color rgb="FF000000"/>
      <name val="Aptos Narrow"/>
    </font>
    <font>
      <sz val="10.0"/>
      <color theme="1"/>
      <name val="Arial"/>
    </font>
    <font>
      <color rgb="FF1B1C1D"/>
      <name val="&quot;Google Sans Text&quot;"/>
    </font>
    <font>
      <b/>
      <sz val="11.0"/>
      <color rgb="FFFFFFFF"/>
      <name val="Arial"/>
    </font>
    <font/>
    <font>
      <b/>
      <sz val="10.0"/>
      <color rgb="FFFFFFFF"/>
      <name val="Arial"/>
    </font>
    <font>
      <b/>
      <sz val="9.0"/>
      <color rgb="FFFFFFFF"/>
      <name val="Arial"/>
    </font>
    <font>
      <sz val="9.0"/>
      <color rgb="FF000000"/>
      <name val="Arial"/>
    </font>
    <font>
      <sz val="11.0"/>
      <color rgb="FF000000"/>
      <name val="Consolas"/>
    </font>
  </fonts>
  <fills count="17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D966"/>
        <bgColor rgb="FFFFD966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DEEAF1"/>
        <bgColor rgb="FFDEEAF1"/>
      </patternFill>
    </fill>
    <fill>
      <patternFill patternType="solid">
        <fgColor rgb="FFEDE7F6"/>
        <bgColor rgb="FFEDE7F6"/>
      </patternFill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CCCC"/>
        <bgColor rgb="FFF2CCCC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horizontal="left"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/>
    </xf>
    <xf borderId="0" fillId="0" fontId="6" numFmtId="0" xfId="0" applyAlignment="1" applyFont="1">
      <alignment readingOrder="0"/>
    </xf>
    <xf borderId="1" fillId="2" fontId="7" numFmtId="1" xfId="0" applyAlignment="1" applyBorder="1" applyFill="1" applyFont="1" applyNumberFormat="1">
      <alignment horizontal="center" shrinkToFit="0" vertical="top" wrapText="1"/>
    </xf>
    <xf borderId="1" fillId="2" fontId="7" numFmtId="0" xfId="0" applyAlignment="1" applyBorder="1" applyFont="1">
      <alignment shrinkToFit="0" vertical="top" wrapText="1"/>
    </xf>
    <xf borderId="1" fillId="2" fontId="8" numFmtId="0" xfId="0" applyAlignment="1" applyBorder="1" applyFont="1">
      <alignment shrinkToFit="0" vertical="top" wrapText="1"/>
    </xf>
    <xf borderId="1" fillId="2" fontId="8" numFmtId="0" xfId="0" applyAlignment="1" applyBorder="1" applyFont="1">
      <alignment horizontal="center" shrinkToFit="0" vertical="top" wrapText="1"/>
    </xf>
    <xf borderId="1" fillId="2" fontId="9" numFmtId="0" xfId="0" applyAlignment="1" applyBorder="1" applyFont="1">
      <alignment vertical="top"/>
    </xf>
    <xf borderId="0" fillId="2" fontId="4" numFmtId="0" xfId="0" applyAlignment="1" applyFont="1">
      <alignment readingOrder="0"/>
    </xf>
    <xf borderId="0" fillId="2" fontId="6" numFmtId="0" xfId="0" applyFont="1"/>
    <xf borderId="1" fillId="2" fontId="8" numFmtId="0" xfId="0" applyAlignment="1" applyBorder="1" applyFont="1">
      <alignment horizontal="center" shrinkToFit="0" vertical="top" wrapText="1"/>
    </xf>
    <xf borderId="1" fillId="2" fontId="8" numFmtId="0" xfId="0" applyAlignment="1" applyBorder="1" applyFont="1">
      <alignment readingOrder="0" shrinkToFit="0" vertical="top" wrapText="1"/>
    </xf>
    <xf borderId="1" fillId="3" fontId="7" numFmtId="1" xfId="0" applyAlignment="1" applyBorder="1" applyFill="1" applyFont="1" applyNumberFormat="1">
      <alignment horizontal="center" shrinkToFit="0" vertical="top" wrapText="1"/>
    </xf>
    <xf borderId="1" fillId="3" fontId="7" numFmtId="0" xfId="0" applyAlignment="1" applyBorder="1" applyFont="1">
      <alignment shrinkToFit="0" vertical="top" wrapText="1"/>
    </xf>
    <xf borderId="1" fillId="3" fontId="8" numFmtId="0" xfId="0" applyAlignment="1" applyBorder="1" applyFont="1">
      <alignment readingOrder="0" shrinkToFit="0" vertical="top" wrapText="1"/>
    </xf>
    <xf borderId="1" fillId="3" fontId="8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shrinkToFit="0" vertical="top" wrapText="1"/>
    </xf>
    <xf borderId="0" fillId="3" fontId="6" numFmtId="0" xfId="0" applyFont="1"/>
    <xf borderId="0" fillId="3" fontId="4" numFmtId="0" xfId="0" applyAlignment="1" applyFont="1">
      <alignment readingOrder="0"/>
    </xf>
    <xf borderId="1" fillId="4" fontId="7" numFmtId="1" xfId="0" applyAlignment="1" applyBorder="1" applyFill="1" applyFont="1" applyNumberFormat="1">
      <alignment horizontal="center" shrinkToFit="0" vertical="top" wrapText="1"/>
    </xf>
    <xf borderId="1" fillId="4" fontId="7" numFmtId="0" xfId="0" applyAlignment="1" applyBorder="1" applyFont="1">
      <alignment shrinkToFit="0" vertical="top" wrapText="1"/>
    </xf>
    <xf borderId="1" fillId="4" fontId="8" numFmtId="0" xfId="0" applyAlignment="1" applyBorder="1" applyFont="1">
      <alignment shrinkToFit="0" vertical="top" wrapText="1"/>
    </xf>
    <xf borderId="1" fillId="4" fontId="8" numFmtId="0" xfId="0" applyAlignment="1" applyBorder="1" applyFont="1">
      <alignment horizontal="center" shrinkToFit="0" vertical="top" wrapText="1"/>
    </xf>
    <xf borderId="1" fillId="4" fontId="9" numFmtId="0" xfId="0" applyAlignment="1" applyBorder="1" applyFont="1">
      <alignment vertical="top"/>
    </xf>
    <xf borderId="0" fillId="4" fontId="6" numFmtId="0" xfId="0" applyFont="1"/>
    <xf borderId="0" fillId="4" fontId="4" numFmtId="0" xfId="0" applyAlignment="1" applyFont="1">
      <alignment readingOrder="0"/>
    </xf>
    <xf borderId="1" fillId="4" fontId="8" numFmtId="0" xfId="0" applyAlignment="1" applyBorder="1" applyFont="1">
      <alignment readingOrder="0" shrinkToFit="0" vertical="top" wrapText="1"/>
    </xf>
    <xf borderId="1" fillId="4" fontId="8" numFmtId="0" xfId="0" applyAlignment="1" applyBorder="1" applyFont="1">
      <alignment horizontal="center" shrinkToFit="0" vertical="top" wrapText="1"/>
    </xf>
    <xf borderId="1" fillId="4" fontId="7" numFmtId="0" xfId="0" applyAlignment="1" applyBorder="1" applyFont="1">
      <alignment shrinkToFit="0" vertical="top" wrapText="1"/>
    </xf>
    <xf borderId="1" fillId="4" fontId="8" numFmtId="0" xfId="0" applyAlignment="1" applyBorder="1" applyFont="1">
      <alignment horizontal="center" shrinkToFit="0" vertical="top" wrapText="1"/>
    </xf>
    <xf borderId="1" fillId="4" fontId="8" numFmtId="0" xfId="0" applyAlignment="1" applyBorder="1" applyFont="1">
      <alignment shrinkToFit="0" vertical="top" wrapText="1"/>
    </xf>
    <xf borderId="0" fillId="0" fontId="6" numFmtId="1" xfId="0" applyAlignment="1" applyFont="1" applyNumberFormat="1">
      <alignment horizontal="right"/>
    </xf>
    <xf borderId="0" fillId="0" fontId="10" numFmtId="0" xfId="0" applyFont="1"/>
    <xf borderId="0" fillId="0" fontId="6" numFmtId="0" xfId="0" applyAlignment="1" applyFont="1">
      <alignment horizontal="right"/>
    </xf>
    <xf borderId="0" fillId="0" fontId="4" numFmtId="0" xfId="0" applyAlignment="1" applyFont="1">
      <alignment horizontal="left" readingOrder="0" vertical="bottom"/>
    </xf>
    <xf borderId="0" fillId="0" fontId="9" numFmtId="0" xfId="0" applyAlignment="1" applyFont="1">
      <alignment horizontal="left" vertical="bottom"/>
    </xf>
    <xf borderId="0" fillId="0" fontId="4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vertical="bottom"/>
    </xf>
    <xf borderId="2" fillId="0" fontId="11" numFmtId="0" xfId="0" applyAlignment="1" applyBorder="1" applyFont="1">
      <alignment horizontal="right"/>
    </xf>
    <xf borderId="2" fillId="0" fontId="11" numFmtId="0" xfId="0" applyBorder="1" applyFont="1"/>
    <xf borderId="0" fillId="0" fontId="9" numFmtId="0" xfId="0" applyAlignment="1" applyFont="1">
      <alignment shrinkToFit="0" vertical="bottom" wrapText="0"/>
    </xf>
    <xf borderId="0" fillId="0" fontId="11" numFmtId="0" xfId="0" applyFont="1"/>
    <xf borderId="0" fillId="0" fontId="9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wrapText="0"/>
    </xf>
    <xf borderId="0" fillId="0" fontId="11" numFmtId="0" xfId="0" applyAlignment="1" applyFont="1">
      <alignment horizontal="left" readingOrder="0" shrinkToFit="0" wrapText="0"/>
    </xf>
    <xf borderId="1" fillId="3" fontId="8" numFmtId="0" xfId="0" applyAlignment="1" applyBorder="1" applyFont="1">
      <alignment shrinkToFit="0" vertical="top" wrapText="1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horizontal="right"/>
    </xf>
    <xf borderId="0" fillId="0" fontId="6" numFmtId="0" xfId="0" applyFont="1"/>
    <xf borderId="0" fillId="0" fontId="5" numFmtId="0" xfId="0" applyAlignment="1" applyFont="1">
      <alignment shrinkToFit="0" wrapText="0"/>
    </xf>
    <xf borderId="0" fillId="0" fontId="6" numFmtId="0" xfId="0" applyAlignment="1" applyFont="1">
      <alignment horizontal="left" shrinkToFit="0" wrapText="0"/>
    </xf>
    <xf borderId="0" fillId="0" fontId="9" numFmtId="0" xfId="0" applyAlignment="1" applyFont="1">
      <alignment horizontal="left" vertical="bottom"/>
    </xf>
    <xf borderId="0" fillId="0" fontId="6" numFmtId="4" xfId="0" applyFont="1" applyNumberFormat="1"/>
    <xf borderId="0" fillId="5" fontId="9" numFmtId="0" xfId="0" applyAlignment="1" applyFill="1" applyFont="1">
      <alignment horizontal="right" shrinkToFit="0" vertical="top" wrapText="1"/>
    </xf>
    <xf borderId="1" fillId="5" fontId="7" numFmtId="0" xfId="0" applyAlignment="1" applyBorder="1" applyFont="1">
      <alignment shrinkToFit="0" vertical="top" wrapText="1"/>
    </xf>
    <xf borderId="1" fillId="5" fontId="8" numFmtId="0" xfId="0" applyAlignment="1" applyBorder="1" applyFont="1">
      <alignment shrinkToFit="0" vertical="top" wrapText="1"/>
    </xf>
    <xf borderId="1" fillId="5" fontId="8" numFmtId="0" xfId="0" applyAlignment="1" applyBorder="1" applyFont="1">
      <alignment horizontal="center" shrinkToFit="0" vertical="top" wrapText="1"/>
    </xf>
    <xf borderId="0" fillId="5" fontId="4" numFmtId="4" xfId="0" applyAlignment="1" applyFont="1" applyNumberFormat="1">
      <alignment readingOrder="0" shrinkToFit="0" vertical="top" wrapText="1"/>
    </xf>
    <xf borderId="0" fillId="5" fontId="6" numFmtId="0" xfId="0" applyAlignment="1" applyFont="1">
      <alignment shrinkToFit="0" vertical="top" wrapText="1"/>
    </xf>
    <xf borderId="0" fillId="5" fontId="4" numFmtId="0" xfId="0" applyAlignment="1" applyFont="1">
      <alignment readingOrder="0" shrinkToFit="0" vertical="top" wrapText="1"/>
    </xf>
    <xf borderId="0" fillId="6" fontId="9" numFmtId="0" xfId="0" applyAlignment="1" applyFill="1" applyFont="1">
      <alignment horizontal="right" shrinkToFit="0" vertical="top" wrapText="1"/>
    </xf>
    <xf borderId="1" fillId="6" fontId="7" numFmtId="0" xfId="0" applyAlignment="1" applyBorder="1" applyFont="1">
      <alignment shrinkToFit="0" vertical="top" wrapText="1"/>
    </xf>
    <xf borderId="1" fillId="6" fontId="8" numFmtId="0" xfId="0" applyAlignment="1" applyBorder="1" applyFont="1">
      <alignment shrinkToFit="0" vertical="top" wrapText="1"/>
    </xf>
    <xf borderId="1" fillId="6" fontId="8" numFmtId="0" xfId="0" applyAlignment="1" applyBorder="1" applyFont="1">
      <alignment horizontal="center" shrinkToFit="0" vertical="top" wrapText="1"/>
    </xf>
    <xf borderId="0" fillId="6" fontId="4" numFmtId="4" xfId="0" applyAlignment="1" applyFont="1" applyNumberFormat="1">
      <alignment readingOrder="0" shrinkToFit="0" vertical="top" wrapText="1"/>
    </xf>
    <xf borderId="0" fillId="6" fontId="6" numFmtId="0" xfId="0" applyAlignment="1" applyFont="1">
      <alignment shrinkToFit="0" vertical="top" wrapText="1"/>
    </xf>
    <xf borderId="0" fillId="6" fontId="4" numFmtId="0" xfId="0" applyAlignment="1" applyFont="1">
      <alignment readingOrder="0" shrinkToFit="0" vertical="top" wrapText="1"/>
    </xf>
    <xf borderId="0" fillId="4" fontId="9" numFmtId="0" xfId="0" applyAlignment="1" applyFont="1">
      <alignment horizontal="right" shrinkToFit="0" vertical="top" wrapText="1"/>
    </xf>
    <xf borderId="0" fillId="4" fontId="4" numFmtId="4" xfId="0" applyAlignment="1" applyFont="1" applyNumberFormat="1">
      <alignment readingOrder="0" shrinkToFit="0" vertical="top" wrapText="1"/>
    </xf>
    <xf borderId="0" fillId="4" fontId="6" numFmtId="0" xfId="0" applyAlignment="1" applyFont="1">
      <alignment shrinkToFit="0" vertical="top" wrapText="1"/>
    </xf>
    <xf borderId="0" fillId="4" fontId="4" numFmtId="0" xfId="0" applyAlignment="1" applyFont="1">
      <alignment readingOrder="0" shrinkToFit="0" vertical="top" wrapText="1"/>
    </xf>
    <xf borderId="0" fillId="7" fontId="9" numFmtId="0" xfId="0" applyAlignment="1" applyFill="1" applyFont="1">
      <alignment horizontal="right" shrinkToFit="0" vertical="top" wrapText="1"/>
    </xf>
    <xf borderId="1" fillId="7" fontId="7" numFmtId="0" xfId="0" applyAlignment="1" applyBorder="1" applyFont="1">
      <alignment shrinkToFit="0" vertical="top" wrapText="1"/>
    </xf>
    <xf borderId="1" fillId="7" fontId="8" numFmtId="0" xfId="0" applyAlignment="1" applyBorder="1" applyFont="1">
      <alignment shrinkToFit="0" vertical="top" wrapText="1"/>
    </xf>
    <xf borderId="1" fillId="7" fontId="8" numFmtId="0" xfId="0" applyAlignment="1" applyBorder="1" applyFont="1">
      <alignment horizontal="center" shrinkToFit="0" vertical="top" wrapText="1"/>
    </xf>
    <xf borderId="0" fillId="7" fontId="4" numFmtId="4" xfId="0" applyAlignment="1" applyFont="1" applyNumberFormat="1">
      <alignment readingOrder="0" shrinkToFit="0" vertical="top" wrapText="1"/>
    </xf>
    <xf borderId="0" fillId="7" fontId="4" numFmtId="0" xfId="0" applyAlignment="1" applyFont="1">
      <alignment readingOrder="0" shrinkToFit="0" vertical="top" wrapText="1"/>
    </xf>
    <xf borderId="0" fillId="7" fontId="6" numFmtId="0" xfId="0" applyAlignment="1" applyFont="1">
      <alignment shrinkToFit="0" vertical="top" wrapText="1"/>
    </xf>
    <xf borderId="0" fillId="0" fontId="9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6" numFmtId="4" xfId="0" applyAlignment="1" applyFont="1" applyNumberFormat="1">
      <alignment shrinkToFit="0" wrapText="1"/>
    </xf>
    <xf borderId="0" fillId="0" fontId="4" numFmtId="0" xfId="0" applyAlignment="1" applyFont="1">
      <alignment readingOrder="0" shrinkToFit="0" wrapText="1"/>
    </xf>
    <xf borderId="0" fillId="0" fontId="9" numFmtId="0" xfId="0" applyAlignment="1" applyFont="1">
      <alignment horizontal="right" vertical="bottom"/>
    </xf>
    <xf borderId="0" fillId="0" fontId="4" numFmtId="4" xfId="0" applyAlignment="1" applyFont="1" applyNumberFormat="1">
      <alignment readingOrder="0"/>
    </xf>
    <xf borderId="0" fillId="0" fontId="12" numFmtId="0" xfId="0" applyAlignment="1" applyFont="1">
      <alignment readingOrder="0"/>
    </xf>
    <xf borderId="1" fillId="2" fontId="7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2" fontId="8" numFmtId="4" xfId="0" applyAlignment="1" applyBorder="1" applyFont="1" applyNumberFormat="1">
      <alignment horizontal="center"/>
    </xf>
    <xf borderId="1" fillId="2" fontId="7" numFmtId="0" xfId="0" applyAlignment="1" applyBorder="1" applyFont="1">
      <alignment horizontal="center"/>
    </xf>
    <xf borderId="1" fillId="3" fontId="7" numFmtId="0" xfId="0" applyAlignment="1" applyBorder="1" applyFont="1">
      <alignment horizontal="center"/>
    </xf>
    <xf borderId="1" fillId="3" fontId="8" numFmtId="0" xfId="0" applyAlignment="1" applyBorder="1" applyFont="1">
      <alignment horizontal="center"/>
    </xf>
    <xf borderId="1" fillId="4" fontId="7" numFmtId="0" xfId="0" applyAlignment="1" applyBorder="1" applyFont="1">
      <alignment horizontal="center"/>
    </xf>
    <xf borderId="1" fillId="4" fontId="8" numFmtId="0" xfId="0" applyAlignment="1" applyBorder="1" applyFont="1">
      <alignment horizontal="center"/>
    </xf>
    <xf borderId="3" fillId="8" fontId="13" numFmtId="0" xfId="0" applyAlignment="1" applyBorder="1" applyFill="1" applyFont="1">
      <alignment horizontal="left" vertical="center"/>
    </xf>
    <xf borderId="4" fillId="0" fontId="14" numFmtId="0" xfId="0" applyBorder="1" applyFont="1"/>
    <xf borderId="5" fillId="0" fontId="14" numFmtId="0" xfId="0" applyBorder="1" applyFont="1"/>
    <xf borderId="3" fillId="9" fontId="15" numFmtId="0" xfId="0" applyAlignment="1" applyBorder="1" applyFill="1" applyFont="1">
      <alignment horizontal="left" vertical="center"/>
    </xf>
    <xf borderId="3" fillId="10" fontId="15" numFmtId="0" xfId="0" applyAlignment="1" applyBorder="1" applyFill="1" applyFont="1">
      <alignment horizontal="left" vertical="center"/>
    </xf>
    <xf borderId="2" fillId="2" fontId="7" numFmtId="0" xfId="0" applyAlignment="1" applyBorder="1" applyFont="1">
      <alignment horizontal="left" vertical="top"/>
    </xf>
    <xf borderId="2" fillId="2" fontId="7" numFmtId="0" xfId="0" applyAlignment="1" applyBorder="1" applyFont="1">
      <alignment horizontal="center" vertical="top"/>
    </xf>
    <xf borderId="3" fillId="2" fontId="8" numFmtId="0" xfId="0" applyAlignment="1" applyBorder="1" applyFont="1">
      <alignment horizontal="left" shrinkToFit="0" vertical="top" wrapText="1"/>
    </xf>
    <xf borderId="3" fillId="11" fontId="15" numFmtId="0" xfId="0" applyAlignment="1" applyBorder="1" applyFill="1" applyFont="1">
      <alignment horizontal="left" vertical="center"/>
    </xf>
    <xf borderId="2" fillId="4" fontId="7" numFmtId="0" xfId="0" applyAlignment="1" applyBorder="1" applyFont="1">
      <alignment horizontal="left" vertical="top"/>
    </xf>
    <xf borderId="2" fillId="4" fontId="7" numFmtId="0" xfId="0" applyAlignment="1" applyBorder="1" applyFont="1">
      <alignment horizontal="center" shrinkToFit="0" vertical="top" wrapText="1"/>
    </xf>
    <xf borderId="3" fillId="4" fontId="8" numFmtId="0" xfId="0" applyAlignment="1" applyBorder="1" applyFont="1">
      <alignment horizontal="left" shrinkToFit="0" vertical="top" wrapText="1"/>
    </xf>
    <xf borderId="3" fillId="12" fontId="15" numFmtId="0" xfId="0" applyAlignment="1" applyBorder="1" applyFill="1" applyFont="1">
      <alignment horizontal="left" vertical="center"/>
    </xf>
    <xf borderId="2" fillId="7" fontId="7" numFmtId="0" xfId="0" applyAlignment="1" applyBorder="1" applyFont="1">
      <alignment horizontal="center" vertical="top"/>
    </xf>
    <xf borderId="3" fillId="7" fontId="8" numFmtId="0" xfId="0" applyAlignment="1" applyBorder="1" applyFont="1">
      <alignment horizontal="left" vertical="top"/>
    </xf>
    <xf borderId="3" fillId="6" fontId="7" numFmtId="0" xfId="0" applyAlignment="1" applyBorder="1" applyFont="1">
      <alignment horizontal="center" vertical="top"/>
    </xf>
    <xf borderId="3" fillId="6" fontId="8" numFmtId="0" xfId="0" applyAlignment="1" applyBorder="1" applyFont="1">
      <alignment horizontal="left" shrinkToFit="0" vertical="top" wrapText="1"/>
    </xf>
    <xf borderId="2" fillId="5" fontId="7" numFmtId="0" xfId="0" applyAlignment="1" applyBorder="1" applyFont="1">
      <alignment horizontal="center" vertical="top"/>
    </xf>
    <xf borderId="3" fillId="5" fontId="8" numFmtId="0" xfId="0" applyAlignment="1" applyBorder="1" applyFont="1">
      <alignment horizontal="left" shrinkToFit="0" vertical="top" wrapText="1"/>
    </xf>
    <xf borderId="3" fillId="8" fontId="16" numFmtId="0" xfId="0" applyAlignment="1" applyBorder="1" applyFont="1">
      <alignment horizontal="center" vertical="top"/>
    </xf>
    <xf borderId="3" fillId="8" fontId="17" numFmtId="0" xfId="0" applyAlignment="1" applyBorder="1" applyFont="1">
      <alignment horizontal="left" shrinkToFit="0" vertical="top" wrapText="1"/>
    </xf>
    <xf borderId="3" fillId="10" fontId="16" numFmtId="0" xfId="0" applyAlignment="1" applyBorder="1" applyFont="1">
      <alignment horizontal="center" vertical="top"/>
    </xf>
    <xf borderId="3" fillId="10" fontId="17" numFmtId="0" xfId="0" applyAlignment="1" applyBorder="1" applyFont="1">
      <alignment horizontal="left" shrinkToFit="0" vertical="top" wrapText="1"/>
    </xf>
    <xf borderId="3" fillId="11" fontId="16" numFmtId="0" xfId="0" applyAlignment="1" applyBorder="1" applyFont="1">
      <alignment horizontal="center" vertical="top"/>
    </xf>
    <xf borderId="3" fillId="11" fontId="17" numFmtId="0" xfId="0" applyAlignment="1" applyBorder="1" applyFont="1">
      <alignment horizontal="left" shrinkToFit="0" vertical="top" wrapText="1"/>
    </xf>
    <xf borderId="3" fillId="12" fontId="16" numFmtId="0" xfId="0" applyAlignment="1" applyBorder="1" applyFont="1">
      <alignment horizontal="center" vertical="top"/>
    </xf>
    <xf borderId="3" fillId="12" fontId="17" numFmtId="0" xfId="0" applyAlignment="1" applyBorder="1" applyFont="1">
      <alignment horizontal="left" shrinkToFit="0" vertical="top" wrapText="1"/>
    </xf>
    <xf borderId="0" fillId="0" fontId="6" numFmtId="1" xfId="0" applyFont="1" applyNumberFormat="1"/>
    <xf borderId="0" fillId="13" fontId="4" numFmtId="0" xfId="0" applyAlignment="1" applyFill="1" applyFont="1">
      <alignment horizontal="lef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13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13" fontId="6" numFmtId="0" xfId="0" applyAlignment="1" applyFont="1">
      <alignment horizontal="right"/>
    </xf>
    <xf borderId="0" fillId="0" fontId="11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18" numFmtId="0" xfId="0" applyAlignment="1" applyFont="1">
      <alignment readingOrder="0"/>
    </xf>
    <xf borderId="0" fillId="0" fontId="11" numFmtId="0" xfId="0" applyAlignment="1" applyFont="1">
      <alignment horizontal="right" vertical="center"/>
    </xf>
    <xf borderId="0" fillId="0" fontId="11" numFmtId="0" xfId="0" applyAlignment="1" applyFont="1">
      <alignment horizontal="right"/>
    </xf>
    <xf borderId="1" fillId="14" fontId="8" numFmtId="0" xfId="0" applyAlignment="1" applyBorder="1" applyFill="1" applyFont="1">
      <alignment shrinkToFit="0" wrapText="1"/>
    </xf>
    <xf borderId="1" fillId="15" fontId="8" numFmtId="0" xfId="0" applyAlignment="1" applyBorder="1" applyFill="1" applyFont="1">
      <alignment shrinkToFit="0" wrapText="1"/>
    </xf>
    <xf borderId="1" fillId="16" fontId="8" numFmtId="0" xfId="0" applyAlignment="1" applyBorder="1" applyFill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89.43"/>
    <col customWidth="1" min="3" max="3" width="94.43"/>
    <col customWidth="1" min="4" max="4" width="32.29"/>
    <col customWidth="1" min="5" max="5" width="25.86"/>
    <col customWidth="1" min="6" max="6" width="5.29"/>
    <col customWidth="1" min="7" max="7" width="4.57"/>
    <col customWidth="1" min="8" max="8" width="12.0"/>
    <col customWidth="1" min="9" max="9" width="10.0"/>
    <col customWidth="1" min="10" max="10" width="31.14"/>
    <col customWidth="1" min="11" max="11" width="38.86"/>
    <col customWidth="1" min="12" max="2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3.5" customHeight="1">
      <c r="A2" s="2" t="s">
        <v>11</v>
      </c>
      <c r="B2" s="3" t="s">
        <v>12</v>
      </c>
      <c r="C2" s="3" t="s">
        <v>13</v>
      </c>
      <c r="D2" s="1"/>
      <c r="E2" s="1"/>
      <c r="F2" s="1">
        <v>8.0</v>
      </c>
      <c r="G2" s="1">
        <v>8.0</v>
      </c>
      <c r="H2" s="1" t="s">
        <v>14</v>
      </c>
      <c r="I2" s="1" t="s">
        <v>15</v>
      </c>
      <c r="J2" s="2" t="s">
        <v>16</v>
      </c>
      <c r="K2" s="4" t="s">
        <v>17</v>
      </c>
    </row>
    <row r="3" ht="13.5" customHeight="1">
      <c r="A3" s="2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8.0</v>
      </c>
      <c r="G3" s="1">
        <v>8.0</v>
      </c>
      <c r="H3" s="2" t="s">
        <v>23</v>
      </c>
      <c r="I3" s="1" t="s">
        <v>15</v>
      </c>
      <c r="J3" s="1" t="s">
        <v>24</v>
      </c>
    </row>
    <row r="4" ht="13.5" customHeight="1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>
        <v>6.0</v>
      </c>
      <c r="G4" s="1">
        <v>8.0</v>
      </c>
      <c r="H4" s="1" t="s">
        <v>30</v>
      </c>
      <c r="I4" s="1" t="s">
        <v>31</v>
      </c>
      <c r="J4" s="1" t="s">
        <v>32</v>
      </c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50.0"/>
    <col customWidth="1" min="3" max="3" width="141.57"/>
    <col customWidth="1" min="4" max="4" width="18.86"/>
    <col customWidth="1" min="5" max="5" width="25.71"/>
    <col customWidth="1" min="6" max="6" width="12.0"/>
    <col customWidth="1" min="7" max="8" width="16.71"/>
    <col customWidth="1" min="9" max="9" width="17.57"/>
    <col customWidth="1" min="10" max="10" width="17.14"/>
  </cols>
  <sheetData>
    <row r="1" ht="12.75" customHeight="1">
      <c r="A1" s="5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7" t="s">
        <v>38</v>
      </c>
      <c r="G1" s="8" t="s">
        <v>39</v>
      </c>
      <c r="H1" s="4" t="s">
        <v>40</v>
      </c>
      <c r="I1" s="4" t="s">
        <v>41</v>
      </c>
      <c r="J1" s="4" t="s">
        <v>42</v>
      </c>
      <c r="K1" s="4" t="s">
        <v>43</v>
      </c>
    </row>
    <row r="2" ht="12.75" customHeight="1">
      <c r="A2" s="9">
        <v>1.0</v>
      </c>
      <c r="B2" s="10" t="s">
        <v>44</v>
      </c>
      <c r="C2" s="11" t="s">
        <v>45</v>
      </c>
      <c r="D2" s="12">
        <v>2.0</v>
      </c>
      <c r="E2" s="12">
        <v>1.0</v>
      </c>
      <c r="F2" s="13"/>
      <c r="G2" s="14"/>
      <c r="H2" s="15"/>
      <c r="I2" s="14"/>
      <c r="J2" s="14"/>
      <c r="K2" s="14">
        <v>1.0</v>
      </c>
    </row>
    <row r="3" ht="12.75" customHeight="1">
      <c r="A3" s="9">
        <v>2.0</v>
      </c>
      <c r="B3" s="10" t="s">
        <v>46</v>
      </c>
      <c r="C3" s="11" t="s">
        <v>47</v>
      </c>
      <c r="D3" s="12">
        <v>2.0</v>
      </c>
      <c r="E3" s="12">
        <v>1.0</v>
      </c>
      <c r="F3" s="13"/>
      <c r="G3" s="15"/>
      <c r="H3" s="15"/>
      <c r="I3" s="14"/>
      <c r="J3" s="14"/>
      <c r="K3" s="14">
        <v>1.0</v>
      </c>
    </row>
    <row r="4" ht="12.75" customHeight="1">
      <c r="A4" s="9">
        <v>3.0</v>
      </c>
      <c r="B4" s="10" t="s">
        <v>48</v>
      </c>
      <c r="C4" s="11" t="s">
        <v>49</v>
      </c>
      <c r="D4" s="12">
        <v>3.0</v>
      </c>
      <c r="E4" s="12">
        <v>1.0</v>
      </c>
      <c r="F4" s="13"/>
      <c r="G4" s="15"/>
      <c r="H4" s="15"/>
      <c r="I4" s="14"/>
      <c r="J4" s="14"/>
      <c r="K4" s="14">
        <v>1.0</v>
      </c>
    </row>
    <row r="5" ht="12.75" customHeight="1">
      <c r="A5" s="9">
        <v>4.0</v>
      </c>
      <c r="B5" s="10" t="s">
        <v>50</v>
      </c>
      <c r="C5" s="11" t="s">
        <v>51</v>
      </c>
      <c r="D5" s="12">
        <v>2.0</v>
      </c>
      <c r="E5" s="12">
        <v>1.0</v>
      </c>
      <c r="F5" s="13"/>
      <c r="G5" s="15"/>
      <c r="H5" s="15"/>
      <c r="I5" s="14"/>
      <c r="J5" s="14"/>
      <c r="K5" s="14">
        <v>1.0</v>
      </c>
    </row>
    <row r="6" ht="12.75" customHeight="1">
      <c r="A6" s="9">
        <v>5.0</v>
      </c>
      <c r="B6" s="10" t="s">
        <v>52</v>
      </c>
      <c r="C6" s="11" t="s">
        <v>53</v>
      </c>
      <c r="D6" s="12">
        <v>4.0</v>
      </c>
      <c r="E6" s="12">
        <v>1.0</v>
      </c>
      <c r="F6" s="13"/>
      <c r="G6" s="14"/>
      <c r="H6" s="14"/>
      <c r="I6" s="14"/>
      <c r="J6" s="14"/>
      <c r="K6" s="14">
        <v>1.0</v>
      </c>
    </row>
    <row r="7" ht="12.75" customHeight="1">
      <c r="A7" s="9">
        <v>6.0</v>
      </c>
      <c r="B7" s="10" t="s">
        <v>54</v>
      </c>
      <c r="C7" s="11" t="s">
        <v>55</v>
      </c>
      <c r="D7" s="12">
        <v>3.0</v>
      </c>
      <c r="E7" s="12">
        <v>1.0</v>
      </c>
      <c r="F7" s="13"/>
      <c r="G7" s="15"/>
      <c r="H7" s="15"/>
      <c r="I7" s="14"/>
      <c r="J7" s="14"/>
      <c r="K7" s="14">
        <v>1.0</v>
      </c>
    </row>
    <row r="8" ht="12.75" customHeight="1">
      <c r="A8" s="9">
        <v>7.0</v>
      </c>
      <c r="B8" s="10" t="s">
        <v>56</v>
      </c>
      <c r="C8" s="11" t="s">
        <v>57</v>
      </c>
      <c r="D8" s="12">
        <v>2.0</v>
      </c>
      <c r="E8" s="12">
        <v>1.0</v>
      </c>
      <c r="F8" s="13"/>
      <c r="G8" s="15"/>
      <c r="H8" s="15"/>
      <c r="I8" s="14"/>
      <c r="J8" s="14"/>
      <c r="K8" s="14">
        <v>1.0</v>
      </c>
    </row>
    <row r="9" ht="12.75" customHeight="1">
      <c r="A9" s="9">
        <v>8.0</v>
      </c>
      <c r="B9" s="10" t="s">
        <v>58</v>
      </c>
      <c r="C9" s="11" t="s">
        <v>59</v>
      </c>
      <c r="D9" s="12">
        <v>5.0</v>
      </c>
      <c r="E9" s="12">
        <v>1.0</v>
      </c>
      <c r="F9" s="16" t="s">
        <v>60</v>
      </c>
      <c r="G9" s="15"/>
      <c r="H9" s="15"/>
      <c r="I9" s="14"/>
      <c r="J9" s="14"/>
      <c r="K9" s="14">
        <v>1.0</v>
      </c>
    </row>
    <row r="10" ht="12.75" customHeight="1">
      <c r="A10" s="9">
        <v>9.0</v>
      </c>
      <c r="B10" s="10" t="s">
        <v>61</v>
      </c>
      <c r="C10" s="11" t="s">
        <v>62</v>
      </c>
      <c r="D10" s="12">
        <v>3.0</v>
      </c>
      <c r="E10" s="12">
        <v>1.0</v>
      </c>
      <c r="F10" s="13"/>
      <c r="G10" s="15"/>
      <c r="H10" s="15"/>
      <c r="I10" s="14"/>
      <c r="J10" s="14"/>
      <c r="K10" s="14">
        <v>1.0</v>
      </c>
    </row>
    <row r="11" ht="12.75" customHeight="1">
      <c r="A11" s="9">
        <v>10.0</v>
      </c>
      <c r="B11" s="10" t="s">
        <v>63</v>
      </c>
      <c r="C11" s="11" t="s">
        <v>64</v>
      </c>
      <c r="D11" s="12">
        <v>2.0</v>
      </c>
      <c r="E11" s="12">
        <v>1.0</v>
      </c>
      <c r="F11" s="13"/>
      <c r="G11" s="15"/>
      <c r="H11" s="15"/>
      <c r="I11" s="14"/>
      <c r="J11" s="14"/>
      <c r="K11" s="14">
        <v>1.0</v>
      </c>
    </row>
    <row r="12" ht="12.75" customHeight="1">
      <c r="A12" s="9">
        <v>11.0</v>
      </c>
      <c r="B12" s="10" t="s">
        <v>65</v>
      </c>
      <c r="C12" s="11" t="s">
        <v>66</v>
      </c>
      <c r="D12" s="12">
        <v>3.0</v>
      </c>
      <c r="E12" s="12">
        <v>1.0</v>
      </c>
      <c r="F12" s="13"/>
      <c r="G12" s="15"/>
      <c r="H12" s="15"/>
      <c r="I12" s="14"/>
      <c r="J12" s="14"/>
      <c r="K12" s="14">
        <v>1.0</v>
      </c>
    </row>
    <row r="13" ht="12.75" customHeight="1">
      <c r="A13" s="9">
        <v>12.0</v>
      </c>
      <c r="B13" s="10" t="s">
        <v>67</v>
      </c>
      <c r="C13" s="11" t="s">
        <v>68</v>
      </c>
      <c r="D13" s="12">
        <v>2.0</v>
      </c>
      <c r="E13" s="12">
        <v>1.0</v>
      </c>
      <c r="F13" s="13"/>
      <c r="G13" s="15"/>
      <c r="H13" s="15"/>
      <c r="I13" s="14"/>
      <c r="J13" s="14"/>
      <c r="K13" s="14">
        <v>1.0</v>
      </c>
    </row>
    <row r="14" ht="12.75" customHeight="1">
      <c r="A14" s="9">
        <v>13.0</v>
      </c>
      <c r="B14" s="10" t="s">
        <v>69</v>
      </c>
      <c r="C14" s="11" t="s">
        <v>70</v>
      </c>
      <c r="D14" s="12">
        <v>2.0</v>
      </c>
      <c r="E14" s="12">
        <v>1.0</v>
      </c>
      <c r="F14" s="13"/>
      <c r="G14" s="15"/>
      <c r="H14" s="15"/>
      <c r="I14" s="14"/>
      <c r="J14" s="14"/>
      <c r="K14" s="14">
        <v>1.0</v>
      </c>
    </row>
    <row r="15" ht="12.75" customHeight="1">
      <c r="A15" s="9">
        <v>14.0</v>
      </c>
      <c r="B15" s="10" t="s">
        <v>71</v>
      </c>
      <c r="C15" s="11" t="s">
        <v>72</v>
      </c>
      <c r="D15" s="12">
        <v>3.0</v>
      </c>
      <c r="E15" s="12">
        <v>1.0</v>
      </c>
      <c r="F15" s="13"/>
      <c r="G15" s="15"/>
      <c r="H15" s="15"/>
      <c r="I15" s="14"/>
      <c r="J15" s="14"/>
      <c r="K15" s="14">
        <v>1.0</v>
      </c>
    </row>
    <row r="16" ht="12.75" customHeight="1">
      <c r="A16" s="9">
        <v>15.0</v>
      </c>
      <c r="B16" s="10" t="s">
        <v>73</v>
      </c>
      <c r="C16" s="17" t="s">
        <v>74</v>
      </c>
      <c r="D16" s="12">
        <v>4.0</v>
      </c>
      <c r="E16" s="12">
        <v>1.0</v>
      </c>
      <c r="F16" s="16" t="s">
        <v>75</v>
      </c>
      <c r="G16" s="15"/>
      <c r="H16" s="15"/>
      <c r="I16" s="14"/>
      <c r="J16" s="14"/>
      <c r="K16" s="14">
        <v>1.0</v>
      </c>
    </row>
    <row r="17" ht="12.75" customHeight="1">
      <c r="A17" s="9">
        <v>16.0</v>
      </c>
      <c r="B17" s="10" t="s">
        <v>76</v>
      </c>
      <c r="C17" s="11" t="s">
        <v>77</v>
      </c>
      <c r="D17" s="12">
        <v>2.0</v>
      </c>
      <c r="E17" s="12">
        <v>1.0</v>
      </c>
      <c r="F17" s="13"/>
      <c r="G17" s="15"/>
      <c r="H17" s="15"/>
      <c r="I17" s="14"/>
      <c r="J17" s="14"/>
      <c r="K17" s="14">
        <v>1.0</v>
      </c>
    </row>
    <row r="18" ht="12.75" customHeight="1">
      <c r="A18" s="9">
        <v>17.0</v>
      </c>
      <c r="B18" s="10" t="s">
        <v>78</v>
      </c>
      <c r="C18" s="11" t="s">
        <v>79</v>
      </c>
      <c r="D18" s="12">
        <v>2.0</v>
      </c>
      <c r="E18" s="12">
        <v>1.0</v>
      </c>
      <c r="F18" s="13"/>
      <c r="G18" s="15"/>
      <c r="H18" s="15"/>
      <c r="I18" s="14"/>
      <c r="J18" s="14"/>
      <c r="K18" s="14">
        <v>1.0</v>
      </c>
    </row>
    <row r="19" ht="12.75" customHeight="1">
      <c r="A19" s="9">
        <v>18.0</v>
      </c>
      <c r="B19" s="10" t="s">
        <v>80</v>
      </c>
      <c r="C19" s="11" t="s">
        <v>81</v>
      </c>
      <c r="D19" s="12">
        <v>1.0</v>
      </c>
      <c r="E19" s="12">
        <v>1.0</v>
      </c>
      <c r="F19" s="13"/>
      <c r="G19" s="15"/>
      <c r="H19" s="15"/>
      <c r="I19" s="14"/>
      <c r="J19" s="14"/>
      <c r="K19" s="14">
        <v>1.0</v>
      </c>
    </row>
    <row r="20" ht="12.75" customHeight="1">
      <c r="A20" s="9">
        <v>19.0</v>
      </c>
      <c r="B20" s="10" t="s">
        <v>82</v>
      </c>
      <c r="C20" s="11" t="s">
        <v>83</v>
      </c>
      <c r="D20" s="12">
        <v>2.0</v>
      </c>
      <c r="E20" s="12">
        <v>1.0</v>
      </c>
      <c r="F20" s="16" t="s">
        <v>84</v>
      </c>
      <c r="G20" s="15"/>
      <c r="H20" s="15"/>
      <c r="I20" s="14"/>
      <c r="J20" s="14"/>
      <c r="K20" s="14">
        <v>1.0</v>
      </c>
    </row>
    <row r="21" ht="12.75" customHeight="1">
      <c r="A21" s="9">
        <v>20.0</v>
      </c>
      <c r="B21" s="10" t="s">
        <v>85</v>
      </c>
      <c r="C21" s="11" t="s">
        <v>86</v>
      </c>
      <c r="D21" s="12">
        <v>3.0</v>
      </c>
      <c r="E21" s="12">
        <v>1.0</v>
      </c>
      <c r="F21" s="13"/>
      <c r="G21" s="15"/>
      <c r="H21" s="15"/>
      <c r="I21" s="14"/>
      <c r="J21" s="14"/>
      <c r="K21" s="14">
        <v>1.0</v>
      </c>
    </row>
    <row r="22" ht="12.75" customHeight="1">
      <c r="A22" s="9">
        <v>21.0</v>
      </c>
      <c r="B22" s="10" t="s">
        <v>87</v>
      </c>
      <c r="C22" s="11" t="s">
        <v>88</v>
      </c>
      <c r="D22" s="12">
        <v>2.0</v>
      </c>
      <c r="E22" s="12">
        <v>1.0</v>
      </c>
      <c r="F22" s="13"/>
      <c r="G22" s="15"/>
      <c r="H22" s="15"/>
      <c r="I22" s="14"/>
      <c r="J22" s="14"/>
      <c r="K22" s="14">
        <v>1.0</v>
      </c>
    </row>
    <row r="23" ht="12.75" customHeight="1">
      <c r="A23" s="9">
        <v>22.0</v>
      </c>
      <c r="B23" s="10" t="s">
        <v>89</v>
      </c>
      <c r="C23" s="11" t="s">
        <v>90</v>
      </c>
      <c r="D23" s="12">
        <v>3.0</v>
      </c>
      <c r="E23" s="12">
        <v>1.0</v>
      </c>
      <c r="F23" s="13"/>
      <c r="G23" s="15"/>
      <c r="H23" s="15"/>
      <c r="I23" s="14"/>
      <c r="J23" s="14"/>
      <c r="K23" s="14">
        <v>1.0</v>
      </c>
    </row>
    <row r="24" ht="12.75" customHeight="1">
      <c r="A24" s="18">
        <v>23.0</v>
      </c>
      <c r="B24" s="19" t="s">
        <v>91</v>
      </c>
      <c r="C24" s="20" t="s">
        <v>92</v>
      </c>
      <c r="D24" s="21">
        <v>0.0</v>
      </c>
      <c r="E24" s="21">
        <v>1.0</v>
      </c>
      <c r="F24" s="22" t="s">
        <v>93</v>
      </c>
      <c r="G24" s="23"/>
      <c r="H24" s="23"/>
      <c r="I24" s="24"/>
      <c r="J24" s="24"/>
      <c r="K24" s="24">
        <v>2.0</v>
      </c>
    </row>
    <row r="25" ht="12.75" customHeight="1">
      <c r="A25" s="25">
        <v>24.0</v>
      </c>
      <c r="B25" s="26" t="s">
        <v>94</v>
      </c>
      <c r="C25" s="27" t="s">
        <v>95</v>
      </c>
      <c r="D25" s="28">
        <v>3.0</v>
      </c>
      <c r="E25" s="28">
        <v>1.0</v>
      </c>
      <c r="F25" s="29"/>
      <c r="G25" s="30"/>
      <c r="H25" s="30"/>
      <c r="I25" s="31"/>
      <c r="J25" s="31"/>
      <c r="K25" s="31">
        <v>3.0</v>
      </c>
    </row>
    <row r="26" ht="12.75" customHeight="1">
      <c r="A26" s="25">
        <v>25.0</v>
      </c>
      <c r="B26" s="26" t="s">
        <v>96</v>
      </c>
      <c r="C26" s="27" t="s">
        <v>97</v>
      </c>
      <c r="D26" s="28">
        <v>4.0</v>
      </c>
      <c r="E26" s="28">
        <v>1.0</v>
      </c>
      <c r="F26" s="29"/>
      <c r="G26" s="30"/>
      <c r="H26" s="30"/>
      <c r="I26" s="31"/>
      <c r="J26" s="31"/>
      <c r="K26" s="31">
        <v>3.0</v>
      </c>
    </row>
    <row r="27" ht="12.75" customHeight="1">
      <c r="A27" s="25">
        <v>26.0</v>
      </c>
      <c r="B27" s="26" t="s">
        <v>98</v>
      </c>
      <c r="C27" s="27" t="s">
        <v>99</v>
      </c>
      <c r="D27" s="28">
        <v>3.0</v>
      </c>
      <c r="E27" s="28">
        <v>1.0</v>
      </c>
      <c r="F27" s="29"/>
      <c r="G27" s="30"/>
      <c r="H27" s="30"/>
      <c r="I27" s="31"/>
      <c r="J27" s="31"/>
      <c r="K27" s="31">
        <v>3.0</v>
      </c>
    </row>
    <row r="28" ht="12.75" customHeight="1">
      <c r="A28" s="25">
        <v>27.0</v>
      </c>
      <c r="B28" s="26" t="s">
        <v>100</v>
      </c>
      <c r="C28" s="32" t="s">
        <v>101</v>
      </c>
      <c r="D28" s="28">
        <v>2.0</v>
      </c>
      <c r="E28" s="28">
        <v>1.0</v>
      </c>
      <c r="F28" s="33" t="s">
        <v>102</v>
      </c>
      <c r="G28" s="30"/>
      <c r="H28" s="30"/>
      <c r="I28" s="31"/>
      <c r="J28" s="31"/>
      <c r="K28" s="31">
        <v>3.0</v>
      </c>
    </row>
    <row r="29" ht="12.75" customHeight="1">
      <c r="A29" s="25">
        <v>28.0</v>
      </c>
      <c r="B29" s="26" t="s">
        <v>103</v>
      </c>
      <c r="C29" s="27" t="s">
        <v>104</v>
      </c>
      <c r="D29" s="28">
        <v>3.0</v>
      </c>
      <c r="E29" s="28">
        <v>1.0</v>
      </c>
      <c r="F29" s="29"/>
      <c r="G29" s="30"/>
      <c r="H29" s="30"/>
      <c r="I29" s="31"/>
      <c r="J29" s="31"/>
      <c r="K29" s="31">
        <v>3.0</v>
      </c>
    </row>
    <row r="30" ht="12.75" customHeight="1">
      <c r="A30" s="25">
        <v>29.0</v>
      </c>
      <c r="B30" s="26" t="s">
        <v>105</v>
      </c>
      <c r="C30" s="27" t="s">
        <v>106</v>
      </c>
      <c r="D30" s="28">
        <v>3.0</v>
      </c>
      <c r="E30" s="28">
        <v>1.0</v>
      </c>
      <c r="F30" s="29"/>
      <c r="G30" s="30"/>
      <c r="H30" s="30"/>
      <c r="I30" s="31"/>
      <c r="J30" s="31"/>
      <c r="K30" s="31">
        <v>3.0</v>
      </c>
    </row>
    <row r="31" ht="12.75" customHeight="1">
      <c r="A31" s="25">
        <v>30.0</v>
      </c>
      <c r="B31" s="26" t="s">
        <v>107</v>
      </c>
      <c r="C31" s="32" t="s">
        <v>108</v>
      </c>
      <c r="D31" s="28">
        <v>2.0</v>
      </c>
      <c r="E31" s="28">
        <v>1.0</v>
      </c>
      <c r="F31" s="33" t="s">
        <v>109</v>
      </c>
      <c r="G31" s="30"/>
      <c r="H31" s="30"/>
      <c r="I31" s="31"/>
      <c r="J31" s="31"/>
      <c r="K31" s="31">
        <v>3.0</v>
      </c>
    </row>
    <row r="32" ht="12.75" customHeight="1">
      <c r="A32" s="25">
        <v>31.0</v>
      </c>
      <c r="B32" s="26" t="s">
        <v>110</v>
      </c>
      <c r="C32" s="27" t="s">
        <v>111</v>
      </c>
      <c r="D32" s="28">
        <v>3.0</v>
      </c>
      <c r="E32" s="28">
        <v>1.0</v>
      </c>
      <c r="F32" s="29"/>
      <c r="G32" s="30"/>
      <c r="H32" s="30"/>
      <c r="I32" s="31"/>
      <c r="J32" s="31"/>
      <c r="K32" s="31">
        <v>3.0</v>
      </c>
    </row>
    <row r="33" ht="12.75" customHeight="1">
      <c r="A33" s="25">
        <v>32.0</v>
      </c>
      <c r="B33" s="26" t="s">
        <v>112</v>
      </c>
      <c r="C33" s="27" t="s">
        <v>113</v>
      </c>
      <c r="D33" s="28">
        <v>4.0</v>
      </c>
      <c r="E33" s="28">
        <v>1.0</v>
      </c>
      <c r="F33" s="29"/>
      <c r="G33" s="30"/>
      <c r="H33" s="30"/>
      <c r="I33" s="31"/>
      <c r="J33" s="31"/>
      <c r="K33" s="31">
        <v>3.0</v>
      </c>
    </row>
    <row r="34" ht="12.75" customHeight="1">
      <c r="A34" s="25">
        <v>33.0</v>
      </c>
      <c r="B34" s="26" t="s">
        <v>114</v>
      </c>
      <c r="C34" s="27" t="s">
        <v>115</v>
      </c>
      <c r="D34" s="28">
        <v>3.0</v>
      </c>
      <c r="E34" s="28">
        <v>1.0</v>
      </c>
      <c r="F34" s="29"/>
      <c r="G34" s="30"/>
      <c r="H34" s="30"/>
      <c r="I34" s="31"/>
      <c r="J34" s="31"/>
      <c r="K34" s="31">
        <v>3.0</v>
      </c>
    </row>
    <row r="35" ht="12.75" customHeight="1">
      <c r="A35" s="25">
        <v>34.0</v>
      </c>
      <c r="B35" s="26" t="s">
        <v>116</v>
      </c>
      <c r="C35" s="32" t="s">
        <v>117</v>
      </c>
      <c r="D35" s="28">
        <v>3.0</v>
      </c>
      <c r="E35" s="28">
        <v>1.0</v>
      </c>
      <c r="F35" s="33" t="s">
        <v>118</v>
      </c>
      <c r="G35" s="30"/>
      <c r="H35" s="30"/>
      <c r="I35" s="31"/>
      <c r="J35" s="31"/>
      <c r="K35" s="31">
        <v>3.0</v>
      </c>
    </row>
    <row r="36" ht="12.75" customHeight="1">
      <c r="A36" s="25">
        <v>35.0</v>
      </c>
      <c r="B36" s="26" t="s">
        <v>119</v>
      </c>
      <c r="C36" s="27" t="s">
        <v>120</v>
      </c>
      <c r="D36" s="28">
        <v>2.0</v>
      </c>
      <c r="E36" s="28">
        <v>1.0</v>
      </c>
      <c r="F36" s="29"/>
      <c r="G36" s="30"/>
      <c r="H36" s="30"/>
      <c r="I36" s="31"/>
      <c r="J36" s="31"/>
      <c r="K36" s="31">
        <v>3.0</v>
      </c>
    </row>
    <row r="37" ht="12.75" customHeight="1">
      <c r="A37" s="25">
        <v>36.0</v>
      </c>
      <c r="B37" s="26" t="s">
        <v>121</v>
      </c>
      <c r="C37" s="32" t="s">
        <v>122</v>
      </c>
      <c r="D37" s="28">
        <v>4.0</v>
      </c>
      <c r="E37" s="28">
        <v>1.0</v>
      </c>
      <c r="F37" s="33" t="s">
        <v>123</v>
      </c>
      <c r="G37" s="30"/>
      <c r="H37" s="30"/>
      <c r="I37" s="31"/>
      <c r="J37" s="31"/>
      <c r="K37" s="31">
        <v>3.0</v>
      </c>
    </row>
    <row r="38" ht="12.75" customHeight="1">
      <c r="A38" s="25">
        <v>37.0</v>
      </c>
      <c r="B38" s="26" t="s">
        <v>124</v>
      </c>
      <c r="C38" s="27" t="s">
        <v>125</v>
      </c>
      <c r="D38" s="28">
        <v>3.0</v>
      </c>
      <c r="E38" s="28">
        <v>1.0</v>
      </c>
      <c r="F38" s="29"/>
      <c r="G38" s="30"/>
      <c r="H38" s="30"/>
      <c r="I38" s="31"/>
      <c r="J38" s="31"/>
      <c r="K38" s="31">
        <v>3.0</v>
      </c>
    </row>
    <row r="39" ht="12.75" customHeight="1">
      <c r="A39" s="25">
        <v>38.0</v>
      </c>
      <c r="B39" s="26" t="s">
        <v>126</v>
      </c>
      <c r="C39" s="27" t="s">
        <v>127</v>
      </c>
      <c r="D39" s="28">
        <v>2.0</v>
      </c>
      <c r="E39" s="28">
        <v>1.0</v>
      </c>
      <c r="F39" s="29"/>
      <c r="G39" s="30"/>
      <c r="H39" s="30"/>
      <c r="I39" s="31"/>
      <c r="J39" s="31"/>
      <c r="K39" s="31">
        <v>3.0</v>
      </c>
    </row>
    <row r="40" ht="12.75" customHeight="1">
      <c r="A40" s="25">
        <v>39.0</v>
      </c>
      <c r="B40" s="34" t="s">
        <v>128</v>
      </c>
      <c r="C40" s="32" t="s">
        <v>129</v>
      </c>
      <c r="D40" s="28">
        <v>5.0</v>
      </c>
      <c r="E40" s="35">
        <v>1.0</v>
      </c>
      <c r="F40" s="33" t="s">
        <v>130</v>
      </c>
      <c r="G40" s="30"/>
      <c r="H40" s="30"/>
      <c r="I40" s="30"/>
      <c r="J40" s="30"/>
      <c r="K40" s="31">
        <v>3.0</v>
      </c>
    </row>
    <row r="41" ht="12.75" customHeight="1">
      <c r="A41" s="25">
        <v>40.0</v>
      </c>
      <c r="B41" s="34" t="s">
        <v>131</v>
      </c>
      <c r="C41" s="36" t="s">
        <v>132</v>
      </c>
      <c r="D41" s="28">
        <v>3.0</v>
      </c>
      <c r="E41" s="35">
        <v>1.0</v>
      </c>
      <c r="F41" s="29"/>
      <c r="G41" s="30"/>
      <c r="H41" s="30"/>
      <c r="I41" s="30"/>
      <c r="J41" s="30"/>
      <c r="K41" s="31">
        <v>3.0</v>
      </c>
    </row>
    <row r="42" ht="12.75" customHeight="1">
      <c r="A42" s="25">
        <v>41.0</v>
      </c>
      <c r="B42" s="34" t="s">
        <v>133</v>
      </c>
      <c r="C42" s="36" t="s">
        <v>134</v>
      </c>
      <c r="D42" s="28">
        <v>4.0</v>
      </c>
      <c r="E42" s="35">
        <v>1.0</v>
      </c>
      <c r="F42" s="29"/>
      <c r="G42" s="30"/>
      <c r="H42" s="30"/>
      <c r="I42" s="30"/>
      <c r="J42" s="30"/>
      <c r="K42" s="31">
        <v>3.0</v>
      </c>
    </row>
    <row r="43" ht="12.75" customHeight="1">
      <c r="A43" s="25">
        <v>42.0</v>
      </c>
      <c r="B43" s="34" t="s">
        <v>135</v>
      </c>
      <c r="C43" s="36" t="s">
        <v>136</v>
      </c>
      <c r="D43" s="28">
        <v>3.0</v>
      </c>
      <c r="E43" s="35">
        <v>1.0</v>
      </c>
      <c r="F43" s="29"/>
      <c r="G43" s="30"/>
      <c r="H43" s="30"/>
      <c r="I43" s="30"/>
      <c r="J43" s="30"/>
      <c r="K43" s="31">
        <v>3.0</v>
      </c>
    </row>
    <row r="44" ht="12.75" customHeight="1">
      <c r="A44" s="25">
        <v>43.0</v>
      </c>
      <c r="B44" s="34" t="s">
        <v>137</v>
      </c>
      <c r="C44" s="36" t="s">
        <v>138</v>
      </c>
      <c r="D44" s="28">
        <v>2.0</v>
      </c>
      <c r="E44" s="35">
        <v>1.0</v>
      </c>
      <c r="F44" s="29"/>
      <c r="G44" s="30"/>
      <c r="H44" s="30"/>
      <c r="I44" s="30"/>
      <c r="J44" s="30"/>
      <c r="K44" s="31">
        <v>3.0</v>
      </c>
    </row>
    <row r="45" ht="12.75" customHeight="1">
      <c r="A45" s="37"/>
      <c r="D45" s="38"/>
      <c r="F45" s="39"/>
    </row>
    <row r="46" ht="12.75" customHeight="1">
      <c r="A46" s="37"/>
      <c r="D46" s="38"/>
      <c r="F46" s="39"/>
    </row>
    <row r="47" ht="12.75" customHeight="1">
      <c r="A47" s="37"/>
      <c r="D47" s="38"/>
      <c r="F47" s="39"/>
    </row>
    <row r="48" ht="12.75" customHeight="1">
      <c r="A48" s="37"/>
      <c r="D48" s="38"/>
      <c r="F48" s="39"/>
    </row>
    <row r="49" ht="12.75" customHeight="1">
      <c r="A49" s="37"/>
      <c r="D49" s="38"/>
      <c r="F49" s="39"/>
    </row>
    <row r="50" ht="12.75" customHeight="1">
      <c r="A50" s="37"/>
      <c r="D50" s="38"/>
      <c r="F50" s="39"/>
    </row>
    <row r="51" ht="12.75" customHeight="1">
      <c r="A51" s="37"/>
      <c r="D51" s="38"/>
      <c r="F51" s="39"/>
    </row>
    <row r="52" ht="12.75" customHeight="1">
      <c r="A52" s="37"/>
      <c r="D52" s="38"/>
      <c r="F52" s="39"/>
    </row>
    <row r="53" ht="12.75" customHeight="1">
      <c r="A53" s="37"/>
      <c r="D53" s="38"/>
      <c r="F53" s="39"/>
    </row>
    <row r="54" ht="12.75" customHeight="1">
      <c r="A54" s="37"/>
      <c r="D54" s="38"/>
      <c r="F54" s="39"/>
    </row>
    <row r="55" ht="12.75" customHeight="1">
      <c r="A55" s="37"/>
      <c r="D55" s="38"/>
      <c r="F55" s="39"/>
    </row>
    <row r="56" ht="12.75" customHeight="1">
      <c r="A56" s="37"/>
      <c r="D56" s="38"/>
      <c r="F56" s="39"/>
    </row>
    <row r="57" ht="12.75" customHeight="1">
      <c r="A57" s="37"/>
      <c r="D57" s="38"/>
      <c r="F57" s="39"/>
    </row>
    <row r="58" ht="12.75" customHeight="1">
      <c r="A58" s="37"/>
      <c r="D58" s="38"/>
      <c r="F58" s="39"/>
    </row>
    <row r="59" ht="12.75" customHeight="1">
      <c r="A59" s="37"/>
      <c r="D59" s="38"/>
      <c r="F59" s="39"/>
    </row>
    <row r="60" ht="12.75" customHeight="1">
      <c r="A60" s="37"/>
      <c r="D60" s="38"/>
      <c r="F60" s="39"/>
    </row>
    <row r="61" ht="12.75" customHeight="1">
      <c r="A61" s="37"/>
      <c r="D61" s="38"/>
      <c r="F61" s="39"/>
    </row>
    <row r="62" ht="12.75" customHeight="1">
      <c r="A62" s="37"/>
      <c r="D62" s="38"/>
      <c r="F62" s="39"/>
    </row>
    <row r="63" ht="12.75" customHeight="1">
      <c r="A63" s="37"/>
      <c r="D63" s="38"/>
      <c r="F63" s="39"/>
    </row>
    <row r="64" ht="12.75" customHeight="1">
      <c r="A64" s="37"/>
      <c r="D64" s="38"/>
      <c r="F64" s="39"/>
    </row>
    <row r="65" ht="12.75" customHeight="1">
      <c r="A65" s="37"/>
      <c r="D65" s="38"/>
      <c r="F65" s="39"/>
    </row>
    <row r="66" ht="12.75" customHeight="1">
      <c r="A66" s="37"/>
      <c r="D66" s="38"/>
      <c r="F66" s="39"/>
    </row>
    <row r="67" ht="12.75" customHeight="1">
      <c r="A67" s="37"/>
      <c r="D67" s="38"/>
      <c r="F67" s="39"/>
    </row>
    <row r="68" ht="12.75" customHeight="1">
      <c r="A68" s="37"/>
      <c r="D68" s="38"/>
      <c r="F68" s="39"/>
    </row>
    <row r="69" ht="12.75" customHeight="1">
      <c r="A69" s="37"/>
      <c r="D69" s="38"/>
      <c r="F69" s="39"/>
    </row>
    <row r="70" ht="12.75" customHeight="1">
      <c r="A70" s="37"/>
      <c r="D70" s="38"/>
      <c r="F70" s="39"/>
    </row>
    <row r="71" ht="12.75" customHeight="1">
      <c r="A71" s="37"/>
      <c r="D71" s="38"/>
      <c r="F71" s="39"/>
    </row>
    <row r="72" ht="12.75" customHeight="1">
      <c r="A72" s="37"/>
      <c r="D72" s="38"/>
      <c r="F72" s="39"/>
    </row>
    <row r="73" ht="12.75" customHeight="1">
      <c r="A73" s="37"/>
      <c r="D73" s="38"/>
      <c r="F73" s="39"/>
    </row>
    <row r="74" ht="12.75" customHeight="1">
      <c r="A74" s="37"/>
      <c r="D74" s="38"/>
      <c r="F74" s="39"/>
    </row>
    <row r="75" ht="12.75" customHeight="1">
      <c r="A75" s="37"/>
      <c r="D75" s="38"/>
      <c r="F75" s="39"/>
    </row>
    <row r="76" ht="12.75" customHeight="1">
      <c r="A76" s="37"/>
      <c r="D76" s="38"/>
      <c r="F76" s="39"/>
    </row>
    <row r="77" ht="12.75" customHeight="1">
      <c r="A77" s="37"/>
      <c r="D77" s="38"/>
      <c r="F77" s="39"/>
    </row>
    <row r="78" ht="12.75" customHeight="1">
      <c r="A78" s="37"/>
      <c r="D78" s="38"/>
      <c r="F78" s="39"/>
    </row>
    <row r="79" ht="12.75" customHeight="1">
      <c r="A79" s="37"/>
      <c r="D79" s="38"/>
      <c r="F79" s="39"/>
    </row>
    <row r="80" ht="12.75" customHeight="1">
      <c r="A80" s="37"/>
      <c r="D80" s="38"/>
      <c r="F80" s="39"/>
    </row>
    <row r="81" ht="12.75" customHeight="1">
      <c r="A81" s="37"/>
      <c r="D81" s="38"/>
      <c r="F81" s="39"/>
    </row>
    <row r="82" ht="12.75" customHeight="1">
      <c r="A82" s="37"/>
      <c r="D82" s="38"/>
      <c r="F82" s="39"/>
    </row>
    <row r="83" ht="12.75" customHeight="1">
      <c r="A83" s="37"/>
      <c r="D83" s="38"/>
      <c r="F83" s="39"/>
    </row>
    <row r="84" ht="12.75" customHeight="1">
      <c r="A84" s="37"/>
      <c r="D84" s="38"/>
      <c r="F84" s="39"/>
    </row>
    <row r="85" ht="12.75" customHeight="1">
      <c r="A85" s="37"/>
      <c r="D85" s="38"/>
      <c r="F85" s="39"/>
    </row>
    <row r="86" ht="12.75" customHeight="1">
      <c r="A86" s="37"/>
      <c r="D86" s="38"/>
      <c r="F86" s="39"/>
    </row>
    <row r="87" ht="12.75" customHeight="1">
      <c r="A87" s="37"/>
      <c r="D87" s="38"/>
      <c r="F87" s="39"/>
    </row>
    <row r="88" ht="12.75" customHeight="1">
      <c r="A88" s="37"/>
      <c r="D88" s="38"/>
      <c r="F88" s="39"/>
    </row>
    <row r="89" ht="12.75" customHeight="1">
      <c r="A89" s="37"/>
      <c r="D89" s="38"/>
      <c r="F89" s="39"/>
    </row>
    <row r="90" ht="12.75" customHeight="1">
      <c r="A90" s="37"/>
      <c r="D90" s="38"/>
      <c r="F90" s="39"/>
    </row>
    <row r="91" ht="12.75" customHeight="1">
      <c r="A91" s="37"/>
      <c r="D91" s="38"/>
      <c r="F91" s="39"/>
    </row>
    <row r="92" ht="12.75" customHeight="1">
      <c r="A92" s="37"/>
      <c r="D92" s="38"/>
      <c r="F92" s="39"/>
    </row>
    <row r="93" ht="12.75" customHeight="1">
      <c r="A93" s="37"/>
      <c r="D93" s="38"/>
      <c r="F93" s="39"/>
    </row>
    <row r="94" ht="12.75" customHeight="1">
      <c r="A94" s="37"/>
      <c r="D94" s="38"/>
      <c r="F94" s="39"/>
    </row>
    <row r="95" ht="12.75" customHeight="1">
      <c r="A95" s="37"/>
      <c r="D95" s="38"/>
      <c r="F95" s="39"/>
    </row>
    <row r="96" ht="12.75" customHeight="1">
      <c r="A96" s="37"/>
      <c r="D96" s="38"/>
      <c r="F96" s="39"/>
    </row>
    <row r="97" ht="12.75" customHeight="1">
      <c r="A97" s="37"/>
      <c r="D97" s="38"/>
      <c r="F97" s="39"/>
    </row>
    <row r="98" ht="12.75" customHeight="1">
      <c r="A98" s="37"/>
      <c r="D98" s="38"/>
      <c r="F98" s="39"/>
    </row>
    <row r="99" ht="12.75" customHeight="1">
      <c r="A99" s="37"/>
      <c r="D99" s="38"/>
      <c r="F99" s="39"/>
    </row>
    <row r="100" ht="12.75" customHeight="1">
      <c r="A100" s="37"/>
      <c r="D100" s="38"/>
      <c r="F100" s="39"/>
    </row>
    <row r="101" ht="12.75" customHeight="1">
      <c r="A101" s="37"/>
      <c r="D101" s="38"/>
      <c r="F101" s="39"/>
    </row>
    <row r="102" ht="12.75" customHeight="1">
      <c r="A102" s="37"/>
      <c r="D102" s="38"/>
      <c r="F102" s="39"/>
    </row>
    <row r="103" ht="12.75" customHeight="1">
      <c r="A103" s="37"/>
      <c r="D103" s="38"/>
      <c r="F103" s="39"/>
    </row>
    <row r="104" ht="12.75" customHeight="1">
      <c r="A104" s="37"/>
      <c r="D104" s="38"/>
      <c r="F104" s="39"/>
    </row>
    <row r="105" ht="12.75" customHeight="1">
      <c r="A105" s="37"/>
      <c r="D105" s="38"/>
      <c r="F105" s="39"/>
    </row>
    <row r="106" ht="12.75" customHeight="1">
      <c r="A106" s="37"/>
      <c r="D106" s="38"/>
      <c r="F106" s="39"/>
    </row>
    <row r="107" ht="12.75" customHeight="1">
      <c r="A107" s="37"/>
      <c r="D107" s="38"/>
      <c r="F107" s="39"/>
    </row>
    <row r="108" ht="12.75" customHeight="1">
      <c r="A108" s="37"/>
      <c r="D108" s="38"/>
      <c r="F108" s="39"/>
    </row>
    <row r="109" ht="12.75" customHeight="1">
      <c r="A109" s="37"/>
      <c r="D109" s="38"/>
      <c r="F109" s="39"/>
    </row>
    <row r="110" ht="12.75" customHeight="1">
      <c r="A110" s="37"/>
      <c r="D110" s="38"/>
      <c r="F110" s="39"/>
    </row>
    <row r="111" ht="12.75" customHeight="1">
      <c r="A111" s="37"/>
      <c r="D111" s="38"/>
      <c r="F111" s="39"/>
    </row>
    <row r="112" ht="12.75" customHeight="1">
      <c r="A112" s="37"/>
      <c r="D112" s="38"/>
      <c r="F112" s="39"/>
    </row>
    <row r="113" ht="12.75" customHeight="1">
      <c r="A113" s="37"/>
      <c r="D113" s="38"/>
      <c r="F113" s="39"/>
    </row>
    <row r="114" ht="12.75" customHeight="1">
      <c r="A114" s="37"/>
      <c r="D114" s="38"/>
      <c r="F114" s="39"/>
    </row>
    <row r="115" ht="12.75" customHeight="1">
      <c r="A115" s="37"/>
      <c r="D115" s="38"/>
      <c r="F115" s="39"/>
    </row>
    <row r="116" ht="12.75" customHeight="1">
      <c r="A116" s="37"/>
      <c r="D116" s="38"/>
      <c r="F116" s="39"/>
    </row>
    <row r="117" ht="12.75" customHeight="1">
      <c r="A117" s="37"/>
      <c r="D117" s="38"/>
      <c r="F117" s="39"/>
    </row>
    <row r="118" ht="12.75" customHeight="1">
      <c r="A118" s="37"/>
      <c r="D118" s="38"/>
      <c r="F118" s="39"/>
    </row>
    <row r="119" ht="12.75" customHeight="1">
      <c r="A119" s="37"/>
      <c r="D119" s="38"/>
      <c r="F119" s="39"/>
    </row>
    <row r="120" ht="12.75" customHeight="1">
      <c r="A120" s="37"/>
      <c r="D120" s="38"/>
      <c r="F120" s="39"/>
    </row>
    <row r="121" ht="12.75" customHeight="1">
      <c r="A121" s="37"/>
      <c r="D121" s="38"/>
      <c r="F121" s="39"/>
    </row>
    <row r="122" ht="12.75" customHeight="1">
      <c r="A122" s="37"/>
      <c r="D122" s="38"/>
      <c r="F122" s="39"/>
    </row>
    <row r="123" ht="12.75" customHeight="1">
      <c r="A123" s="37"/>
      <c r="D123" s="38"/>
      <c r="F123" s="39"/>
    </row>
    <row r="124" ht="12.75" customHeight="1">
      <c r="A124" s="37"/>
      <c r="D124" s="38"/>
      <c r="F124" s="39"/>
    </row>
    <row r="125" ht="12.75" customHeight="1">
      <c r="A125" s="37"/>
      <c r="D125" s="38"/>
      <c r="F125" s="39"/>
    </row>
    <row r="126" ht="12.75" customHeight="1">
      <c r="A126" s="37"/>
      <c r="D126" s="38"/>
      <c r="F126" s="39"/>
    </row>
    <row r="127" ht="12.75" customHeight="1">
      <c r="A127" s="37"/>
      <c r="D127" s="38"/>
      <c r="F127" s="39"/>
    </row>
    <row r="128" ht="12.75" customHeight="1">
      <c r="A128" s="37"/>
      <c r="D128" s="38"/>
      <c r="F128" s="39"/>
    </row>
    <row r="129" ht="12.75" customHeight="1">
      <c r="A129" s="37"/>
      <c r="D129" s="38"/>
      <c r="F129" s="39"/>
    </row>
    <row r="130" ht="12.75" customHeight="1">
      <c r="A130" s="37"/>
      <c r="D130" s="38"/>
      <c r="F130" s="39"/>
    </row>
    <row r="131" ht="12.75" customHeight="1">
      <c r="A131" s="37"/>
      <c r="D131" s="38"/>
      <c r="F131" s="39"/>
    </row>
    <row r="132" ht="12.75" customHeight="1">
      <c r="A132" s="37"/>
      <c r="D132" s="38"/>
      <c r="F132" s="39"/>
    </row>
    <row r="133" ht="12.75" customHeight="1">
      <c r="A133" s="37"/>
      <c r="D133" s="38"/>
      <c r="F133" s="39"/>
    </row>
    <row r="134" ht="12.75" customHeight="1">
      <c r="A134" s="37"/>
      <c r="D134" s="38"/>
      <c r="F134" s="39"/>
    </row>
    <row r="135" ht="12.75" customHeight="1">
      <c r="A135" s="37"/>
      <c r="D135" s="38"/>
      <c r="F135" s="39"/>
    </row>
    <row r="136" ht="12.75" customHeight="1">
      <c r="A136" s="37"/>
      <c r="D136" s="38"/>
      <c r="F136" s="39"/>
    </row>
    <row r="137" ht="12.75" customHeight="1">
      <c r="A137" s="37"/>
      <c r="D137" s="38"/>
      <c r="F137" s="39"/>
    </row>
    <row r="138" ht="12.75" customHeight="1">
      <c r="A138" s="37"/>
      <c r="D138" s="38"/>
      <c r="F138" s="39"/>
    </row>
    <row r="139" ht="12.75" customHeight="1">
      <c r="A139" s="37"/>
      <c r="D139" s="38"/>
      <c r="F139" s="39"/>
    </row>
    <row r="140" ht="12.75" customHeight="1">
      <c r="A140" s="37"/>
      <c r="D140" s="38"/>
      <c r="F140" s="39"/>
    </row>
    <row r="141" ht="12.75" customHeight="1">
      <c r="A141" s="37"/>
      <c r="D141" s="38"/>
      <c r="F141" s="39"/>
    </row>
    <row r="142" ht="12.75" customHeight="1">
      <c r="A142" s="37"/>
      <c r="D142" s="38"/>
      <c r="F142" s="39"/>
    </row>
    <row r="143" ht="12.75" customHeight="1">
      <c r="A143" s="37"/>
      <c r="D143" s="38"/>
      <c r="F143" s="39"/>
    </row>
    <row r="144" ht="12.75" customHeight="1">
      <c r="A144" s="37"/>
      <c r="D144" s="38"/>
      <c r="F144" s="39"/>
    </row>
    <row r="145" ht="12.75" customHeight="1">
      <c r="A145" s="37"/>
      <c r="D145" s="38"/>
      <c r="F145" s="39"/>
    </row>
    <row r="146" ht="12.75" customHeight="1">
      <c r="A146" s="37"/>
      <c r="D146" s="38"/>
      <c r="F146" s="39"/>
    </row>
    <row r="147" ht="12.75" customHeight="1">
      <c r="A147" s="37"/>
      <c r="D147" s="38"/>
      <c r="F147" s="39"/>
    </row>
    <row r="148" ht="12.75" customHeight="1">
      <c r="A148" s="37"/>
      <c r="D148" s="38"/>
      <c r="F148" s="39"/>
    </row>
    <row r="149" ht="12.75" customHeight="1">
      <c r="A149" s="37"/>
      <c r="D149" s="38"/>
      <c r="F149" s="39"/>
    </row>
    <row r="150" ht="12.75" customHeight="1">
      <c r="A150" s="37"/>
      <c r="D150" s="38"/>
      <c r="F150" s="39"/>
    </row>
    <row r="151" ht="12.75" customHeight="1">
      <c r="A151" s="37"/>
      <c r="D151" s="38"/>
      <c r="F151" s="39"/>
    </row>
    <row r="152" ht="12.75" customHeight="1">
      <c r="A152" s="37"/>
      <c r="D152" s="38"/>
      <c r="F152" s="39"/>
    </row>
    <row r="153" ht="12.75" customHeight="1">
      <c r="A153" s="37"/>
      <c r="D153" s="38"/>
      <c r="F153" s="39"/>
    </row>
    <row r="154" ht="12.75" customHeight="1">
      <c r="A154" s="37"/>
      <c r="D154" s="38"/>
      <c r="F154" s="39"/>
    </row>
    <row r="155" ht="12.75" customHeight="1">
      <c r="A155" s="37"/>
      <c r="D155" s="38"/>
      <c r="F155" s="39"/>
    </row>
    <row r="156" ht="12.75" customHeight="1">
      <c r="A156" s="37"/>
      <c r="D156" s="38"/>
      <c r="F156" s="39"/>
    </row>
    <row r="157" ht="12.75" customHeight="1">
      <c r="A157" s="37"/>
      <c r="D157" s="38"/>
      <c r="F157" s="39"/>
    </row>
    <row r="158" ht="12.75" customHeight="1">
      <c r="A158" s="37"/>
      <c r="D158" s="38"/>
      <c r="F158" s="39"/>
    </row>
    <row r="159" ht="12.75" customHeight="1">
      <c r="A159" s="37"/>
      <c r="D159" s="38"/>
      <c r="F159" s="39"/>
    </row>
    <row r="160" ht="12.75" customHeight="1">
      <c r="A160" s="37"/>
      <c r="D160" s="38"/>
      <c r="F160" s="39"/>
    </row>
    <row r="161" ht="12.75" customHeight="1">
      <c r="A161" s="37"/>
      <c r="D161" s="38"/>
      <c r="F161" s="39"/>
    </row>
    <row r="162" ht="12.75" customHeight="1">
      <c r="A162" s="37"/>
      <c r="D162" s="38"/>
      <c r="F162" s="39"/>
    </row>
    <row r="163" ht="12.75" customHeight="1">
      <c r="A163" s="37"/>
      <c r="D163" s="38"/>
      <c r="F163" s="39"/>
    </row>
    <row r="164" ht="12.75" customHeight="1">
      <c r="A164" s="37"/>
      <c r="D164" s="38"/>
      <c r="F164" s="39"/>
    </row>
    <row r="165" ht="12.75" customHeight="1">
      <c r="A165" s="37"/>
      <c r="D165" s="38"/>
      <c r="F165" s="39"/>
    </row>
    <row r="166" ht="12.75" customHeight="1">
      <c r="A166" s="37"/>
      <c r="D166" s="38"/>
      <c r="F166" s="39"/>
    </row>
    <row r="167" ht="12.75" customHeight="1">
      <c r="A167" s="37"/>
      <c r="D167" s="38"/>
      <c r="F167" s="39"/>
    </row>
    <row r="168" ht="12.75" customHeight="1">
      <c r="A168" s="37"/>
      <c r="D168" s="38"/>
      <c r="F168" s="39"/>
    </row>
    <row r="169" ht="12.75" customHeight="1">
      <c r="A169" s="37"/>
      <c r="D169" s="38"/>
      <c r="F169" s="39"/>
    </row>
    <row r="170" ht="12.75" customHeight="1">
      <c r="A170" s="37"/>
      <c r="D170" s="38"/>
      <c r="F170" s="39"/>
    </row>
    <row r="171" ht="12.75" customHeight="1">
      <c r="A171" s="37"/>
      <c r="D171" s="38"/>
      <c r="F171" s="39"/>
    </row>
    <row r="172" ht="12.75" customHeight="1">
      <c r="A172" s="37"/>
      <c r="D172" s="38"/>
      <c r="F172" s="39"/>
    </row>
    <row r="173" ht="12.75" customHeight="1">
      <c r="A173" s="37"/>
      <c r="D173" s="38"/>
      <c r="F173" s="39"/>
    </row>
    <row r="174" ht="12.75" customHeight="1">
      <c r="A174" s="37"/>
      <c r="D174" s="38"/>
      <c r="F174" s="39"/>
    </row>
    <row r="175" ht="12.75" customHeight="1">
      <c r="A175" s="37"/>
      <c r="D175" s="38"/>
      <c r="F175" s="39"/>
    </row>
    <row r="176" ht="12.75" customHeight="1">
      <c r="A176" s="37"/>
      <c r="D176" s="38"/>
      <c r="F176" s="39"/>
    </row>
    <row r="177" ht="12.75" customHeight="1">
      <c r="A177" s="37"/>
      <c r="D177" s="38"/>
      <c r="F177" s="39"/>
    </row>
    <row r="178" ht="12.75" customHeight="1">
      <c r="A178" s="37"/>
      <c r="D178" s="38"/>
      <c r="F178" s="39"/>
    </row>
    <row r="179" ht="12.75" customHeight="1">
      <c r="A179" s="37"/>
      <c r="D179" s="38"/>
      <c r="F179" s="39"/>
    </row>
    <row r="180" ht="12.75" customHeight="1">
      <c r="A180" s="37"/>
      <c r="D180" s="38"/>
      <c r="F180" s="39"/>
    </row>
    <row r="181" ht="12.75" customHeight="1">
      <c r="A181" s="37"/>
      <c r="D181" s="38"/>
      <c r="F181" s="39"/>
    </row>
    <row r="182" ht="12.75" customHeight="1">
      <c r="A182" s="37"/>
      <c r="D182" s="38"/>
      <c r="F182" s="39"/>
    </row>
    <row r="183" ht="12.75" customHeight="1">
      <c r="A183" s="37"/>
      <c r="D183" s="38"/>
      <c r="F183" s="39"/>
    </row>
    <row r="184" ht="12.75" customHeight="1">
      <c r="A184" s="37"/>
      <c r="D184" s="38"/>
      <c r="F184" s="39"/>
    </row>
    <row r="185" ht="12.75" customHeight="1">
      <c r="A185" s="37"/>
      <c r="D185" s="38"/>
      <c r="F185" s="39"/>
    </row>
    <row r="186" ht="12.75" customHeight="1">
      <c r="A186" s="37"/>
      <c r="D186" s="38"/>
      <c r="F186" s="39"/>
    </row>
    <row r="187" ht="12.75" customHeight="1">
      <c r="A187" s="37"/>
      <c r="D187" s="38"/>
      <c r="F187" s="39"/>
    </row>
    <row r="188" ht="12.75" customHeight="1">
      <c r="A188" s="37"/>
      <c r="D188" s="38"/>
      <c r="F188" s="39"/>
    </row>
    <row r="189" ht="12.75" customHeight="1">
      <c r="A189" s="37"/>
      <c r="D189" s="38"/>
      <c r="F189" s="39"/>
    </row>
    <row r="190" ht="12.75" customHeight="1">
      <c r="A190" s="37"/>
      <c r="D190" s="38"/>
      <c r="F190" s="39"/>
    </row>
    <row r="191" ht="12.75" customHeight="1">
      <c r="A191" s="37"/>
      <c r="D191" s="38"/>
      <c r="F191" s="39"/>
    </row>
    <row r="192" ht="12.75" customHeight="1">
      <c r="A192" s="37"/>
      <c r="D192" s="38"/>
      <c r="F192" s="39"/>
    </row>
    <row r="193" ht="12.75" customHeight="1">
      <c r="A193" s="37"/>
      <c r="D193" s="38"/>
      <c r="F193" s="39"/>
    </row>
    <row r="194" ht="12.75" customHeight="1">
      <c r="A194" s="37"/>
      <c r="D194" s="38"/>
      <c r="F194" s="39"/>
    </row>
    <row r="195" ht="12.75" customHeight="1">
      <c r="A195" s="37"/>
      <c r="D195" s="38"/>
      <c r="F195" s="39"/>
    </row>
    <row r="196" ht="12.75" customHeight="1">
      <c r="A196" s="37"/>
      <c r="D196" s="38"/>
      <c r="F196" s="39"/>
    </row>
    <row r="197" ht="12.75" customHeight="1">
      <c r="A197" s="37"/>
      <c r="D197" s="38"/>
      <c r="F197" s="39"/>
    </row>
    <row r="198" ht="12.75" customHeight="1">
      <c r="A198" s="37"/>
      <c r="D198" s="38"/>
      <c r="F198" s="39"/>
    </row>
    <row r="199" ht="12.75" customHeight="1">
      <c r="A199" s="37"/>
      <c r="D199" s="38"/>
      <c r="F199" s="39"/>
    </row>
    <row r="200" ht="12.75" customHeight="1">
      <c r="A200" s="37"/>
      <c r="D200" s="38"/>
      <c r="F200" s="39"/>
    </row>
    <row r="201" ht="12.75" customHeight="1">
      <c r="A201" s="37"/>
      <c r="D201" s="38"/>
      <c r="F201" s="39"/>
    </row>
    <row r="202" ht="12.75" customHeight="1">
      <c r="A202" s="37"/>
      <c r="D202" s="38"/>
      <c r="F202" s="39"/>
    </row>
    <row r="203" ht="12.75" customHeight="1">
      <c r="A203" s="37"/>
      <c r="D203" s="38"/>
      <c r="F203" s="39"/>
    </row>
    <row r="204" ht="12.75" customHeight="1">
      <c r="A204" s="37"/>
      <c r="D204" s="38"/>
      <c r="F204" s="39"/>
    </row>
    <row r="205" ht="12.75" customHeight="1">
      <c r="A205" s="37"/>
      <c r="D205" s="38"/>
      <c r="F205" s="39"/>
    </row>
    <row r="206" ht="12.75" customHeight="1">
      <c r="A206" s="37"/>
      <c r="D206" s="38"/>
      <c r="F206" s="39"/>
    </row>
    <row r="207" ht="12.75" customHeight="1">
      <c r="A207" s="37"/>
      <c r="D207" s="38"/>
      <c r="F207" s="39"/>
    </row>
    <row r="208" ht="12.75" customHeight="1">
      <c r="A208" s="37"/>
      <c r="D208" s="38"/>
      <c r="F208" s="39"/>
    </row>
    <row r="209" ht="12.75" customHeight="1">
      <c r="A209" s="37"/>
      <c r="D209" s="38"/>
      <c r="F209" s="39"/>
    </row>
    <row r="210" ht="12.75" customHeight="1">
      <c r="A210" s="37"/>
      <c r="D210" s="38"/>
      <c r="F210" s="39"/>
    </row>
    <row r="211" ht="12.75" customHeight="1">
      <c r="A211" s="37"/>
      <c r="D211" s="38"/>
      <c r="F211" s="39"/>
    </row>
    <row r="212" ht="12.75" customHeight="1">
      <c r="A212" s="37"/>
      <c r="D212" s="38"/>
      <c r="F212" s="39"/>
    </row>
    <row r="213" ht="12.75" customHeight="1">
      <c r="A213" s="37"/>
      <c r="D213" s="38"/>
      <c r="F213" s="39"/>
    </row>
    <row r="214" ht="12.75" customHeight="1">
      <c r="A214" s="37"/>
      <c r="D214" s="38"/>
      <c r="F214" s="39"/>
    </row>
    <row r="215" ht="12.75" customHeight="1">
      <c r="A215" s="37"/>
      <c r="D215" s="38"/>
      <c r="F215" s="39"/>
    </row>
    <row r="216" ht="12.75" customHeight="1">
      <c r="A216" s="37"/>
      <c r="D216" s="38"/>
      <c r="F216" s="39"/>
    </row>
    <row r="217" ht="12.75" customHeight="1">
      <c r="A217" s="37"/>
      <c r="D217" s="38"/>
      <c r="F217" s="39"/>
    </row>
    <row r="218" ht="12.75" customHeight="1">
      <c r="A218" s="37"/>
      <c r="D218" s="38"/>
      <c r="F218" s="39"/>
    </row>
    <row r="219" ht="12.75" customHeight="1">
      <c r="A219" s="37"/>
      <c r="D219" s="38"/>
      <c r="F219" s="39"/>
    </row>
    <row r="220" ht="12.75" customHeight="1">
      <c r="A220" s="37"/>
      <c r="D220" s="38"/>
      <c r="F220" s="39"/>
    </row>
    <row r="221" ht="12.75" customHeight="1">
      <c r="A221" s="37"/>
      <c r="D221" s="38"/>
      <c r="F221" s="39"/>
    </row>
    <row r="222" ht="12.75" customHeight="1">
      <c r="A222" s="37"/>
      <c r="D222" s="38"/>
      <c r="F222" s="39"/>
    </row>
    <row r="223" ht="12.75" customHeight="1">
      <c r="A223" s="37"/>
      <c r="D223" s="38"/>
      <c r="F223" s="39"/>
    </row>
    <row r="224" ht="12.75" customHeight="1">
      <c r="A224" s="37"/>
      <c r="D224" s="38"/>
      <c r="F224" s="39"/>
    </row>
    <row r="225" ht="12.75" customHeight="1">
      <c r="A225" s="37"/>
      <c r="D225" s="38"/>
      <c r="F225" s="39"/>
    </row>
    <row r="226" ht="12.75" customHeight="1">
      <c r="A226" s="37"/>
      <c r="D226" s="38"/>
      <c r="F226" s="39"/>
    </row>
    <row r="227" ht="12.75" customHeight="1">
      <c r="A227" s="37"/>
      <c r="D227" s="38"/>
      <c r="F227" s="39"/>
    </row>
    <row r="228" ht="12.75" customHeight="1">
      <c r="A228" s="37"/>
      <c r="D228" s="38"/>
      <c r="F228" s="39"/>
    </row>
    <row r="229" ht="12.75" customHeight="1">
      <c r="A229" s="37"/>
      <c r="D229" s="38"/>
      <c r="F229" s="39"/>
    </row>
    <row r="230" ht="12.75" customHeight="1">
      <c r="A230" s="37"/>
      <c r="D230" s="38"/>
      <c r="F230" s="39"/>
    </row>
    <row r="231" ht="12.75" customHeight="1">
      <c r="A231" s="37"/>
      <c r="D231" s="38"/>
      <c r="F231" s="39"/>
    </row>
    <row r="232" ht="12.75" customHeight="1">
      <c r="A232" s="37"/>
      <c r="D232" s="38"/>
      <c r="F232" s="39"/>
    </row>
    <row r="233" ht="12.75" customHeight="1">
      <c r="A233" s="37"/>
      <c r="D233" s="38"/>
      <c r="F233" s="39"/>
    </row>
    <row r="234" ht="12.75" customHeight="1">
      <c r="A234" s="37"/>
      <c r="D234" s="38"/>
      <c r="F234" s="39"/>
    </row>
    <row r="235" ht="12.75" customHeight="1">
      <c r="A235" s="37"/>
      <c r="D235" s="38"/>
      <c r="F235" s="39"/>
    </row>
    <row r="236" ht="12.75" customHeight="1">
      <c r="A236" s="37"/>
      <c r="D236" s="38"/>
      <c r="F236" s="39"/>
    </row>
    <row r="237" ht="15.75" customHeight="1">
      <c r="A237" s="37"/>
      <c r="F237" s="39"/>
    </row>
    <row r="238" ht="15.75" customHeight="1">
      <c r="A238" s="37"/>
      <c r="F238" s="39"/>
    </row>
    <row r="239" ht="15.75" customHeight="1">
      <c r="A239" s="37"/>
      <c r="F239" s="39"/>
    </row>
    <row r="240" ht="15.75" customHeight="1">
      <c r="A240" s="37"/>
      <c r="F240" s="39"/>
    </row>
    <row r="241" ht="15.75" customHeight="1">
      <c r="A241" s="37"/>
      <c r="F241" s="39"/>
    </row>
    <row r="242" ht="15.75" customHeight="1">
      <c r="A242" s="37"/>
      <c r="F242" s="39"/>
    </row>
    <row r="243" ht="15.75" customHeight="1">
      <c r="A243" s="37"/>
      <c r="F243" s="39"/>
    </row>
    <row r="244" ht="15.75" customHeight="1">
      <c r="A244" s="37"/>
      <c r="F244" s="39"/>
    </row>
    <row r="245" ht="15.75" customHeight="1">
      <c r="A245" s="37"/>
      <c r="F245" s="39"/>
    </row>
    <row r="246" ht="15.75" customHeight="1">
      <c r="A246" s="37"/>
      <c r="F246" s="39"/>
    </row>
    <row r="247" ht="15.75" customHeight="1">
      <c r="A247" s="37"/>
      <c r="F247" s="39"/>
    </row>
    <row r="248" ht="15.75" customHeight="1">
      <c r="A248" s="37"/>
      <c r="F248" s="39"/>
    </row>
    <row r="249" ht="15.75" customHeight="1">
      <c r="A249" s="37"/>
      <c r="F249" s="39"/>
    </row>
    <row r="250" ht="15.75" customHeight="1">
      <c r="A250" s="37"/>
      <c r="F250" s="39"/>
    </row>
    <row r="251" ht="15.75" customHeight="1">
      <c r="A251" s="37"/>
      <c r="F251" s="39"/>
    </row>
    <row r="252" ht="15.75" customHeight="1">
      <c r="A252" s="37"/>
      <c r="F252" s="39"/>
    </row>
    <row r="253" ht="15.75" customHeight="1">
      <c r="A253" s="37"/>
      <c r="F253" s="39"/>
    </row>
    <row r="254" ht="15.75" customHeight="1">
      <c r="A254" s="37"/>
      <c r="F254" s="39"/>
    </row>
    <row r="255" ht="15.75" customHeight="1">
      <c r="A255" s="37"/>
      <c r="F255" s="39"/>
    </row>
    <row r="256" ht="15.75" customHeight="1">
      <c r="A256" s="37"/>
      <c r="F256" s="39"/>
    </row>
    <row r="257" ht="15.75" customHeight="1">
      <c r="A257" s="37"/>
      <c r="F257" s="39"/>
    </row>
    <row r="258" ht="15.75" customHeight="1">
      <c r="A258" s="37"/>
      <c r="F258" s="39"/>
    </row>
    <row r="259" ht="15.75" customHeight="1">
      <c r="A259" s="37"/>
      <c r="F259" s="39"/>
    </row>
    <row r="260" ht="15.75" customHeight="1">
      <c r="A260" s="37"/>
      <c r="F260" s="39"/>
    </row>
    <row r="261" ht="15.75" customHeight="1">
      <c r="A261" s="37"/>
      <c r="F261" s="39"/>
    </row>
    <row r="262" ht="15.75" customHeight="1">
      <c r="A262" s="37"/>
      <c r="F262" s="39"/>
    </row>
    <row r="263" ht="15.75" customHeight="1">
      <c r="A263" s="37"/>
      <c r="F263" s="39"/>
    </row>
    <row r="264" ht="15.75" customHeight="1">
      <c r="A264" s="37"/>
      <c r="F264" s="39"/>
    </row>
    <row r="265" ht="15.75" customHeight="1">
      <c r="A265" s="37"/>
      <c r="F265" s="39"/>
    </row>
    <row r="266" ht="15.75" customHeight="1">
      <c r="A266" s="37"/>
      <c r="F266" s="39"/>
    </row>
    <row r="267" ht="15.75" customHeight="1">
      <c r="A267" s="37"/>
      <c r="F267" s="39"/>
    </row>
    <row r="268" ht="15.75" customHeight="1">
      <c r="A268" s="37"/>
      <c r="F268" s="39"/>
    </row>
    <row r="269" ht="15.75" customHeight="1">
      <c r="A269" s="37"/>
      <c r="F269" s="39"/>
    </row>
    <row r="270" ht="15.75" customHeight="1">
      <c r="A270" s="37"/>
      <c r="F270" s="39"/>
    </row>
    <row r="271" ht="15.75" customHeight="1">
      <c r="A271" s="37"/>
      <c r="F271" s="39"/>
    </row>
    <row r="272" ht="15.75" customHeight="1">
      <c r="A272" s="37"/>
      <c r="F272" s="39"/>
    </row>
    <row r="273" ht="15.75" customHeight="1">
      <c r="A273" s="37"/>
      <c r="F273" s="39"/>
    </row>
    <row r="274" ht="15.75" customHeight="1">
      <c r="A274" s="37"/>
      <c r="F274" s="39"/>
    </row>
    <row r="275" ht="15.75" customHeight="1">
      <c r="A275" s="37"/>
      <c r="F275" s="39"/>
    </row>
    <row r="276" ht="15.75" customHeight="1">
      <c r="A276" s="37"/>
      <c r="F276" s="39"/>
    </row>
    <row r="277" ht="15.75" customHeight="1">
      <c r="A277" s="37"/>
      <c r="F277" s="39"/>
    </row>
    <row r="278" ht="15.75" customHeight="1">
      <c r="A278" s="37"/>
      <c r="F278" s="39"/>
    </row>
    <row r="279" ht="15.75" customHeight="1">
      <c r="A279" s="37"/>
      <c r="F279" s="39"/>
    </row>
    <row r="280" ht="15.75" customHeight="1">
      <c r="A280" s="37"/>
      <c r="F280" s="39"/>
    </row>
    <row r="281" ht="15.75" customHeight="1">
      <c r="A281" s="37"/>
      <c r="F281" s="39"/>
    </row>
    <row r="282" ht="15.75" customHeight="1">
      <c r="A282" s="37"/>
      <c r="F282" s="39"/>
    </row>
    <row r="283" ht="15.75" customHeight="1">
      <c r="A283" s="37"/>
      <c r="F283" s="39"/>
    </row>
    <row r="284" ht="15.75" customHeight="1">
      <c r="A284" s="37"/>
      <c r="F284" s="39"/>
    </row>
    <row r="285" ht="15.75" customHeight="1">
      <c r="A285" s="37"/>
      <c r="F285" s="39"/>
    </row>
    <row r="286" ht="15.75" customHeight="1">
      <c r="A286" s="37"/>
      <c r="F286" s="39"/>
    </row>
    <row r="287" ht="15.75" customHeight="1">
      <c r="A287" s="37"/>
      <c r="F287" s="39"/>
    </row>
    <row r="288" ht="15.75" customHeight="1">
      <c r="A288" s="37"/>
      <c r="F288" s="39"/>
    </row>
    <row r="289" ht="15.75" customHeight="1">
      <c r="A289" s="37"/>
      <c r="F289" s="39"/>
    </row>
    <row r="290" ht="15.75" customHeight="1">
      <c r="A290" s="37"/>
      <c r="F290" s="39"/>
    </row>
    <row r="291" ht="15.75" customHeight="1">
      <c r="A291" s="37"/>
      <c r="F291" s="39"/>
    </row>
    <row r="292" ht="15.75" customHeight="1">
      <c r="A292" s="37"/>
      <c r="F292" s="39"/>
    </row>
    <row r="293" ht="15.75" customHeight="1">
      <c r="A293" s="37"/>
      <c r="F293" s="39"/>
    </row>
    <row r="294" ht="15.75" customHeight="1">
      <c r="A294" s="37"/>
      <c r="F294" s="39"/>
    </row>
    <row r="295" ht="15.75" customHeight="1">
      <c r="A295" s="37"/>
      <c r="F295" s="39"/>
    </row>
    <row r="296" ht="15.75" customHeight="1">
      <c r="A296" s="37"/>
      <c r="F296" s="39"/>
    </row>
    <row r="297" ht="15.75" customHeight="1">
      <c r="A297" s="37"/>
      <c r="F297" s="39"/>
    </row>
    <row r="298" ht="15.75" customHeight="1">
      <c r="A298" s="37"/>
      <c r="F298" s="39"/>
    </row>
    <row r="299" ht="15.75" customHeight="1">
      <c r="A299" s="37"/>
      <c r="F299" s="39"/>
    </row>
    <row r="300" ht="15.75" customHeight="1">
      <c r="A300" s="37"/>
      <c r="F300" s="39"/>
    </row>
    <row r="301" ht="15.75" customHeight="1">
      <c r="A301" s="37"/>
      <c r="F301" s="39"/>
    </row>
    <row r="302" ht="15.75" customHeight="1">
      <c r="A302" s="37"/>
      <c r="F302" s="39"/>
    </row>
    <row r="303" ht="15.75" customHeight="1">
      <c r="A303" s="37"/>
      <c r="F303" s="39"/>
    </row>
    <row r="304" ht="15.75" customHeight="1">
      <c r="A304" s="37"/>
      <c r="F304" s="39"/>
    </row>
    <row r="305" ht="15.75" customHeight="1">
      <c r="A305" s="37"/>
      <c r="F305" s="39"/>
    </row>
    <row r="306" ht="15.75" customHeight="1">
      <c r="A306" s="37"/>
      <c r="F306" s="39"/>
    </row>
    <row r="307" ht="15.75" customHeight="1">
      <c r="A307" s="37"/>
      <c r="F307" s="39"/>
    </row>
    <row r="308" ht="15.75" customHeight="1">
      <c r="A308" s="37"/>
      <c r="F308" s="39"/>
    </row>
    <row r="309" ht="15.75" customHeight="1">
      <c r="A309" s="37"/>
      <c r="F309" s="39"/>
    </row>
    <row r="310" ht="15.75" customHeight="1">
      <c r="A310" s="37"/>
      <c r="F310" s="39"/>
    </row>
    <row r="311" ht="15.75" customHeight="1">
      <c r="A311" s="37"/>
      <c r="F311" s="39"/>
    </row>
    <row r="312" ht="15.75" customHeight="1">
      <c r="A312" s="37"/>
      <c r="F312" s="39"/>
    </row>
    <row r="313" ht="15.75" customHeight="1">
      <c r="A313" s="37"/>
      <c r="F313" s="39"/>
    </row>
    <row r="314" ht="15.75" customHeight="1">
      <c r="A314" s="37"/>
      <c r="F314" s="39"/>
    </row>
    <row r="315" ht="15.75" customHeight="1">
      <c r="A315" s="37"/>
      <c r="F315" s="39"/>
    </row>
    <row r="316" ht="15.75" customHeight="1">
      <c r="A316" s="37"/>
      <c r="F316" s="39"/>
    </row>
    <row r="317" ht="15.75" customHeight="1">
      <c r="A317" s="37"/>
      <c r="F317" s="39"/>
    </row>
    <row r="318" ht="15.75" customHeight="1">
      <c r="A318" s="37"/>
      <c r="F318" s="39"/>
    </row>
    <row r="319" ht="15.75" customHeight="1">
      <c r="A319" s="37"/>
      <c r="F319" s="39"/>
    </row>
    <row r="320" ht="15.75" customHeight="1">
      <c r="A320" s="37"/>
      <c r="F320" s="39"/>
    </row>
    <row r="321" ht="15.75" customHeight="1">
      <c r="A321" s="37"/>
      <c r="F321" s="39"/>
    </row>
    <row r="322" ht="15.75" customHeight="1">
      <c r="A322" s="37"/>
      <c r="F322" s="39"/>
    </row>
    <row r="323" ht="15.75" customHeight="1">
      <c r="A323" s="37"/>
      <c r="F323" s="39"/>
    </row>
    <row r="324" ht="15.75" customHeight="1">
      <c r="A324" s="37"/>
      <c r="F324" s="39"/>
    </row>
    <row r="325" ht="15.75" customHeight="1">
      <c r="A325" s="37"/>
      <c r="F325" s="39"/>
    </row>
    <row r="326" ht="15.75" customHeight="1">
      <c r="A326" s="37"/>
      <c r="F326" s="39"/>
    </row>
    <row r="327" ht="15.75" customHeight="1">
      <c r="A327" s="37"/>
      <c r="F327" s="39"/>
    </row>
    <row r="328" ht="15.75" customHeight="1">
      <c r="A328" s="37"/>
      <c r="F328" s="39"/>
    </row>
    <row r="329" ht="15.75" customHeight="1">
      <c r="A329" s="37"/>
      <c r="F329" s="39"/>
    </row>
    <row r="330" ht="15.75" customHeight="1">
      <c r="A330" s="37"/>
      <c r="F330" s="39"/>
    </row>
    <row r="331" ht="15.75" customHeight="1">
      <c r="A331" s="37"/>
      <c r="F331" s="39"/>
    </row>
    <row r="332" ht="15.75" customHeight="1">
      <c r="A332" s="37"/>
      <c r="F332" s="39"/>
    </row>
    <row r="333" ht="15.75" customHeight="1">
      <c r="A333" s="37"/>
      <c r="F333" s="39"/>
    </row>
    <row r="334" ht="15.75" customHeight="1">
      <c r="A334" s="37"/>
      <c r="F334" s="39"/>
    </row>
    <row r="335" ht="15.75" customHeight="1">
      <c r="A335" s="37"/>
      <c r="F335" s="39"/>
    </row>
    <row r="336" ht="15.75" customHeight="1">
      <c r="A336" s="37"/>
      <c r="F336" s="39"/>
    </row>
    <row r="337" ht="15.75" customHeight="1">
      <c r="A337" s="37"/>
      <c r="F337" s="39"/>
    </row>
    <row r="338" ht="15.75" customHeight="1">
      <c r="A338" s="37"/>
      <c r="F338" s="39"/>
    </row>
    <row r="339" ht="15.75" customHeight="1">
      <c r="A339" s="37"/>
      <c r="F339" s="39"/>
    </row>
    <row r="340" ht="15.75" customHeight="1">
      <c r="A340" s="37"/>
      <c r="F340" s="39"/>
    </row>
    <row r="341" ht="15.75" customHeight="1">
      <c r="A341" s="37"/>
      <c r="F341" s="39"/>
    </row>
    <row r="342" ht="15.75" customHeight="1">
      <c r="A342" s="37"/>
      <c r="F342" s="39"/>
    </row>
    <row r="343" ht="15.75" customHeight="1">
      <c r="A343" s="37"/>
      <c r="F343" s="39"/>
    </row>
    <row r="344" ht="15.75" customHeight="1">
      <c r="A344" s="37"/>
      <c r="F344" s="39"/>
    </row>
    <row r="345" ht="15.75" customHeight="1">
      <c r="A345" s="37"/>
      <c r="F345" s="39"/>
    </row>
    <row r="346" ht="15.75" customHeight="1">
      <c r="A346" s="37"/>
      <c r="F346" s="39"/>
    </row>
    <row r="347" ht="15.75" customHeight="1">
      <c r="A347" s="37"/>
      <c r="F347" s="39"/>
    </row>
    <row r="348" ht="15.75" customHeight="1">
      <c r="A348" s="37"/>
      <c r="F348" s="39"/>
    </row>
    <row r="349" ht="15.75" customHeight="1">
      <c r="A349" s="37"/>
      <c r="F349" s="39"/>
    </row>
    <row r="350" ht="15.75" customHeight="1">
      <c r="A350" s="37"/>
      <c r="F350" s="39"/>
    </row>
    <row r="351" ht="15.75" customHeight="1">
      <c r="A351" s="37"/>
      <c r="F351" s="39"/>
    </row>
    <row r="352" ht="15.75" customHeight="1">
      <c r="A352" s="37"/>
      <c r="F352" s="39"/>
    </row>
    <row r="353" ht="15.75" customHeight="1">
      <c r="A353" s="37"/>
      <c r="F353" s="39"/>
    </row>
    <row r="354" ht="15.75" customHeight="1">
      <c r="A354" s="37"/>
      <c r="F354" s="39"/>
    </row>
    <row r="355" ht="15.75" customHeight="1">
      <c r="A355" s="37"/>
      <c r="F355" s="39"/>
    </row>
    <row r="356" ht="15.75" customHeight="1">
      <c r="A356" s="37"/>
      <c r="F356" s="39"/>
    </row>
    <row r="357" ht="15.75" customHeight="1">
      <c r="A357" s="37"/>
      <c r="F357" s="39"/>
    </row>
    <row r="358" ht="15.75" customHeight="1">
      <c r="A358" s="37"/>
      <c r="F358" s="39"/>
    </row>
    <row r="359" ht="15.75" customHeight="1">
      <c r="A359" s="37"/>
      <c r="F359" s="39"/>
    </row>
    <row r="360" ht="15.75" customHeight="1">
      <c r="A360" s="37"/>
      <c r="F360" s="39"/>
    </row>
    <row r="361" ht="15.75" customHeight="1">
      <c r="A361" s="37"/>
      <c r="F361" s="39"/>
    </row>
    <row r="362" ht="15.75" customHeight="1">
      <c r="A362" s="37"/>
      <c r="F362" s="39"/>
    </row>
    <row r="363" ht="15.75" customHeight="1">
      <c r="A363" s="37"/>
      <c r="F363" s="39"/>
    </row>
    <row r="364" ht="15.75" customHeight="1">
      <c r="A364" s="37"/>
      <c r="F364" s="39"/>
    </row>
    <row r="365" ht="15.75" customHeight="1">
      <c r="A365" s="37"/>
      <c r="F365" s="39"/>
    </row>
    <row r="366" ht="15.75" customHeight="1">
      <c r="A366" s="37"/>
      <c r="F366" s="39"/>
    </row>
    <row r="367" ht="15.75" customHeight="1">
      <c r="A367" s="37"/>
      <c r="F367" s="39"/>
    </row>
    <row r="368" ht="15.75" customHeight="1">
      <c r="A368" s="37"/>
      <c r="F368" s="39"/>
    </row>
    <row r="369" ht="15.75" customHeight="1">
      <c r="A369" s="37"/>
      <c r="F369" s="39"/>
    </row>
    <row r="370" ht="15.75" customHeight="1">
      <c r="A370" s="37"/>
      <c r="F370" s="39"/>
    </row>
    <row r="371" ht="15.75" customHeight="1">
      <c r="A371" s="37"/>
      <c r="F371" s="39"/>
    </row>
    <row r="372" ht="15.75" customHeight="1">
      <c r="A372" s="37"/>
      <c r="F372" s="39"/>
    </row>
    <row r="373" ht="15.75" customHeight="1">
      <c r="A373" s="37"/>
      <c r="F373" s="39"/>
    </row>
    <row r="374" ht="15.75" customHeight="1">
      <c r="A374" s="37"/>
      <c r="F374" s="39"/>
    </row>
    <row r="375" ht="15.75" customHeight="1">
      <c r="A375" s="37"/>
      <c r="F375" s="39"/>
    </row>
    <row r="376" ht="15.75" customHeight="1">
      <c r="A376" s="37"/>
      <c r="F376" s="39"/>
    </row>
    <row r="377" ht="15.75" customHeight="1">
      <c r="A377" s="37"/>
      <c r="F377" s="39"/>
    </row>
    <row r="378" ht="15.75" customHeight="1">
      <c r="A378" s="37"/>
      <c r="F378" s="39"/>
    </row>
    <row r="379" ht="15.75" customHeight="1">
      <c r="A379" s="37"/>
      <c r="F379" s="39"/>
    </row>
    <row r="380" ht="15.75" customHeight="1">
      <c r="A380" s="37"/>
      <c r="F380" s="39"/>
    </row>
    <row r="381" ht="15.75" customHeight="1">
      <c r="A381" s="37"/>
      <c r="F381" s="39"/>
    </row>
    <row r="382" ht="15.75" customHeight="1">
      <c r="A382" s="37"/>
      <c r="F382" s="39"/>
    </row>
    <row r="383" ht="15.75" customHeight="1">
      <c r="A383" s="37"/>
      <c r="F383" s="39"/>
    </row>
    <row r="384" ht="15.75" customHeight="1">
      <c r="A384" s="37"/>
      <c r="F384" s="39"/>
    </row>
    <row r="385" ht="15.75" customHeight="1">
      <c r="A385" s="37"/>
      <c r="F385" s="39"/>
    </row>
    <row r="386" ht="15.75" customHeight="1">
      <c r="A386" s="37"/>
      <c r="F386" s="39"/>
    </row>
    <row r="387" ht="15.75" customHeight="1">
      <c r="A387" s="37"/>
      <c r="F387" s="39"/>
    </row>
    <row r="388" ht="15.75" customHeight="1">
      <c r="A388" s="37"/>
      <c r="F388" s="39"/>
    </row>
    <row r="389" ht="15.75" customHeight="1">
      <c r="A389" s="37"/>
      <c r="F389" s="39"/>
    </row>
    <row r="390" ht="15.75" customHeight="1">
      <c r="A390" s="37"/>
      <c r="F390" s="39"/>
    </row>
    <row r="391" ht="15.75" customHeight="1">
      <c r="A391" s="37"/>
      <c r="F391" s="39"/>
    </row>
    <row r="392" ht="15.75" customHeight="1">
      <c r="A392" s="37"/>
      <c r="F392" s="39"/>
    </row>
    <row r="393" ht="15.75" customHeight="1">
      <c r="A393" s="37"/>
      <c r="F393" s="39"/>
    </row>
    <row r="394" ht="15.75" customHeight="1">
      <c r="A394" s="37"/>
      <c r="F394" s="39"/>
    </row>
    <row r="395" ht="15.75" customHeight="1">
      <c r="A395" s="37"/>
      <c r="F395" s="39"/>
    </row>
    <row r="396" ht="15.75" customHeight="1">
      <c r="A396" s="37"/>
      <c r="F396" s="39"/>
    </row>
    <row r="397" ht="15.75" customHeight="1">
      <c r="A397" s="37"/>
      <c r="F397" s="39"/>
    </row>
    <row r="398" ht="15.75" customHeight="1">
      <c r="A398" s="37"/>
      <c r="F398" s="39"/>
    </row>
    <row r="399" ht="15.75" customHeight="1">
      <c r="A399" s="37"/>
      <c r="F399" s="39"/>
    </row>
    <row r="400" ht="15.75" customHeight="1">
      <c r="A400" s="37"/>
      <c r="F400" s="39"/>
    </row>
    <row r="401" ht="15.75" customHeight="1">
      <c r="A401" s="37"/>
      <c r="F401" s="39"/>
    </row>
    <row r="402" ht="15.75" customHeight="1">
      <c r="A402" s="37"/>
      <c r="F402" s="39"/>
    </row>
    <row r="403" ht="15.75" customHeight="1">
      <c r="A403" s="37"/>
      <c r="F403" s="39"/>
    </row>
    <row r="404" ht="15.75" customHeight="1">
      <c r="A404" s="37"/>
      <c r="F404" s="39"/>
    </row>
    <row r="405" ht="15.75" customHeight="1">
      <c r="A405" s="37"/>
      <c r="F405" s="39"/>
    </row>
    <row r="406" ht="15.75" customHeight="1">
      <c r="A406" s="37"/>
      <c r="F406" s="39"/>
    </row>
    <row r="407" ht="15.75" customHeight="1">
      <c r="A407" s="37"/>
      <c r="F407" s="39"/>
    </row>
    <row r="408" ht="15.75" customHeight="1">
      <c r="A408" s="37"/>
      <c r="F408" s="39"/>
    </row>
    <row r="409" ht="15.75" customHeight="1">
      <c r="A409" s="37"/>
      <c r="F409" s="39"/>
    </row>
    <row r="410" ht="15.75" customHeight="1">
      <c r="A410" s="37"/>
      <c r="F410" s="39"/>
    </row>
    <row r="411" ht="15.75" customHeight="1">
      <c r="A411" s="37"/>
      <c r="F411" s="39"/>
    </row>
    <row r="412" ht="15.75" customHeight="1">
      <c r="A412" s="37"/>
      <c r="F412" s="39"/>
    </row>
    <row r="413" ht="15.75" customHeight="1">
      <c r="A413" s="37"/>
      <c r="F413" s="39"/>
    </row>
    <row r="414" ht="15.75" customHeight="1">
      <c r="A414" s="37"/>
      <c r="F414" s="39"/>
    </row>
    <row r="415" ht="15.75" customHeight="1">
      <c r="A415" s="37"/>
      <c r="F415" s="39"/>
    </row>
    <row r="416" ht="15.75" customHeight="1">
      <c r="A416" s="37"/>
      <c r="F416" s="39"/>
    </row>
    <row r="417" ht="15.75" customHeight="1">
      <c r="A417" s="37"/>
      <c r="F417" s="39"/>
    </row>
    <row r="418" ht="15.75" customHeight="1">
      <c r="A418" s="37"/>
      <c r="F418" s="39"/>
    </row>
    <row r="419" ht="15.75" customHeight="1">
      <c r="A419" s="37"/>
      <c r="F419" s="39"/>
    </row>
    <row r="420" ht="15.75" customHeight="1">
      <c r="A420" s="37"/>
      <c r="F420" s="39"/>
    </row>
    <row r="421" ht="15.75" customHeight="1">
      <c r="A421" s="37"/>
      <c r="F421" s="39"/>
    </row>
    <row r="422" ht="15.75" customHeight="1">
      <c r="A422" s="37"/>
      <c r="F422" s="39"/>
    </row>
    <row r="423" ht="15.75" customHeight="1">
      <c r="A423" s="37"/>
      <c r="F423" s="39"/>
    </row>
    <row r="424" ht="15.75" customHeight="1">
      <c r="A424" s="37"/>
      <c r="F424" s="39"/>
    </row>
    <row r="425" ht="15.75" customHeight="1">
      <c r="A425" s="37"/>
      <c r="F425" s="39"/>
    </row>
    <row r="426" ht="15.75" customHeight="1">
      <c r="A426" s="37"/>
      <c r="F426" s="39"/>
    </row>
    <row r="427" ht="15.75" customHeight="1">
      <c r="A427" s="37"/>
      <c r="F427" s="39"/>
    </row>
    <row r="428" ht="15.75" customHeight="1">
      <c r="A428" s="37"/>
      <c r="F428" s="39"/>
    </row>
    <row r="429" ht="15.75" customHeight="1">
      <c r="A429" s="37"/>
      <c r="F429" s="39"/>
    </row>
    <row r="430" ht="15.75" customHeight="1">
      <c r="A430" s="37"/>
      <c r="F430" s="39"/>
    </row>
    <row r="431" ht="15.75" customHeight="1">
      <c r="A431" s="37"/>
      <c r="F431" s="39"/>
    </row>
    <row r="432" ht="15.75" customHeight="1">
      <c r="A432" s="37"/>
      <c r="F432" s="39"/>
    </row>
    <row r="433" ht="15.75" customHeight="1">
      <c r="A433" s="37"/>
      <c r="F433" s="39"/>
    </row>
    <row r="434" ht="15.75" customHeight="1">
      <c r="A434" s="37"/>
      <c r="F434" s="39"/>
    </row>
    <row r="435" ht="15.75" customHeight="1">
      <c r="A435" s="37"/>
      <c r="F435" s="39"/>
    </row>
    <row r="436" ht="15.75" customHeight="1">
      <c r="A436" s="37"/>
      <c r="F436" s="39"/>
    </row>
    <row r="437" ht="15.75" customHeight="1">
      <c r="A437" s="37"/>
      <c r="F437" s="39"/>
    </row>
    <row r="438" ht="15.75" customHeight="1">
      <c r="A438" s="37"/>
      <c r="F438" s="39"/>
    </row>
    <row r="439" ht="15.75" customHeight="1">
      <c r="A439" s="37"/>
      <c r="F439" s="39"/>
    </row>
    <row r="440" ht="15.75" customHeight="1">
      <c r="A440" s="37"/>
      <c r="F440" s="39"/>
    </row>
    <row r="441" ht="15.75" customHeight="1">
      <c r="A441" s="37"/>
      <c r="F441" s="39"/>
    </row>
    <row r="442" ht="15.75" customHeight="1">
      <c r="A442" s="37"/>
      <c r="F442" s="39"/>
    </row>
    <row r="443" ht="15.75" customHeight="1">
      <c r="A443" s="37"/>
      <c r="F443" s="39"/>
    </row>
    <row r="444" ht="15.75" customHeight="1">
      <c r="A444" s="37"/>
      <c r="F444" s="39"/>
    </row>
    <row r="445" ht="15.75" customHeight="1">
      <c r="A445" s="37"/>
      <c r="F445" s="39"/>
    </row>
    <row r="446" ht="15.75" customHeight="1">
      <c r="A446" s="37"/>
      <c r="F446" s="39"/>
    </row>
    <row r="447" ht="15.75" customHeight="1">
      <c r="A447" s="37"/>
      <c r="F447" s="39"/>
    </row>
    <row r="448" ht="15.75" customHeight="1">
      <c r="A448" s="37"/>
      <c r="F448" s="39"/>
    </row>
    <row r="449" ht="15.75" customHeight="1">
      <c r="A449" s="37"/>
      <c r="F449" s="39"/>
    </row>
    <row r="450" ht="15.75" customHeight="1">
      <c r="A450" s="37"/>
      <c r="F450" s="39"/>
    </row>
    <row r="451" ht="15.75" customHeight="1">
      <c r="A451" s="37"/>
      <c r="F451" s="39"/>
    </row>
    <row r="452" ht="15.75" customHeight="1">
      <c r="A452" s="37"/>
      <c r="F452" s="39"/>
    </row>
    <row r="453" ht="15.75" customHeight="1">
      <c r="A453" s="37"/>
      <c r="F453" s="39"/>
    </row>
    <row r="454" ht="15.75" customHeight="1">
      <c r="A454" s="37"/>
      <c r="F454" s="39"/>
    </row>
    <row r="455" ht="15.75" customHeight="1">
      <c r="A455" s="37"/>
      <c r="F455" s="39"/>
    </row>
    <row r="456" ht="15.75" customHeight="1">
      <c r="A456" s="37"/>
      <c r="F456" s="39"/>
    </row>
    <row r="457" ht="15.75" customHeight="1">
      <c r="A457" s="37"/>
      <c r="F457" s="39"/>
    </row>
    <row r="458" ht="15.75" customHeight="1">
      <c r="A458" s="37"/>
      <c r="F458" s="39"/>
    </row>
    <row r="459" ht="15.75" customHeight="1">
      <c r="A459" s="37"/>
      <c r="F459" s="39"/>
    </row>
    <row r="460" ht="15.75" customHeight="1">
      <c r="A460" s="37"/>
      <c r="F460" s="39"/>
    </row>
    <row r="461" ht="15.75" customHeight="1">
      <c r="A461" s="37"/>
      <c r="F461" s="39"/>
    </row>
    <row r="462" ht="15.75" customHeight="1">
      <c r="A462" s="37"/>
      <c r="F462" s="39"/>
    </row>
    <row r="463" ht="15.75" customHeight="1">
      <c r="A463" s="37"/>
      <c r="F463" s="39"/>
    </row>
    <row r="464" ht="15.75" customHeight="1">
      <c r="A464" s="37"/>
      <c r="F464" s="39"/>
    </row>
    <row r="465" ht="15.75" customHeight="1">
      <c r="A465" s="37"/>
      <c r="F465" s="39"/>
    </row>
    <row r="466" ht="15.75" customHeight="1">
      <c r="A466" s="37"/>
      <c r="F466" s="39"/>
    </row>
    <row r="467" ht="15.75" customHeight="1">
      <c r="A467" s="37"/>
      <c r="F467" s="39"/>
    </row>
    <row r="468" ht="15.75" customHeight="1">
      <c r="A468" s="37"/>
      <c r="F468" s="39"/>
    </row>
    <row r="469" ht="15.75" customHeight="1">
      <c r="A469" s="37"/>
      <c r="F469" s="39"/>
    </row>
    <row r="470" ht="15.75" customHeight="1">
      <c r="A470" s="37"/>
      <c r="F470" s="39"/>
    </row>
    <row r="471" ht="15.75" customHeight="1">
      <c r="A471" s="37"/>
      <c r="F471" s="39"/>
    </row>
    <row r="472" ht="15.75" customHeight="1">
      <c r="A472" s="37"/>
      <c r="F472" s="39"/>
    </row>
    <row r="473" ht="15.75" customHeight="1">
      <c r="A473" s="37"/>
      <c r="F473" s="39"/>
    </row>
    <row r="474" ht="15.75" customHeight="1">
      <c r="A474" s="37"/>
      <c r="F474" s="39"/>
    </row>
    <row r="475" ht="15.75" customHeight="1">
      <c r="A475" s="37"/>
      <c r="F475" s="39"/>
    </row>
    <row r="476" ht="15.75" customHeight="1">
      <c r="A476" s="37"/>
      <c r="F476" s="39"/>
    </row>
    <row r="477" ht="15.75" customHeight="1">
      <c r="A477" s="37"/>
      <c r="F477" s="39"/>
    </row>
    <row r="478" ht="15.75" customHeight="1">
      <c r="A478" s="37"/>
      <c r="F478" s="39"/>
    </row>
    <row r="479" ht="15.75" customHeight="1">
      <c r="A479" s="37"/>
      <c r="F479" s="39"/>
    </row>
    <row r="480" ht="15.75" customHeight="1">
      <c r="A480" s="37"/>
      <c r="F480" s="39"/>
    </row>
    <row r="481" ht="15.75" customHeight="1">
      <c r="A481" s="37"/>
      <c r="F481" s="39"/>
    </row>
    <row r="482" ht="15.75" customHeight="1">
      <c r="A482" s="37"/>
      <c r="F482" s="39"/>
    </row>
    <row r="483" ht="15.75" customHeight="1">
      <c r="A483" s="37"/>
      <c r="F483" s="39"/>
    </row>
    <row r="484" ht="15.75" customHeight="1">
      <c r="A484" s="37"/>
      <c r="F484" s="39"/>
    </row>
    <row r="485" ht="15.75" customHeight="1">
      <c r="A485" s="37"/>
      <c r="F485" s="39"/>
    </row>
    <row r="486" ht="15.75" customHeight="1">
      <c r="A486" s="37"/>
      <c r="F486" s="39"/>
    </row>
    <row r="487" ht="15.75" customHeight="1">
      <c r="A487" s="37"/>
      <c r="F487" s="39"/>
    </row>
    <row r="488" ht="15.75" customHeight="1">
      <c r="A488" s="37"/>
      <c r="F488" s="39"/>
    </row>
    <row r="489" ht="15.75" customHeight="1">
      <c r="A489" s="37"/>
      <c r="F489" s="39"/>
    </row>
    <row r="490" ht="15.75" customHeight="1">
      <c r="A490" s="37"/>
      <c r="F490" s="39"/>
    </row>
    <row r="491" ht="15.75" customHeight="1">
      <c r="A491" s="37"/>
      <c r="F491" s="39"/>
    </row>
    <row r="492" ht="15.75" customHeight="1">
      <c r="A492" s="37"/>
      <c r="F492" s="39"/>
    </row>
    <row r="493" ht="15.75" customHeight="1">
      <c r="A493" s="37"/>
      <c r="F493" s="39"/>
    </row>
    <row r="494" ht="15.75" customHeight="1">
      <c r="A494" s="37"/>
      <c r="F494" s="39"/>
    </row>
    <row r="495" ht="15.75" customHeight="1">
      <c r="A495" s="37"/>
      <c r="F495" s="39"/>
    </row>
    <row r="496" ht="15.75" customHeight="1">
      <c r="A496" s="37"/>
      <c r="F496" s="39"/>
    </row>
    <row r="497" ht="15.75" customHeight="1">
      <c r="A497" s="37"/>
      <c r="F497" s="39"/>
    </row>
    <row r="498" ht="15.75" customHeight="1">
      <c r="A498" s="37"/>
      <c r="F498" s="39"/>
    </row>
    <row r="499" ht="15.75" customHeight="1">
      <c r="A499" s="37"/>
      <c r="F499" s="39"/>
    </row>
    <row r="500" ht="15.75" customHeight="1">
      <c r="A500" s="37"/>
      <c r="F500" s="39"/>
    </row>
    <row r="501" ht="15.75" customHeight="1">
      <c r="A501" s="37"/>
      <c r="F501" s="39"/>
    </row>
    <row r="502" ht="15.75" customHeight="1">
      <c r="A502" s="37"/>
      <c r="F502" s="39"/>
    </row>
    <row r="503" ht="15.75" customHeight="1">
      <c r="A503" s="37"/>
      <c r="F503" s="39"/>
    </row>
    <row r="504" ht="15.75" customHeight="1">
      <c r="A504" s="37"/>
      <c r="F504" s="39"/>
    </row>
    <row r="505" ht="15.75" customHeight="1">
      <c r="A505" s="37"/>
      <c r="F505" s="39"/>
    </row>
    <row r="506" ht="15.75" customHeight="1">
      <c r="A506" s="37"/>
      <c r="F506" s="39"/>
    </row>
    <row r="507" ht="15.75" customHeight="1">
      <c r="A507" s="37"/>
      <c r="F507" s="39"/>
    </row>
    <row r="508" ht="15.75" customHeight="1">
      <c r="A508" s="37"/>
      <c r="F508" s="39"/>
    </row>
    <row r="509" ht="15.75" customHeight="1">
      <c r="A509" s="37"/>
      <c r="F509" s="39"/>
    </row>
    <row r="510" ht="15.75" customHeight="1">
      <c r="A510" s="37"/>
      <c r="F510" s="39"/>
    </row>
    <row r="511" ht="15.75" customHeight="1">
      <c r="A511" s="37"/>
      <c r="F511" s="39"/>
    </row>
    <row r="512" ht="15.75" customHeight="1">
      <c r="A512" s="37"/>
      <c r="F512" s="39"/>
    </row>
    <row r="513" ht="15.75" customHeight="1">
      <c r="A513" s="37"/>
      <c r="F513" s="39"/>
    </row>
    <row r="514" ht="15.75" customHeight="1">
      <c r="A514" s="37"/>
      <c r="F514" s="39"/>
    </row>
    <row r="515" ht="15.75" customHeight="1">
      <c r="A515" s="37"/>
      <c r="F515" s="39"/>
    </row>
    <row r="516" ht="15.75" customHeight="1">
      <c r="A516" s="37"/>
      <c r="F516" s="39"/>
    </row>
    <row r="517" ht="15.75" customHeight="1">
      <c r="A517" s="37"/>
      <c r="F517" s="39"/>
    </row>
    <row r="518" ht="15.75" customHeight="1">
      <c r="A518" s="37"/>
      <c r="F518" s="39"/>
    </row>
    <row r="519" ht="15.75" customHeight="1">
      <c r="A519" s="37"/>
      <c r="F519" s="39"/>
    </row>
    <row r="520" ht="15.75" customHeight="1">
      <c r="A520" s="37"/>
      <c r="F520" s="39"/>
    </row>
    <row r="521" ht="15.75" customHeight="1">
      <c r="A521" s="37"/>
      <c r="F521" s="39"/>
    </row>
    <row r="522" ht="15.75" customHeight="1">
      <c r="A522" s="37"/>
      <c r="F522" s="39"/>
    </row>
    <row r="523" ht="15.75" customHeight="1">
      <c r="A523" s="37"/>
      <c r="F523" s="39"/>
    </row>
    <row r="524" ht="15.75" customHeight="1">
      <c r="A524" s="37"/>
      <c r="F524" s="39"/>
    </row>
    <row r="525" ht="15.75" customHeight="1">
      <c r="A525" s="37"/>
      <c r="F525" s="39"/>
    </row>
    <row r="526" ht="15.75" customHeight="1">
      <c r="A526" s="37"/>
      <c r="F526" s="39"/>
    </row>
    <row r="527" ht="15.75" customHeight="1">
      <c r="A527" s="37"/>
      <c r="F527" s="39"/>
    </row>
    <row r="528" ht="15.75" customHeight="1">
      <c r="A528" s="37"/>
      <c r="F528" s="39"/>
    </row>
    <row r="529" ht="15.75" customHeight="1">
      <c r="A529" s="37"/>
      <c r="F529" s="39"/>
    </row>
    <row r="530" ht="15.75" customHeight="1">
      <c r="A530" s="37"/>
      <c r="F530" s="39"/>
    </row>
    <row r="531" ht="15.75" customHeight="1">
      <c r="A531" s="37"/>
      <c r="F531" s="39"/>
    </row>
    <row r="532" ht="15.75" customHeight="1">
      <c r="A532" s="37"/>
      <c r="F532" s="39"/>
    </row>
    <row r="533" ht="15.75" customHeight="1">
      <c r="A533" s="37"/>
      <c r="F533" s="39"/>
    </row>
    <row r="534" ht="15.75" customHeight="1">
      <c r="A534" s="37"/>
      <c r="F534" s="39"/>
    </row>
    <row r="535" ht="15.75" customHeight="1">
      <c r="A535" s="37"/>
      <c r="F535" s="39"/>
    </row>
    <row r="536" ht="15.75" customHeight="1">
      <c r="A536" s="37"/>
      <c r="F536" s="39"/>
    </row>
    <row r="537" ht="15.75" customHeight="1">
      <c r="A537" s="37"/>
      <c r="F537" s="39"/>
    </row>
    <row r="538" ht="15.75" customHeight="1">
      <c r="A538" s="37"/>
      <c r="F538" s="39"/>
    </row>
    <row r="539" ht="15.75" customHeight="1">
      <c r="A539" s="37"/>
      <c r="F539" s="39"/>
    </row>
    <row r="540" ht="15.75" customHeight="1">
      <c r="A540" s="37"/>
      <c r="F540" s="39"/>
    </row>
    <row r="541" ht="15.75" customHeight="1">
      <c r="A541" s="37"/>
      <c r="F541" s="39"/>
    </row>
    <row r="542" ht="15.75" customHeight="1">
      <c r="A542" s="37"/>
      <c r="F542" s="39"/>
    </row>
    <row r="543" ht="15.75" customHeight="1">
      <c r="A543" s="37"/>
      <c r="F543" s="39"/>
    </row>
    <row r="544" ht="15.75" customHeight="1">
      <c r="A544" s="37"/>
      <c r="F544" s="39"/>
    </row>
    <row r="545" ht="15.75" customHeight="1">
      <c r="A545" s="37"/>
      <c r="F545" s="39"/>
    </row>
    <row r="546" ht="15.75" customHeight="1">
      <c r="A546" s="37"/>
      <c r="F546" s="39"/>
    </row>
    <row r="547" ht="15.75" customHeight="1">
      <c r="A547" s="37"/>
      <c r="F547" s="39"/>
    </row>
    <row r="548" ht="15.75" customHeight="1">
      <c r="A548" s="37"/>
      <c r="F548" s="39"/>
    </row>
    <row r="549" ht="15.75" customHeight="1">
      <c r="A549" s="37"/>
      <c r="F549" s="39"/>
    </row>
    <row r="550" ht="15.75" customHeight="1">
      <c r="A550" s="37"/>
      <c r="F550" s="39"/>
    </row>
    <row r="551" ht="15.75" customHeight="1">
      <c r="A551" s="37"/>
      <c r="F551" s="39"/>
    </row>
    <row r="552" ht="15.75" customHeight="1">
      <c r="A552" s="37"/>
      <c r="F552" s="39"/>
    </row>
    <row r="553" ht="15.75" customHeight="1">
      <c r="A553" s="37"/>
      <c r="F553" s="39"/>
    </row>
    <row r="554" ht="15.75" customHeight="1">
      <c r="A554" s="37"/>
      <c r="F554" s="39"/>
    </row>
    <row r="555" ht="15.75" customHeight="1">
      <c r="A555" s="37"/>
      <c r="F555" s="39"/>
    </row>
    <row r="556" ht="15.75" customHeight="1">
      <c r="A556" s="37"/>
      <c r="F556" s="39"/>
    </row>
    <row r="557" ht="15.75" customHeight="1">
      <c r="A557" s="37"/>
      <c r="F557" s="39"/>
    </row>
    <row r="558" ht="15.75" customHeight="1">
      <c r="A558" s="37"/>
      <c r="F558" s="39"/>
    </row>
    <row r="559" ht="15.75" customHeight="1">
      <c r="A559" s="37"/>
      <c r="F559" s="39"/>
    </row>
    <row r="560" ht="15.75" customHeight="1">
      <c r="A560" s="37"/>
      <c r="F560" s="39"/>
    </row>
    <row r="561" ht="15.75" customHeight="1">
      <c r="A561" s="37"/>
      <c r="F561" s="39"/>
    </row>
    <row r="562" ht="15.75" customHeight="1">
      <c r="A562" s="37"/>
      <c r="F562" s="39"/>
    </row>
    <row r="563" ht="15.75" customHeight="1">
      <c r="A563" s="37"/>
      <c r="F563" s="39"/>
    </row>
    <row r="564" ht="15.75" customHeight="1">
      <c r="A564" s="37"/>
      <c r="F564" s="39"/>
    </row>
    <row r="565" ht="15.75" customHeight="1">
      <c r="A565" s="37"/>
      <c r="F565" s="39"/>
    </row>
    <row r="566" ht="15.75" customHeight="1">
      <c r="A566" s="37"/>
      <c r="F566" s="39"/>
    </row>
    <row r="567" ht="15.75" customHeight="1">
      <c r="A567" s="37"/>
      <c r="F567" s="39"/>
    </row>
    <row r="568" ht="15.75" customHeight="1">
      <c r="A568" s="37"/>
      <c r="F568" s="39"/>
    </row>
    <row r="569" ht="15.75" customHeight="1">
      <c r="A569" s="37"/>
      <c r="F569" s="39"/>
    </row>
    <row r="570" ht="15.75" customHeight="1">
      <c r="A570" s="37"/>
      <c r="F570" s="39"/>
    </row>
    <row r="571" ht="15.75" customHeight="1">
      <c r="A571" s="37"/>
      <c r="F571" s="39"/>
    </row>
    <row r="572" ht="15.75" customHeight="1">
      <c r="A572" s="37"/>
      <c r="F572" s="39"/>
    </row>
    <row r="573" ht="15.75" customHeight="1">
      <c r="A573" s="37"/>
      <c r="F573" s="39"/>
    </row>
    <row r="574" ht="15.75" customHeight="1">
      <c r="A574" s="37"/>
      <c r="F574" s="39"/>
    </row>
    <row r="575" ht="15.75" customHeight="1">
      <c r="A575" s="37"/>
      <c r="F575" s="39"/>
    </row>
    <row r="576" ht="15.75" customHeight="1">
      <c r="A576" s="37"/>
      <c r="F576" s="39"/>
    </row>
    <row r="577" ht="15.75" customHeight="1">
      <c r="A577" s="37"/>
      <c r="F577" s="39"/>
    </row>
    <row r="578" ht="15.75" customHeight="1">
      <c r="A578" s="37"/>
      <c r="F578" s="39"/>
    </row>
    <row r="579" ht="15.75" customHeight="1">
      <c r="A579" s="37"/>
      <c r="F579" s="39"/>
    </row>
    <row r="580" ht="15.75" customHeight="1">
      <c r="A580" s="37"/>
      <c r="F580" s="39"/>
    </row>
    <row r="581" ht="15.75" customHeight="1">
      <c r="A581" s="37"/>
      <c r="F581" s="39"/>
    </row>
    <row r="582" ht="15.75" customHeight="1">
      <c r="A582" s="37"/>
      <c r="F582" s="39"/>
    </row>
    <row r="583" ht="15.75" customHeight="1">
      <c r="A583" s="37"/>
      <c r="F583" s="39"/>
    </row>
    <row r="584" ht="15.75" customHeight="1">
      <c r="A584" s="37"/>
      <c r="F584" s="39"/>
    </row>
    <row r="585" ht="15.75" customHeight="1">
      <c r="A585" s="37"/>
      <c r="F585" s="39"/>
    </row>
    <row r="586" ht="15.75" customHeight="1">
      <c r="A586" s="37"/>
      <c r="F586" s="39"/>
    </row>
    <row r="587" ht="15.75" customHeight="1">
      <c r="A587" s="37"/>
      <c r="F587" s="39"/>
    </row>
    <row r="588" ht="15.75" customHeight="1">
      <c r="A588" s="37"/>
      <c r="F588" s="39"/>
    </row>
    <row r="589" ht="15.75" customHeight="1">
      <c r="A589" s="37"/>
      <c r="F589" s="39"/>
    </row>
    <row r="590" ht="15.75" customHeight="1">
      <c r="A590" s="37"/>
      <c r="F590" s="39"/>
    </row>
    <row r="591" ht="15.75" customHeight="1">
      <c r="A591" s="37"/>
      <c r="F591" s="39"/>
    </row>
    <row r="592" ht="15.75" customHeight="1">
      <c r="A592" s="37"/>
      <c r="F592" s="39"/>
    </row>
    <row r="593" ht="15.75" customHeight="1">
      <c r="A593" s="37"/>
      <c r="F593" s="39"/>
    </row>
    <row r="594" ht="15.75" customHeight="1">
      <c r="A594" s="37"/>
      <c r="F594" s="39"/>
    </row>
    <row r="595" ht="15.75" customHeight="1">
      <c r="A595" s="37"/>
      <c r="F595" s="39"/>
    </row>
    <row r="596" ht="15.75" customHeight="1">
      <c r="A596" s="37"/>
      <c r="F596" s="39"/>
    </row>
    <row r="597" ht="15.75" customHeight="1">
      <c r="A597" s="37"/>
      <c r="F597" s="39"/>
    </row>
    <row r="598" ht="15.75" customHeight="1">
      <c r="A598" s="37"/>
      <c r="F598" s="39"/>
    </row>
    <row r="599" ht="15.75" customHeight="1">
      <c r="A599" s="37"/>
      <c r="F599" s="39"/>
    </row>
    <row r="600" ht="15.75" customHeight="1">
      <c r="A600" s="37"/>
      <c r="F600" s="39"/>
    </row>
    <row r="601" ht="15.75" customHeight="1">
      <c r="A601" s="37"/>
      <c r="F601" s="39"/>
    </row>
    <row r="602" ht="15.75" customHeight="1">
      <c r="A602" s="37"/>
      <c r="F602" s="39"/>
    </row>
    <row r="603" ht="15.75" customHeight="1">
      <c r="A603" s="37"/>
      <c r="F603" s="39"/>
    </row>
    <row r="604" ht="15.75" customHeight="1">
      <c r="A604" s="37"/>
      <c r="F604" s="39"/>
    </row>
    <row r="605" ht="15.75" customHeight="1">
      <c r="A605" s="37"/>
      <c r="F605" s="39"/>
    </row>
    <row r="606" ht="15.75" customHeight="1">
      <c r="A606" s="37"/>
      <c r="F606" s="39"/>
    </row>
    <row r="607" ht="15.75" customHeight="1">
      <c r="A607" s="37"/>
      <c r="F607" s="39"/>
    </row>
    <row r="608" ht="15.75" customHeight="1">
      <c r="A608" s="37"/>
      <c r="F608" s="39"/>
    </row>
    <row r="609" ht="15.75" customHeight="1">
      <c r="A609" s="37"/>
      <c r="F609" s="39"/>
    </row>
    <row r="610" ht="15.75" customHeight="1">
      <c r="A610" s="37"/>
      <c r="F610" s="39"/>
    </row>
    <row r="611" ht="15.75" customHeight="1">
      <c r="A611" s="37"/>
      <c r="F611" s="39"/>
    </row>
    <row r="612" ht="15.75" customHeight="1">
      <c r="A612" s="37"/>
      <c r="F612" s="39"/>
    </row>
    <row r="613" ht="15.75" customHeight="1">
      <c r="A613" s="37"/>
      <c r="F613" s="39"/>
    </row>
    <row r="614" ht="15.75" customHeight="1">
      <c r="A614" s="37"/>
      <c r="F614" s="39"/>
    </row>
    <row r="615" ht="15.75" customHeight="1">
      <c r="A615" s="37"/>
      <c r="F615" s="39"/>
    </row>
    <row r="616" ht="15.75" customHeight="1">
      <c r="A616" s="37"/>
      <c r="F616" s="39"/>
    </row>
    <row r="617" ht="15.75" customHeight="1">
      <c r="A617" s="37"/>
      <c r="F617" s="39"/>
    </row>
    <row r="618" ht="15.75" customHeight="1">
      <c r="A618" s="37"/>
      <c r="F618" s="39"/>
    </row>
    <row r="619" ht="15.75" customHeight="1">
      <c r="A619" s="37"/>
      <c r="F619" s="39"/>
    </row>
    <row r="620" ht="15.75" customHeight="1">
      <c r="A620" s="37"/>
      <c r="F620" s="39"/>
    </row>
    <row r="621" ht="15.75" customHeight="1">
      <c r="A621" s="37"/>
      <c r="F621" s="39"/>
    </row>
    <row r="622" ht="15.75" customHeight="1">
      <c r="A622" s="37"/>
      <c r="F622" s="39"/>
    </row>
    <row r="623" ht="15.75" customHeight="1">
      <c r="A623" s="37"/>
      <c r="F623" s="39"/>
    </row>
    <row r="624" ht="15.75" customHeight="1">
      <c r="A624" s="37"/>
      <c r="F624" s="39"/>
    </row>
    <row r="625" ht="15.75" customHeight="1">
      <c r="A625" s="37"/>
      <c r="F625" s="39"/>
    </row>
    <row r="626" ht="15.75" customHeight="1">
      <c r="A626" s="37"/>
      <c r="F626" s="39"/>
    </row>
    <row r="627" ht="15.75" customHeight="1">
      <c r="A627" s="37"/>
      <c r="F627" s="39"/>
    </row>
    <row r="628" ht="15.75" customHeight="1">
      <c r="A628" s="37"/>
      <c r="F628" s="39"/>
    </row>
    <row r="629" ht="15.75" customHeight="1">
      <c r="A629" s="37"/>
      <c r="F629" s="39"/>
    </row>
    <row r="630" ht="15.75" customHeight="1">
      <c r="A630" s="37"/>
      <c r="F630" s="39"/>
    </row>
    <row r="631" ht="15.75" customHeight="1">
      <c r="A631" s="37"/>
      <c r="F631" s="39"/>
    </row>
    <row r="632" ht="15.75" customHeight="1">
      <c r="A632" s="37"/>
      <c r="F632" s="39"/>
    </row>
    <row r="633" ht="15.75" customHeight="1">
      <c r="A633" s="37"/>
      <c r="F633" s="39"/>
    </row>
    <row r="634" ht="15.75" customHeight="1">
      <c r="A634" s="37"/>
      <c r="F634" s="39"/>
    </row>
    <row r="635" ht="15.75" customHeight="1">
      <c r="A635" s="37"/>
      <c r="F635" s="39"/>
    </row>
    <row r="636" ht="15.75" customHeight="1">
      <c r="A636" s="37"/>
      <c r="F636" s="39"/>
    </row>
    <row r="637" ht="15.75" customHeight="1">
      <c r="A637" s="37"/>
      <c r="F637" s="39"/>
    </row>
    <row r="638" ht="15.75" customHeight="1">
      <c r="A638" s="37"/>
      <c r="F638" s="39"/>
    </row>
    <row r="639" ht="15.75" customHeight="1">
      <c r="A639" s="37"/>
      <c r="F639" s="39"/>
    </row>
    <row r="640" ht="15.75" customHeight="1">
      <c r="A640" s="37"/>
      <c r="F640" s="39"/>
    </row>
    <row r="641" ht="15.75" customHeight="1">
      <c r="A641" s="37"/>
      <c r="F641" s="39"/>
    </row>
    <row r="642" ht="15.75" customHeight="1">
      <c r="A642" s="37"/>
      <c r="F642" s="39"/>
    </row>
    <row r="643" ht="15.75" customHeight="1">
      <c r="A643" s="37"/>
      <c r="F643" s="39"/>
    </row>
    <row r="644" ht="15.75" customHeight="1">
      <c r="A644" s="37"/>
      <c r="F644" s="39"/>
    </row>
    <row r="645" ht="15.75" customHeight="1">
      <c r="A645" s="37"/>
      <c r="F645" s="39"/>
    </row>
    <row r="646" ht="15.75" customHeight="1">
      <c r="A646" s="37"/>
      <c r="F646" s="39"/>
    </row>
    <row r="647" ht="15.75" customHeight="1">
      <c r="A647" s="37"/>
      <c r="F647" s="39"/>
    </row>
    <row r="648" ht="15.75" customHeight="1">
      <c r="A648" s="37"/>
      <c r="F648" s="39"/>
    </row>
    <row r="649" ht="15.75" customHeight="1">
      <c r="A649" s="37"/>
      <c r="F649" s="39"/>
    </row>
    <row r="650" ht="15.75" customHeight="1">
      <c r="A650" s="37"/>
      <c r="F650" s="39"/>
    </row>
    <row r="651" ht="15.75" customHeight="1">
      <c r="A651" s="37"/>
      <c r="F651" s="39"/>
    </row>
    <row r="652" ht="15.75" customHeight="1">
      <c r="A652" s="37"/>
      <c r="F652" s="39"/>
    </row>
    <row r="653" ht="15.75" customHeight="1">
      <c r="A653" s="37"/>
      <c r="F653" s="39"/>
    </row>
    <row r="654" ht="15.75" customHeight="1">
      <c r="A654" s="37"/>
      <c r="F654" s="39"/>
    </row>
    <row r="655" ht="15.75" customHeight="1">
      <c r="A655" s="37"/>
      <c r="F655" s="39"/>
    </row>
    <row r="656" ht="15.75" customHeight="1">
      <c r="A656" s="37"/>
      <c r="F656" s="39"/>
    </row>
    <row r="657" ht="15.75" customHeight="1">
      <c r="A657" s="37"/>
      <c r="F657" s="39"/>
    </row>
    <row r="658" ht="15.75" customHeight="1">
      <c r="A658" s="37"/>
      <c r="F658" s="39"/>
    </row>
    <row r="659" ht="15.75" customHeight="1">
      <c r="A659" s="37"/>
      <c r="F659" s="39"/>
    </row>
    <row r="660" ht="15.75" customHeight="1">
      <c r="A660" s="37"/>
      <c r="F660" s="39"/>
    </row>
    <row r="661" ht="15.75" customHeight="1">
      <c r="A661" s="37"/>
      <c r="F661" s="39"/>
    </row>
    <row r="662" ht="15.75" customHeight="1">
      <c r="A662" s="37"/>
      <c r="F662" s="39"/>
    </row>
    <row r="663" ht="15.75" customHeight="1">
      <c r="A663" s="37"/>
      <c r="F663" s="39"/>
    </row>
    <row r="664" ht="15.75" customHeight="1">
      <c r="A664" s="37"/>
      <c r="F664" s="39"/>
    </row>
    <row r="665" ht="15.75" customHeight="1">
      <c r="A665" s="37"/>
      <c r="F665" s="39"/>
    </row>
    <row r="666" ht="15.75" customHeight="1">
      <c r="A666" s="37"/>
      <c r="F666" s="39"/>
    </row>
    <row r="667" ht="15.75" customHeight="1">
      <c r="A667" s="37"/>
      <c r="F667" s="39"/>
    </row>
    <row r="668" ht="15.75" customHeight="1">
      <c r="A668" s="37"/>
      <c r="F668" s="39"/>
    </row>
    <row r="669" ht="15.75" customHeight="1">
      <c r="A669" s="37"/>
      <c r="F669" s="39"/>
    </row>
    <row r="670" ht="15.75" customHeight="1">
      <c r="A670" s="37"/>
      <c r="F670" s="39"/>
    </row>
    <row r="671" ht="15.75" customHeight="1">
      <c r="A671" s="37"/>
      <c r="F671" s="39"/>
    </row>
    <row r="672" ht="15.75" customHeight="1">
      <c r="A672" s="37"/>
      <c r="F672" s="39"/>
    </row>
    <row r="673" ht="15.75" customHeight="1">
      <c r="A673" s="37"/>
      <c r="F673" s="39"/>
    </row>
    <row r="674" ht="15.75" customHeight="1">
      <c r="A674" s="37"/>
      <c r="F674" s="39"/>
    </row>
    <row r="675" ht="15.75" customHeight="1">
      <c r="A675" s="37"/>
      <c r="F675" s="39"/>
    </row>
    <row r="676" ht="15.75" customHeight="1">
      <c r="A676" s="37"/>
      <c r="F676" s="39"/>
    </row>
    <row r="677" ht="15.75" customHeight="1">
      <c r="A677" s="37"/>
      <c r="F677" s="39"/>
    </row>
    <row r="678" ht="15.75" customHeight="1">
      <c r="A678" s="37"/>
      <c r="F678" s="39"/>
    </row>
    <row r="679" ht="15.75" customHeight="1">
      <c r="A679" s="37"/>
      <c r="F679" s="39"/>
    </row>
    <row r="680" ht="15.75" customHeight="1">
      <c r="A680" s="37"/>
      <c r="F680" s="39"/>
    </row>
    <row r="681" ht="15.75" customHeight="1">
      <c r="A681" s="37"/>
      <c r="F681" s="39"/>
    </row>
    <row r="682" ht="15.75" customHeight="1">
      <c r="A682" s="37"/>
      <c r="F682" s="39"/>
    </row>
    <row r="683" ht="15.75" customHeight="1">
      <c r="A683" s="37"/>
      <c r="F683" s="39"/>
    </row>
    <row r="684" ht="15.75" customHeight="1">
      <c r="A684" s="37"/>
      <c r="F684" s="39"/>
    </row>
    <row r="685" ht="15.75" customHeight="1">
      <c r="A685" s="37"/>
      <c r="F685" s="39"/>
    </row>
    <row r="686" ht="15.75" customHeight="1">
      <c r="A686" s="37"/>
      <c r="F686" s="39"/>
    </row>
    <row r="687" ht="15.75" customHeight="1">
      <c r="A687" s="37"/>
      <c r="F687" s="39"/>
    </row>
    <row r="688" ht="15.75" customHeight="1">
      <c r="A688" s="37"/>
      <c r="F688" s="39"/>
    </row>
    <row r="689" ht="15.75" customHeight="1">
      <c r="A689" s="37"/>
      <c r="F689" s="39"/>
    </row>
    <row r="690" ht="15.75" customHeight="1">
      <c r="A690" s="37"/>
      <c r="F690" s="39"/>
    </row>
    <row r="691" ht="15.75" customHeight="1">
      <c r="A691" s="37"/>
      <c r="F691" s="39"/>
    </row>
    <row r="692" ht="15.75" customHeight="1">
      <c r="A692" s="37"/>
      <c r="F692" s="39"/>
    </row>
    <row r="693" ht="15.75" customHeight="1">
      <c r="A693" s="37"/>
      <c r="F693" s="39"/>
    </row>
    <row r="694" ht="15.75" customHeight="1">
      <c r="A694" s="37"/>
      <c r="F694" s="39"/>
    </row>
    <row r="695" ht="15.75" customHeight="1">
      <c r="A695" s="37"/>
      <c r="F695" s="39"/>
    </row>
    <row r="696" ht="15.75" customHeight="1">
      <c r="A696" s="37"/>
      <c r="F696" s="39"/>
    </row>
    <row r="697" ht="15.75" customHeight="1">
      <c r="A697" s="37"/>
      <c r="F697" s="39"/>
    </row>
    <row r="698" ht="15.75" customHeight="1">
      <c r="A698" s="37"/>
      <c r="F698" s="39"/>
    </row>
    <row r="699" ht="15.75" customHeight="1">
      <c r="A699" s="37"/>
      <c r="F699" s="39"/>
    </row>
    <row r="700" ht="15.75" customHeight="1">
      <c r="A700" s="37"/>
      <c r="F700" s="39"/>
    </row>
    <row r="701" ht="15.75" customHeight="1">
      <c r="A701" s="37"/>
      <c r="F701" s="39"/>
    </row>
    <row r="702" ht="15.75" customHeight="1">
      <c r="A702" s="37"/>
      <c r="F702" s="39"/>
    </row>
    <row r="703" ht="15.75" customHeight="1">
      <c r="A703" s="37"/>
      <c r="F703" s="39"/>
    </row>
    <row r="704" ht="15.75" customHeight="1">
      <c r="A704" s="37"/>
      <c r="F704" s="39"/>
    </row>
    <row r="705" ht="15.75" customHeight="1">
      <c r="A705" s="37"/>
      <c r="F705" s="39"/>
    </row>
    <row r="706" ht="15.75" customHeight="1">
      <c r="A706" s="37"/>
      <c r="F706" s="39"/>
    </row>
    <row r="707" ht="15.75" customHeight="1">
      <c r="A707" s="37"/>
      <c r="F707" s="39"/>
    </row>
    <row r="708" ht="15.75" customHeight="1">
      <c r="A708" s="37"/>
      <c r="F708" s="39"/>
    </row>
    <row r="709" ht="15.75" customHeight="1">
      <c r="A709" s="37"/>
      <c r="F709" s="39"/>
    </row>
    <row r="710" ht="15.75" customHeight="1">
      <c r="A710" s="37"/>
      <c r="F710" s="39"/>
    </row>
    <row r="711" ht="15.75" customHeight="1">
      <c r="A711" s="37"/>
      <c r="F711" s="39"/>
    </row>
    <row r="712" ht="15.75" customHeight="1">
      <c r="A712" s="37"/>
      <c r="F712" s="39"/>
    </row>
    <row r="713" ht="15.75" customHeight="1">
      <c r="A713" s="37"/>
      <c r="F713" s="39"/>
    </row>
    <row r="714" ht="15.75" customHeight="1">
      <c r="A714" s="37"/>
      <c r="F714" s="39"/>
    </row>
    <row r="715" ht="15.75" customHeight="1">
      <c r="A715" s="37"/>
      <c r="F715" s="39"/>
    </row>
    <row r="716" ht="15.75" customHeight="1">
      <c r="A716" s="37"/>
      <c r="F716" s="39"/>
    </row>
    <row r="717" ht="15.75" customHeight="1">
      <c r="A717" s="37"/>
      <c r="F717" s="39"/>
    </row>
    <row r="718" ht="15.75" customHeight="1">
      <c r="A718" s="37"/>
      <c r="F718" s="39"/>
    </row>
    <row r="719" ht="15.75" customHeight="1">
      <c r="A719" s="37"/>
      <c r="F719" s="39"/>
    </row>
    <row r="720" ht="15.75" customHeight="1">
      <c r="A720" s="37"/>
      <c r="F720" s="39"/>
    </row>
    <row r="721" ht="15.75" customHeight="1">
      <c r="A721" s="37"/>
      <c r="F721" s="39"/>
    </row>
    <row r="722" ht="15.75" customHeight="1">
      <c r="A722" s="37"/>
      <c r="F722" s="39"/>
    </row>
    <row r="723" ht="15.75" customHeight="1">
      <c r="A723" s="37"/>
      <c r="F723" s="39"/>
    </row>
    <row r="724" ht="15.75" customHeight="1">
      <c r="A724" s="37"/>
      <c r="F724" s="39"/>
    </row>
    <row r="725" ht="15.75" customHeight="1">
      <c r="A725" s="37"/>
      <c r="F725" s="39"/>
    </row>
    <row r="726" ht="15.75" customHeight="1">
      <c r="A726" s="37"/>
      <c r="F726" s="39"/>
    </row>
    <row r="727" ht="15.75" customHeight="1">
      <c r="A727" s="37"/>
      <c r="F727" s="39"/>
    </row>
    <row r="728" ht="15.75" customHeight="1">
      <c r="A728" s="37"/>
      <c r="F728" s="39"/>
    </row>
    <row r="729" ht="15.75" customHeight="1">
      <c r="A729" s="37"/>
      <c r="F729" s="39"/>
    </row>
    <row r="730" ht="15.75" customHeight="1">
      <c r="A730" s="37"/>
      <c r="F730" s="39"/>
    </row>
    <row r="731" ht="15.75" customHeight="1">
      <c r="A731" s="37"/>
      <c r="F731" s="39"/>
    </row>
    <row r="732" ht="15.75" customHeight="1">
      <c r="A732" s="37"/>
      <c r="F732" s="39"/>
    </row>
    <row r="733" ht="15.75" customHeight="1">
      <c r="A733" s="37"/>
      <c r="F733" s="39"/>
    </row>
    <row r="734" ht="15.75" customHeight="1">
      <c r="A734" s="37"/>
      <c r="F734" s="39"/>
    </row>
    <row r="735" ht="15.75" customHeight="1">
      <c r="A735" s="37"/>
      <c r="F735" s="39"/>
    </row>
    <row r="736" ht="15.75" customHeight="1">
      <c r="A736" s="37"/>
      <c r="F736" s="39"/>
    </row>
    <row r="737" ht="15.75" customHeight="1">
      <c r="A737" s="37"/>
      <c r="F737" s="39"/>
    </row>
    <row r="738" ht="15.75" customHeight="1">
      <c r="A738" s="37"/>
      <c r="F738" s="39"/>
    </row>
    <row r="739" ht="15.75" customHeight="1">
      <c r="A739" s="37"/>
      <c r="F739" s="39"/>
    </row>
    <row r="740" ht="15.75" customHeight="1">
      <c r="A740" s="37"/>
      <c r="F740" s="39"/>
    </row>
    <row r="741" ht="15.75" customHeight="1">
      <c r="A741" s="37"/>
      <c r="F741" s="39"/>
    </row>
    <row r="742" ht="15.75" customHeight="1">
      <c r="A742" s="37"/>
      <c r="F742" s="39"/>
    </row>
    <row r="743" ht="15.75" customHeight="1">
      <c r="A743" s="37"/>
      <c r="F743" s="39"/>
    </row>
    <row r="744" ht="15.75" customHeight="1">
      <c r="A744" s="37"/>
      <c r="F744" s="39"/>
    </row>
    <row r="745" ht="15.75" customHeight="1">
      <c r="A745" s="37"/>
      <c r="F745" s="39"/>
    </row>
    <row r="746" ht="15.75" customHeight="1">
      <c r="A746" s="37"/>
      <c r="F746" s="39"/>
    </row>
    <row r="747" ht="15.75" customHeight="1">
      <c r="A747" s="37"/>
      <c r="F747" s="39"/>
    </row>
    <row r="748" ht="15.75" customHeight="1">
      <c r="A748" s="37"/>
      <c r="F748" s="39"/>
    </row>
    <row r="749" ht="15.75" customHeight="1">
      <c r="A749" s="37"/>
      <c r="F749" s="39"/>
    </row>
    <row r="750" ht="15.75" customHeight="1">
      <c r="A750" s="37"/>
      <c r="F750" s="39"/>
    </row>
    <row r="751" ht="15.75" customHeight="1">
      <c r="A751" s="37"/>
      <c r="F751" s="39"/>
    </row>
    <row r="752" ht="15.75" customHeight="1">
      <c r="A752" s="37"/>
      <c r="F752" s="39"/>
    </row>
    <row r="753" ht="15.75" customHeight="1">
      <c r="A753" s="37"/>
      <c r="F753" s="39"/>
    </row>
    <row r="754" ht="15.75" customHeight="1">
      <c r="A754" s="37"/>
      <c r="F754" s="39"/>
    </row>
    <row r="755" ht="15.75" customHeight="1">
      <c r="A755" s="37"/>
      <c r="F755" s="39"/>
    </row>
    <row r="756" ht="15.75" customHeight="1">
      <c r="A756" s="37"/>
      <c r="F756" s="39"/>
    </row>
    <row r="757" ht="15.75" customHeight="1">
      <c r="A757" s="37"/>
      <c r="F757" s="39"/>
    </row>
    <row r="758" ht="15.75" customHeight="1">
      <c r="A758" s="37"/>
      <c r="F758" s="39"/>
    </row>
    <row r="759" ht="15.75" customHeight="1">
      <c r="A759" s="37"/>
      <c r="F759" s="39"/>
    </row>
    <row r="760" ht="15.75" customHeight="1">
      <c r="A760" s="37"/>
      <c r="F760" s="39"/>
    </row>
    <row r="761" ht="15.75" customHeight="1">
      <c r="A761" s="37"/>
      <c r="F761" s="39"/>
    </row>
    <row r="762" ht="15.75" customHeight="1">
      <c r="A762" s="37"/>
      <c r="F762" s="39"/>
    </row>
    <row r="763" ht="15.75" customHeight="1">
      <c r="A763" s="37"/>
      <c r="F763" s="39"/>
    </row>
    <row r="764" ht="15.75" customHeight="1">
      <c r="A764" s="37"/>
      <c r="F764" s="39"/>
    </row>
    <row r="765" ht="15.75" customHeight="1">
      <c r="A765" s="37"/>
      <c r="F765" s="39"/>
    </row>
    <row r="766" ht="15.75" customHeight="1">
      <c r="A766" s="37"/>
      <c r="F766" s="39"/>
    </row>
    <row r="767" ht="15.75" customHeight="1">
      <c r="A767" s="37"/>
      <c r="F767" s="39"/>
    </row>
    <row r="768" ht="15.75" customHeight="1">
      <c r="A768" s="37"/>
      <c r="F768" s="39"/>
    </row>
    <row r="769" ht="15.75" customHeight="1">
      <c r="A769" s="37"/>
      <c r="F769" s="39"/>
    </row>
    <row r="770" ht="15.75" customHeight="1">
      <c r="A770" s="37"/>
      <c r="F770" s="39"/>
    </row>
    <row r="771" ht="15.75" customHeight="1">
      <c r="A771" s="37"/>
      <c r="F771" s="39"/>
    </row>
    <row r="772" ht="15.75" customHeight="1">
      <c r="A772" s="37"/>
      <c r="F772" s="39"/>
    </row>
    <row r="773" ht="15.75" customHeight="1">
      <c r="A773" s="37"/>
      <c r="F773" s="39"/>
    </row>
    <row r="774" ht="15.75" customHeight="1">
      <c r="A774" s="37"/>
      <c r="F774" s="39"/>
    </row>
    <row r="775" ht="15.75" customHeight="1">
      <c r="A775" s="37"/>
      <c r="F775" s="39"/>
    </row>
    <row r="776" ht="15.75" customHeight="1">
      <c r="A776" s="37"/>
      <c r="F776" s="39"/>
    </row>
    <row r="777" ht="15.75" customHeight="1">
      <c r="A777" s="37"/>
      <c r="F777" s="39"/>
    </row>
    <row r="778" ht="15.75" customHeight="1">
      <c r="A778" s="37"/>
      <c r="F778" s="39"/>
    </row>
    <row r="779" ht="15.75" customHeight="1">
      <c r="A779" s="37"/>
      <c r="F779" s="39"/>
    </row>
    <row r="780" ht="15.75" customHeight="1">
      <c r="A780" s="37"/>
      <c r="F780" s="39"/>
    </row>
    <row r="781" ht="15.75" customHeight="1">
      <c r="A781" s="37"/>
      <c r="F781" s="39"/>
    </row>
    <row r="782" ht="15.75" customHeight="1">
      <c r="A782" s="37"/>
      <c r="F782" s="39"/>
    </row>
    <row r="783" ht="15.75" customHeight="1">
      <c r="A783" s="37"/>
      <c r="F783" s="39"/>
    </row>
    <row r="784" ht="15.75" customHeight="1">
      <c r="A784" s="37"/>
      <c r="F784" s="39"/>
    </row>
    <row r="785" ht="15.75" customHeight="1">
      <c r="A785" s="37"/>
      <c r="F785" s="39"/>
    </row>
    <row r="786" ht="15.75" customHeight="1">
      <c r="A786" s="37"/>
      <c r="F786" s="39"/>
    </row>
    <row r="787" ht="15.75" customHeight="1">
      <c r="A787" s="37"/>
      <c r="F787" s="39"/>
    </row>
    <row r="788" ht="15.75" customHeight="1">
      <c r="A788" s="37"/>
      <c r="F788" s="39"/>
    </row>
    <row r="789" ht="15.75" customHeight="1">
      <c r="A789" s="37"/>
      <c r="F789" s="39"/>
    </row>
    <row r="790" ht="15.75" customHeight="1">
      <c r="A790" s="37"/>
      <c r="F790" s="39"/>
    </row>
    <row r="791" ht="15.75" customHeight="1">
      <c r="A791" s="37"/>
      <c r="F791" s="39"/>
    </row>
    <row r="792" ht="15.75" customHeight="1">
      <c r="A792" s="37"/>
      <c r="F792" s="39"/>
    </row>
    <row r="793" ht="15.75" customHeight="1">
      <c r="A793" s="37"/>
      <c r="F793" s="39"/>
    </row>
    <row r="794" ht="15.75" customHeight="1">
      <c r="A794" s="37"/>
      <c r="F794" s="39"/>
    </row>
    <row r="795" ht="15.75" customHeight="1">
      <c r="A795" s="37"/>
      <c r="F795" s="39"/>
    </row>
    <row r="796" ht="15.75" customHeight="1">
      <c r="A796" s="37"/>
      <c r="F796" s="39"/>
    </row>
    <row r="797" ht="15.75" customHeight="1">
      <c r="A797" s="37"/>
      <c r="F797" s="39"/>
    </row>
    <row r="798" ht="15.75" customHeight="1">
      <c r="A798" s="37"/>
      <c r="F798" s="39"/>
    </row>
    <row r="799" ht="15.75" customHeight="1">
      <c r="A799" s="37"/>
      <c r="F799" s="39"/>
    </row>
    <row r="800" ht="15.75" customHeight="1">
      <c r="A800" s="37"/>
      <c r="F800" s="39"/>
    </row>
    <row r="801" ht="15.75" customHeight="1">
      <c r="A801" s="37"/>
      <c r="F801" s="39"/>
    </row>
    <row r="802" ht="15.75" customHeight="1">
      <c r="A802" s="37"/>
      <c r="F802" s="39"/>
    </row>
    <row r="803" ht="15.75" customHeight="1">
      <c r="A803" s="37"/>
      <c r="F803" s="39"/>
    </row>
    <row r="804" ht="15.75" customHeight="1">
      <c r="A804" s="37"/>
      <c r="F804" s="39"/>
    </row>
    <row r="805" ht="15.75" customHeight="1">
      <c r="A805" s="37"/>
      <c r="F805" s="39"/>
    </row>
    <row r="806" ht="15.75" customHeight="1">
      <c r="A806" s="37"/>
      <c r="F806" s="39"/>
    </row>
    <row r="807" ht="15.75" customHeight="1">
      <c r="A807" s="37"/>
      <c r="F807" s="39"/>
    </row>
    <row r="808" ht="15.75" customHeight="1">
      <c r="A808" s="37"/>
      <c r="F808" s="39"/>
    </row>
    <row r="809" ht="15.75" customHeight="1">
      <c r="A809" s="37"/>
      <c r="F809" s="39"/>
    </row>
    <row r="810" ht="15.75" customHeight="1">
      <c r="A810" s="37"/>
      <c r="F810" s="39"/>
    </row>
    <row r="811" ht="15.75" customHeight="1">
      <c r="A811" s="37"/>
      <c r="F811" s="39"/>
    </row>
    <row r="812" ht="15.75" customHeight="1">
      <c r="A812" s="37"/>
      <c r="F812" s="39"/>
    </row>
    <row r="813" ht="15.75" customHeight="1">
      <c r="A813" s="37"/>
      <c r="F813" s="39"/>
    </row>
    <row r="814" ht="15.75" customHeight="1">
      <c r="A814" s="37"/>
      <c r="F814" s="39"/>
    </row>
    <row r="815" ht="15.75" customHeight="1">
      <c r="A815" s="37"/>
      <c r="F815" s="39"/>
    </row>
    <row r="816" ht="15.75" customHeight="1">
      <c r="A816" s="37"/>
      <c r="F816" s="39"/>
    </row>
    <row r="817" ht="15.75" customHeight="1">
      <c r="A817" s="37"/>
      <c r="F817" s="39"/>
    </row>
    <row r="818" ht="15.75" customHeight="1">
      <c r="A818" s="37"/>
      <c r="F818" s="39"/>
    </row>
    <row r="819" ht="15.75" customHeight="1">
      <c r="A819" s="37"/>
      <c r="F819" s="39"/>
    </row>
    <row r="820" ht="15.75" customHeight="1">
      <c r="A820" s="37"/>
      <c r="F820" s="39"/>
    </row>
    <row r="821" ht="15.75" customHeight="1">
      <c r="A821" s="37"/>
      <c r="F821" s="39"/>
    </row>
    <row r="822" ht="15.75" customHeight="1">
      <c r="A822" s="37"/>
      <c r="F822" s="39"/>
    </row>
    <row r="823" ht="15.75" customHeight="1">
      <c r="A823" s="37"/>
      <c r="F823" s="39"/>
    </row>
    <row r="824" ht="15.75" customHeight="1">
      <c r="A824" s="37"/>
      <c r="F824" s="39"/>
    </row>
    <row r="825" ht="15.75" customHeight="1">
      <c r="A825" s="37"/>
      <c r="F825" s="39"/>
    </row>
    <row r="826" ht="15.75" customHeight="1">
      <c r="A826" s="37"/>
      <c r="F826" s="39"/>
    </row>
    <row r="827" ht="15.75" customHeight="1">
      <c r="A827" s="37"/>
      <c r="F827" s="39"/>
    </row>
    <row r="828" ht="15.75" customHeight="1">
      <c r="A828" s="37"/>
      <c r="F828" s="39"/>
    </row>
    <row r="829" ht="15.75" customHeight="1">
      <c r="A829" s="37"/>
      <c r="F829" s="39"/>
    </row>
    <row r="830" ht="15.75" customHeight="1">
      <c r="A830" s="37"/>
      <c r="F830" s="39"/>
    </row>
    <row r="831" ht="15.75" customHeight="1">
      <c r="A831" s="37"/>
      <c r="F831" s="39"/>
    </row>
    <row r="832" ht="15.75" customHeight="1">
      <c r="A832" s="37"/>
      <c r="F832" s="39"/>
    </row>
    <row r="833" ht="15.75" customHeight="1">
      <c r="A833" s="37"/>
      <c r="F833" s="39"/>
    </row>
    <row r="834" ht="15.75" customHeight="1">
      <c r="A834" s="37"/>
      <c r="F834" s="39"/>
    </row>
    <row r="835" ht="15.75" customHeight="1">
      <c r="A835" s="37"/>
      <c r="F835" s="39"/>
    </row>
    <row r="836" ht="15.75" customHeight="1">
      <c r="A836" s="37"/>
      <c r="F836" s="39"/>
    </row>
    <row r="837" ht="15.75" customHeight="1">
      <c r="A837" s="37"/>
      <c r="F837" s="39"/>
    </row>
    <row r="838" ht="15.75" customHeight="1">
      <c r="A838" s="37"/>
      <c r="F838" s="39"/>
    </row>
    <row r="839" ht="15.75" customHeight="1">
      <c r="A839" s="37"/>
      <c r="F839" s="39"/>
    </row>
    <row r="840" ht="15.75" customHeight="1">
      <c r="A840" s="37"/>
      <c r="F840" s="39"/>
    </row>
    <row r="841" ht="15.75" customHeight="1">
      <c r="A841" s="37"/>
      <c r="F841" s="39"/>
    </row>
    <row r="842" ht="15.75" customHeight="1">
      <c r="A842" s="37"/>
      <c r="F842" s="39"/>
    </row>
    <row r="843" ht="15.75" customHeight="1">
      <c r="A843" s="37"/>
      <c r="F843" s="39"/>
    </row>
    <row r="844" ht="15.75" customHeight="1">
      <c r="A844" s="37"/>
      <c r="F844" s="39"/>
    </row>
    <row r="845" ht="15.75" customHeight="1">
      <c r="A845" s="37"/>
      <c r="F845" s="39"/>
    </row>
    <row r="846" ht="15.75" customHeight="1">
      <c r="A846" s="37"/>
      <c r="F846" s="39"/>
    </row>
    <row r="847" ht="15.75" customHeight="1">
      <c r="A847" s="37"/>
      <c r="F847" s="39"/>
    </row>
    <row r="848" ht="15.75" customHeight="1">
      <c r="A848" s="37"/>
      <c r="F848" s="39"/>
    </row>
    <row r="849" ht="15.75" customHeight="1">
      <c r="A849" s="37"/>
      <c r="F849" s="39"/>
    </row>
    <row r="850" ht="15.75" customHeight="1">
      <c r="A850" s="37"/>
      <c r="F850" s="39"/>
    </row>
    <row r="851" ht="15.75" customHeight="1">
      <c r="A851" s="37"/>
      <c r="F851" s="39"/>
    </row>
    <row r="852" ht="15.75" customHeight="1">
      <c r="A852" s="37"/>
      <c r="F852" s="39"/>
    </row>
    <row r="853" ht="15.75" customHeight="1">
      <c r="A853" s="37"/>
      <c r="F853" s="39"/>
    </row>
    <row r="854" ht="15.75" customHeight="1">
      <c r="A854" s="37"/>
      <c r="F854" s="39"/>
    </row>
    <row r="855" ht="15.75" customHeight="1">
      <c r="A855" s="37"/>
      <c r="F855" s="39"/>
    </row>
    <row r="856" ht="15.75" customHeight="1">
      <c r="A856" s="37"/>
      <c r="F856" s="39"/>
    </row>
    <row r="857" ht="15.75" customHeight="1">
      <c r="A857" s="37"/>
      <c r="F857" s="39"/>
    </row>
    <row r="858" ht="15.75" customHeight="1">
      <c r="A858" s="37"/>
      <c r="F858" s="39"/>
    </row>
    <row r="859" ht="15.75" customHeight="1">
      <c r="A859" s="37"/>
      <c r="F859" s="39"/>
    </row>
    <row r="860" ht="15.75" customHeight="1">
      <c r="A860" s="37"/>
      <c r="F860" s="39"/>
    </row>
    <row r="861" ht="15.75" customHeight="1">
      <c r="A861" s="37"/>
      <c r="F861" s="39"/>
    </row>
    <row r="862" ht="15.75" customHeight="1">
      <c r="A862" s="37"/>
      <c r="F862" s="39"/>
    </row>
    <row r="863" ht="15.75" customHeight="1">
      <c r="A863" s="37"/>
      <c r="F863" s="39"/>
    </row>
    <row r="864" ht="15.75" customHeight="1">
      <c r="A864" s="37"/>
      <c r="F864" s="39"/>
    </row>
    <row r="865" ht="15.75" customHeight="1">
      <c r="A865" s="37"/>
      <c r="F865" s="39"/>
    </row>
    <row r="866" ht="15.75" customHeight="1">
      <c r="A866" s="37"/>
      <c r="F866" s="39"/>
    </row>
    <row r="867" ht="15.75" customHeight="1">
      <c r="A867" s="37"/>
      <c r="F867" s="39"/>
    </row>
    <row r="868" ht="15.75" customHeight="1">
      <c r="A868" s="37"/>
      <c r="F868" s="39"/>
    </row>
    <row r="869" ht="15.75" customHeight="1">
      <c r="A869" s="37"/>
      <c r="F869" s="39"/>
    </row>
    <row r="870" ht="15.75" customHeight="1">
      <c r="A870" s="37"/>
      <c r="F870" s="39"/>
    </row>
    <row r="871" ht="15.75" customHeight="1">
      <c r="A871" s="37"/>
      <c r="F871" s="39"/>
    </row>
    <row r="872" ht="15.75" customHeight="1">
      <c r="A872" s="37"/>
      <c r="F872" s="39"/>
    </row>
    <row r="873" ht="15.75" customHeight="1">
      <c r="A873" s="37"/>
      <c r="F873" s="39"/>
    </row>
    <row r="874" ht="15.75" customHeight="1">
      <c r="A874" s="37"/>
      <c r="F874" s="39"/>
    </row>
    <row r="875" ht="15.75" customHeight="1">
      <c r="A875" s="37"/>
      <c r="F875" s="39"/>
    </row>
    <row r="876" ht="15.75" customHeight="1">
      <c r="A876" s="37"/>
      <c r="F876" s="39"/>
    </row>
    <row r="877" ht="15.75" customHeight="1">
      <c r="A877" s="37"/>
      <c r="F877" s="39"/>
    </row>
    <row r="878" ht="15.75" customHeight="1">
      <c r="A878" s="37"/>
      <c r="F878" s="39"/>
    </row>
    <row r="879" ht="15.75" customHeight="1">
      <c r="A879" s="37"/>
      <c r="F879" s="39"/>
    </row>
    <row r="880" ht="15.75" customHeight="1">
      <c r="A880" s="37"/>
      <c r="F880" s="39"/>
    </row>
    <row r="881" ht="15.75" customHeight="1">
      <c r="A881" s="37"/>
      <c r="F881" s="39"/>
    </row>
    <row r="882" ht="15.75" customHeight="1">
      <c r="A882" s="37"/>
      <c r="F882" s="39"/>
    </row>
    <row r="883" ht="15.75" customHeight="1">
      <c r="A883" s="37"/>
      <c r="F883" s="39"/>
    </row>
    <row r="884" ht="15.75" customHeight="1">
      <c r="A884" s="37"/>
      <c r="F884" s="39"/>
    </row>
    <row r="885" ht="15.75" customHeight="1">
      <c r="A885" s="37"/>
      <c r="F885" s="39"/>
    </row>
    <row r="886" ht="15.75" customHeight="1">
      <c r="A886" s="37"/>
      <c r="F886" s="39"/>
    </row>
    <row r="887" ht="15.75" customHeight="1">
      <c r="A887" s="37"/>
      <c r="F887" s="39"/>
    </row>
    <row r="888" ht="15.75" customHeight="1">
      <c r="A888" s="37"/>
      <c r="F888" s="39"/>
    </row>
    <row r="889" ht="15.75" customHeight="1">
      <c r="A889" s="37"/>
      <c r="F889" s="39"/>
    </row>
    <row r="890" ht="15.75" customHeight="1">
      <c r="A890" s="37"/>
      <c r="F890" s="39"/>
    </row>
    <row r="891" ht="15.75" customHeight="1">
      <c r="A891" s="37"/>
      <c r="F891" s="39"/>
    </row>
    <row r="892" ht="15.75" customHeight="1">
      <c r="A892" s="37"/>
      <c r="F892" s="39"/>
    </row>
    <row r="893" ht="15.75" customHeight="1">
      <c r="A893" s="37"/>
      <c r="F893" s="39"/>
    </row>
    <row r="894" ht="15.75" customHeight="1">
      <c r="A894" s="37"/>
      <c r="F894" s="39"/>
    </row>
    <row r="895" ht="15.75" customHeight="1">
      <c r="A895" s="37"/>
      <c r="F895" s="39"/>
    </row>
    <row r="896" ht="15.75" customHeight="1">
      <c r="A896" s="37"/>
      <c r="F896" s="39"/>
    </row>
    <row r="897" ht="15.75" customHeight="1">
      <c r="A897" s="37"/>
      <c r="F897" s="39"/>
    </row>
    <row r="898" ht="15.75" customHeight="1">
      <c r="A898" s="37"/>
      <c r="F898" s="39"/>
    </row>
    <row r="899" ht="15.75" customHeight="1">
      <c r="A899" s="37"/>
      <c r="F899" s="39"/>
    </row>
    <row r="900" ht="15.75" customHeight="1">
      <c r="A900" s="37"/>
      <c r="F900" s="39"/>
    </row>
    <row r="901" ht="15.75" customHeight="1">
      <c r="A901" s="37"/>
      <c r="F901" s="39"/>
    </row>
    <row r="902" ht="15.75" customHeight="1">
      <c r="A902" s="37"/>
      <c r="F902" s="39"/>
    </row>
    <row r="903" ht="15.75" customHeight="1">
      <c r="A903" s="37"/>
      <c r="F903" s="39"/>
    </row>
    <row r="904" ht="15.75" customHeight="1">
      <c r="A904" s="37"/>
      <c r="F904" s="39"/>
    </row>
    <row r="905" ht="15.75" customHeight="1">
      <c r="A905" s="37"/>
      <c r="F905" s="39"/>
    </row>
    <row r="906" ht="15.75" customHeight="1">
      <c r="A906" s="37"/>
      <c r="F906" s="39"/>
    </row>
    <row r="907" ht="15.75" customHeight="1">
      <c r="A907" s="37"/>
      <c r="F907" s="39"/>
    </row>
    <row r="908" ht="15.75" customHeight="1">
      <c r="A908" s="37"/>
      <c r="F908" s="39"/>
    </row>
    <row r="909" ht="15.75" customHeight="1">
      <c r="A909" s="37"/>
      <c r="F909" s="39"/>
    </row>
    <row r="910" ht="15.75" customHeight="1">
      <c r="A910" s="37"/>
      <c r="F910" s="39"/>
    </row>
    <row r="911" ht="15.75" customHeight="1">
      <c r="A911" s="37"/>
      <c r="F911" s="39"/>
    </row>
    <row r="912" ht="15.75" customHeight="1">
      <c r="A912" s="37"/>
      <c r="F912" s="39"/>
    </row>
    <row r="913" ht="15.75" customHeight="1">
      <c r="A913" s="37"/>
      <c r="F913" s="39"/>
    </row>
    <row r="914" ht="15.75" customHeight="1">
      <c r="A914" s="37"/>
      <c r="F914" s="39"/>
    </row>
    <row r="915" ht="15.75" customHeight="1">
      <c r="A915" s="37"/>
      <c r="F915" s="39"/>
    </row>
    <row r="916" ht="15.75" customHeight="1">
      <c r="A916" s="37"/>
      <c r="F916" s="39"/>
    </row>
    <row r="917" ht="15.75" customHeight="1">
      <c r="A917" s="37"/>
      <c r="F917" s="39"/>
    </row>
    <row r="918" ht="15.75" customHeight="1">
      <c r="A918" s="37"/>
      <c r="F918" s="39"/>
    </row>
    <row r="919" ht="15.75" customHeight="1">
      <c r="A919" s="37"/>
      <c r="F919" s="39"/>
    </row>
    <row r="920" ht="15.75" customHeight="1">
      <c r="A920" s="37"/>
      <c r="F920" s="39"/>
    </row>
    <row r="921" ht="15.75" customHeight="1">
      <c r="A921" s="37"/>
      <c r="F921" s="39"/>
    </row>
    <row r="922" ht="15.75" customHeight="1">
      <c r="A922" s="37"/>
      <c r="F922" s="39"/>
    </row>
    <row r="923" ht="15.75" customHeight="1">
      <c r="A923" s="37"/>
      <c r="F923" s="39"/>
    </row>
    <row r="924" ht="15.75" customHeight="1">
      <c r="A924" s="37"/>
      <c r="F924" s="39"/>
    </row>
    <row r="925" ht="15.75" customHeight="1">
      <c r="A925" s="37"/>
      <c r="F925" s="39"/>
    </row>
    <row r="926" ht="15.75" customHeight="1">
      <c r="A926" s="37"/>
      <c r="F926" s="39"/>
    </row>
    <row r="927" ht="15.75" customHeight="1">
      <c r="A927" s="37"/>
      <c r="F927" s="39"/>
    </row>
    <row r="928" ht="15.75" customHeight="1">
      <c r="A928" s="37"/>
      <c r="F928" s="39"/>
    </row>
    <row r="929" ht="15.75" customHeight="1">
      <c r="A929" s="37"/>
      <c r="F929" s="39"/>
    </row>
    <row r="930" ht="15.75" customHeight="1">
      <c r="A930" s="37"/>
      <c r="F930" s="39"/>
    </row>
    <row r="931" ht="15.75" customHeight="1">
      <c r="A931" s="37"/>
      <c r="F931" s="39"/>
    </row>
    <row r="932" ht="15.75" customHeight="1">
      <c r="A932" s="37"/>
      <c r="F932" s="39"/>
    </row>
    <row r="933" ht="15.75" customHeight="1">
      <c r="A933" s="37"/>
      <c r="F933" s="39"/>
    </row>
    <row r="934" ht="15.75" customHeight="1">
      <c r="A934" s="37"/>
      <c r="F934" s="39"/>
    </row>
    <row r="935" ht="15.75" customHeight="1">
      <c r="A935" s="37"/>
      <c r="F935" s="39"/>
    </row>
    <row r="936" ht="15.75" customHeight="1">
      <c r="A936" s="37"/>
      <c r="F936" s="39"/>
    </row>
    <row r="937" ht="15.75" customHeight="1">
      <c r="A937" s="37"/>
      <c r="F937" s="39"/>
    </row>
    <row r="938" ht="15.75" customHeight="1">
      <c r="A938" s="37"/>
      <c r="F938" s="39"/>
    </row>
    <row r="939" ht="15.75" customHeight="1">
      <c r="A939" s="37"/>
      <c r="F939" s="39"/>
    </row>
    <row r="940" ht="15.75" customHeight="1">
      <c r="A940" s="37"/>
      <c r="F940" s="39"/>
    </row>
    <row r="941" ht="15.75" customHeight="1">
      <c r="A941" s="37"/>
      <c r="F941" s="39"/>
    </row>
    <row r="942" ht="15.75" customHeight="1">
      <c r="A942" s="37"/>
      <c r="F942" s="39"/>
    </row>
    <row r="943" ht="15.75" customHeight="1">
      <c r="A943" s="37"/>
      <c r="F943" s="39"/>
    </row>
    <row r="944" ht="15.75" customHeight="1">
      <c r="A944" s="37"/>
      <c r="F944" s="39"/>
    </row>
    <row r="945" ht="15.75" customHeight="1">
      <c r="A945" s="37"/>
      <c r="F945" s="39"/>
    </row>
    <row r="946" ht="15.75" customHeight="1">
      <c r="A946" s="37"/>
      <c r="F946" s="39"/>
    </row>
    <row r="947" ht="15.75" customHeight="1">
      <c r="A947" s="37"/>
      <c r="F947" s="39"/>
    </row>
    <row r="948" ht="15.75" customHeight="1">
      <c r="A948" s="37"/>
      <c r="F948" s="39"/>
    </row>
    <row r="949" ht="15.75" customHeight="1">
      <c r="A949" s="37"/>
      <c r="F949" s="39"/>
    </row>
    <row r="950" ht="15.75" customHeight="1">
      <c r="A950" s="37"/>
      <c r="F950" s="39"/>
    </row>
    <row r="951" ht="15.75" customHeight="1">
      <c r="A951" s="37"/>
      <c r="F951" s="39"/>
    </row>
    <row r="952" ht="15.75" customHeight="1">
      <c r="A952" s="37"/>
      <c r="F952" s="39"/>
    </row>
    <row r="953" ht="15.75" customHeight="1">
      <c r="A953" s="37"/>
      <c r="F953" s="39"/>
    </row>
    <row r="954" ht="15.75" customHeight="1">
      <c r="A954" s="37"/>
      <c r="F954" s="39"/>
    </row>
    <row r="955" ht="15.75" customHeight="1">
      <c r="A955" s="37"/>
      <c r="F955" s="39"/>
    </row>
    <row r="956" ht="15.75" customHeight="1">
      <c r="A956" s="37"/>
      <c r="F956" s="39"/>
    </row>
    <row r="957" ht="15.75" customHeight="1">
      <c r="A957" s="37"/>
      <c r="F957" s="39"/>
    </row>
    <row r="958" ht="15.75" customHeight="1">
      <c r="A958" s="37"/>
      <c r="F958" s="39"/>
    </row>
    <row r="959" ht="15.75" customHeight="1">
      <c r="A959" s="37"/>
      <c r="F959" s="39"/>
    </row>
    <row r="960" ht="15.75" customHeight="1">
      <c r="A960" s="37"/>
      <c r="F960" s="39"/>
    </row>
    <row r="961" ht="15.75" customHeight="1">
      <c r="A961" s="37"/>
      <c r="F961" s="39"/>
    </row>
    <row r="962" ht="15.75" customHeight="1">
      <c r="A962" s="37"/>
      <c r="F962" s="39"/>
    </row>
    <row r="963" ht="15.75" customHeight="1">
      <c r="A963" s="37"/>
      <c r="F963" s="39"/>
    </row>
    <row r="964" ht="15.75" customHeight="1">
      <c r="A964" s="37"/>
      <c r="F964" s="39"/>
    </row>
    <row r="965" ht="15.75" customHeight="1">
      <c r="A965" s="37"/>
      <c r="F965" s="39"/>
    </row>
    <row r="966" ht="15.75" customHeight="1">
      <c r="A966" s="37"/>
      <c r="F966" s="39"/>
    </row>
    <row r="967" ht="15.75" customHeight="1">
      <c r="A967" s="37"/>
      <c r="F967" s="39"/>
    </row>
    <row r="968" ht="15.75" customHeight="1">
      <c r="A968" s="37"/>
      <c r="F968" s="39"/>
    </row>
    <row r="969" ht="15.75" customHeight="1">
      <c r="A969" s="37"/>
      <c r="F969" s="39"/>
    </row>
    <row r="970" ht="15.75" customHeight="1">
      <c r="A970" s="37"/>
      <c r="F970" s="39"/>
    </row>
    <row r="971" ht="15.75" customHeight="1">
      <c r="A971" s="37"/>
      <c r="F971" s="39"/>
    </row>
    <row r="972" ht="15.75" customHeight="1">
      <c r="A972" s="37"/>
      <c r="F972" s="39"/>
    </row>
    <row r="973" ht="15.75" customHeight="1">
      <c r="A973" s="37"/>
      <c r="F973" s="39"/>
    </row>
    <row r="974" ht="15.75" customHeight="1">
      <c r="A974" s="37"/>
      <c r="F974" s="39"/>
    </row>
    <row r="975" ht="15.75" customHeight="1">
      <c r="A975" s="37"/>
      <c r="F975" s="39"/>
    </row>
    <row r="976" ht="15.75" customHeight="1">
      <c r="A976" s="37"/>
      <c r="F976" s="39"/>
    </row>
    <row r="977" ht="15.75" customHeight="1">
      <c r="A977" s="37"/>
      <c r="F977" s="39"/>
    </row>
    <row r="978" ht="15.75" customHeight="1">
      <c r="A978" s="37"/>
      <c r="F978" s="39"/>
    </row>
    <row r="979" ht="15.75" customHeight="1">
      <c r="A979" s="37"/>
      <c r="F979" s="39"/>
    </row>
    <row r="980" ht="15.75" customHeight="1">
      <c r="A980" s="37"/>
      <c r="F980" s="39"/>
    </row>
    <row r="981" ht="15.75" customHeight="1">
      <c r="A981" s="37"/>
      <c r="F981" s="39"/>
    </row>
    <row r="982" ht="15.75" customHeight="1">
      <c r="A982" s="37"/>
      <c r="F982" s="39"/>
    </row>
    <row r="983" ht="15.75" customHeight="1">
      <c r="A983" s="37"/>
      <c r="F983" s="39"/>
    </row>
    <row r="984" ht="15.75" customHeight="1">
      <c r="A984" s="37"/>
      <c r="F984" s="39"/>
    </row>
    <row r="985" ht="15.75" customHeight="1">
      <c r="A985" s="37"/>
      <c r="F985" s="39"/>
    </row>
    <row r="986" ht="15.75" customHeight="1">
      <c r="A986" s="37"/>
      <c r="F986" s="39"/>
    </row>
    <row r="987" ht="15.75" customHeight="1">
      <c r="A987" s="37"/>
      <c r="F987" s="39"/>
    </row>
    <row r="988" ht="15.75" customHeight="1">
      <c r="A988" s="37"/>
      <c r="F988" s="39"/>
    </row>
    <row r="989" ht="15.75" customHeight="1">
      <c r="A989" s="37"/>
      <c r="F989" s="39"/>
    </row>
    <row r="990" ht="15.75" customHeight="1">
      <c r="A990" s="37"/>
      <c r="F990" s="39"/>
    </row>
    <row r="991" ht="15.75" customHeight="1">
      <c r="A991" s="37"/>
      <c r="F991" s="39"/>
    </row>
    <row r="992" ht="15.75" customHeight="1">
      <c r="A992" s="37"/>
      <c r="F992" s="39"/>
    </row>
    <row r="993" ht="15.75" customHeight="1">
      <c r="A993" s="37"/>
      <c r="F993" s="39"/>
    </row>
    <row r="994" ht="15.75" customHeight="1">
      <c r="A994" s="37"/>
      <c r="F994" s="39"/>
    </row>
    <row r="995" ht="15.75" customHeight="1">
      <c r="A995" s="37"/>
      <c r="F995" s="39"/>
    </row>
    <row r="996" ht="15.75" customHeight="1">
      <c r="A996" s="37"/>
      <c r="F996" s="39"/>
    </row>
    <row r="997" ht="15.75" customHeight="1">
      <c r="A997" s="37"/>
      <c r="F997" s="3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57"/>
    <col customWidth="1" min="3" max="3" width="177.43"/>
    <col customWidth="1" min="4" max="4" width="20.71"/>
    <col customWidth="1" min="5" max="5" width="14.43"/>
    <col customWidth="1" min="6" max="6" width="8.71"/>
  </cols>
  <sheetData>
    <row r="1" ht="12.75" customHeight="1">
      <c r="A1" s="40" t="s">
        <v>33</v>
      </c>
      <c r="B1" s="41" t="s">
        <v>139</v>
      </c>
      <c r="C1" s="42" t="s">
        <v>140</v>
      </c>
      <c r="D1" s="43"/>
    </row>
    <row r="2" ht="12.75" customHeight="1">
      <c r="A2" s="44">
        <f>IFERROR(__xludf.DUMMYFUNCTION("ARRAYFORMULA(
  QUERY(
    SPLIT(
      FLATTEN(
        {
          UNIQUE(Decisions!A2:A1000)&amp;""♦true"",
          UNIQUE(Decisions!A2:A1000)&amp;""♦false""
        }
      ),
      ""♦""
    ),
    ""where Col1 is not null"",
    0
  )
)
"),1.0)</f>
        <v>1</v>
      </c>
      <c r="B2" s="45" t="b">
        <f>IFERROR(__xludf.DUMMYFUNCTION("""COMPUTED_VALUE"""),TRUE)</f>
        <v>1</v>
      </c>
      <c r="C2" s="11" t="s">
        <v>141</v>
      </c>
    </row>
    <row r="3" ht="12.75" customHeight="1">
      <c r="A3" s="44">
        <f>IFERROR(__xludf.DUMMYFUNCTION("""COMPUTED_VALUE"""),1.0)</f>
        <v>1</v>
      </c>
      <c r="B3" s="45" t="b">
        <f>IFERROR(__xludf.DUMMYFUNCTION("""COMPUTED_VALUE"""),FALSE)</f>
        <v>0</v>
      </c>
      <c r="C3" s="46"/>
    </row>
    <row r="4" ht="12.75" customHeight="1">
      <c r="A4" s="44">
        <f>IFERROR(__xludf.DUMMYFUNCTION("""COMPUTED_VALUE"""),2.0)</f>
        <v>2</v>
      </c>
      <c r="B4" s="45" t="b">
        <f>IFERROR(__xludf.DUMMYFUNCTION("""COMPUTED_VALUE"""),TRUE)</f>
        <v>1</v>
      </c>
      <c r="C4" s="11" t="s">
        <v>142</v>
      </c>
    </row>
    <row r="5" ht="12.75" customHeight="1">
      <c r="A5" s="44">
        <f>IFERROR(__xludf.DUMMYFUNCTION("""COMPUTED_VALUE"""),2.0)</f>
        <v>2</v>
      </c>
      <c r="B5" s="45" t="b">
        <f>IFERROR(__xludf.DUMMYFUNCTION("""COMPUTED_VALUE"""),FALSE)</f>
        <v>0</v>
      </c>
      <c r="C5" s="46"/>
    </row>
    <row r="6" ht="12.75" customHeight="1">
      <c r="A6" s="44">
        <f>IFERROR(__xludf.DUMMYFUNCTION("""COMPUTED_VALUE"""),3.0)</f>
        <v>3</v>
      </c>
      <c r="B6" s="45" t="b">
        <f>IFERROR(__xludf.DUMMYFUNCTION("""COMPUTED_VALUE"""),TRUE)</f>
        <v>1</v>
      </c>
      <c r="C6" s="11" t="s">
        <v>143</v>
      </c>
    </row>
    <row r="7" ht="12.75" customHeight="1">
      <c r="A7" s="44">
        <f>IFERROR(__xludf.DUMMYFUNCTION("""COMPUTED_VALUE"""),3.0)</f>
        <v>3</v>
      </c>
      <c r="B7" s="45" t="b">
        <f>IFERROR(__xludf.DUMMYFUNCTION("""COMPUTED_VALUE"""),FALSE)</f>
        <v>0</v>
      </c>
      <c r="C7" s="46"/>
    </row>
    <row r="8" ht="12.75" customHeight="1">
      <c r="A8" s="44">
        <f>IFERROR(__xludf.DUMMYFUNCTION("""COMPUTED_VALUE"""),4.0)</f>
        <v>4</v>
      </c>
      <c r="B8" s="45" t="b">
        <f>IFERROR(__xludf.DUMMYFUNCTION("""COMPUTED_VALUE"""),TRUE)</f>
        <v>1</v>
      </c>
      <c r="C8" s="11" t="s">
        <v>144</v>
      </c>
      <c r="D8" s="47"/>
    </row>
    <row r="9" ht="12.75" customHeight="1">
      <c r="A9" s="44">
        <f>IFERROR(__xludf.DUMMYFUNCTION("""COMPUTED_VALUE"""),4.0)</f>
        <v>4</v>
      </c>
      <c r="B9" s="45" t="b">
        <f>IFERROR(__xludf.DUMMYFUNCTION("""COMPUTED_VALUE"""),FALSE)</f>
        <v>0</v>
      </c>
      <c r="C9" s="48"/>
      <c r="D9" s="47"/>
    </row>
    <row r="10" ht="12.75" customHeight="1">
      <c r="A10" s="44">
        <f>IFERROR(__xludf.DUMMYFUNCTION("""COMPUTED_VALUE"""),5.0)</f>
        <v>5</v>
      </c>
      <c r="B10" s="45" t="b">
        <f>IFERROR(__xludf.DUMMYFUNCTION("""COMPUTED_VALUE"""),TRUE)</f>
        <v>1</v>
      </c>
      <c r="C10" s="11" t="s">
        <v>145</v>
      </c>
    </row>
    <row r="11" ht="12.75" customHeight="1">
      <c r="A11" s="44">
        <f>IFERROR(__xludf.DUMMYFUNCTION("""COMPUTED_VALUE"""),5.0)</f>
        <v>5</v>
      </c>
      <c r="B11" s="45" t="b">
        <f>IFERROR(__xludf.DUMMYFUNCTION("""COMPUTED_VALUE"""),FALSE)</f>
        <v>0</v>
      </c>
      <c r="C11" s="46"/>
    </row>
    <row r="12" ht="12.75" customHeight="1">
      <c r="A12" s="44">
        <f>IFERROR(__xludf.DUMMYFUNCTION("""COMPUTED_VALUE"""),6.0)</f>
        <v>6</v>
      </c>
      <c r="B12" s="45" t="b">
        <f>IFERROR(__xludf.DUMMYFUNCTION("""COMPUTED_VALUE"""),TRUE)</f>
        <v>1</v>
      </c>
      <c r="C12" s="11" t="s">
        <v>146</v>
      </c>
      <c r="D12" s="47"/>
    </row>
    <row r="13" ht="12.75" customHeight="1">
      <c r="A13" s="44">
        <f>IFERROR(__xludf.DUMMYFUNCTION("""COMPUTED_VALUE"""),6.0)</f>
        <v>6</v>
      </c>
      <c r="B13" s="45" t="b">
        <f>IFERROR(__xludf.DUMMYFUNCTION("""COMPUTED_VALUE"""),FALSE)</f>
        <v>0</v>
      </c>
      <c r="C13" s="49"/>
    </row>
    <row r="14" ht="12.75" customHeight="1">
      <c r="A14" s="44">
        <f>IFERROR(__xludf.DUMMYFUNCTION("""COMPUTED_VALUE"""),7.0)</f>
        <v>7</v>
      </c>
      <c r="B14" s="45" t="b">
        <f>IFERROR(__xludf.DUMMYFUNCTION("""COMPUTED_VALUE"""),TRUE)</f>
        <v>1</v>
      </c>
      <c r="C14" s="11" t="s">
        <v>147</v>
      </c>
    </row>
    <row r="15" ht="12.75" customHeight="1">
      <c r="A15" s="44">
        <f>IFERROR(__xludf.DUMMYFUNCTION("""COMPUTED_VALUE"""),7.0)</f>
        <v>7</v>
      </c>
      <c r="B15" s="45" t="b">
        <f>IFERROR(__xludf.DUMMYFUNCTION("""COMPUTED_VALUE"""),FALSE)</f>
        <v>0</v>
      </c>
      <c r="C15" s="50"/>
    </row>
    <row r="16" ht="12.75" customHeight="1">
      <c r="A16" s="44">
        <f>IFERROR(__xludf.DUMMYFUNCTION("""COMPUTED_VALUE"""),8.0)</f>
        <v>8</v>
      </c>
      <c r="B16" s="45" t="b">
        <f>IFERROR(__xludf.DUMMYFUNCTION("""COMPUTED_VALUE"""),TRUE)</f>
        <v>1</v>
      </c>
      <c r="C16" s="11" t="s">
        <v>148</v>
      </c>
    </row>
    <row r="17" ht="12.75" customHeight="1">
      <c r="A17" s="44">
        <f>IFERROR(__xludf.DUMMYFUNCTION("""COMPUTED_VALUE"""),8.0)</f>
        <v>8</v>
      </c>
      <c r="B17" s="45" t="b">
        <f>IFERROR(__xludf.DUMMYFUNCTION("""COMPUTED_VALUE"""),FALSE)</f>
        <v>0</v>
      </c>
      <c r="C17" s="11" t="s">
        <v>149</v>
      </c>
    </row>
    <row r="18" ht="12.75" customHeight="1">
      <c r="A18" s="44">
        <f>IFERROR(__xludf.DUMMYFUNCTION("""COMPUTED_VALUE"""),9.0)</f>
        <v>9</v>
      </c>
      <c r="B18" s="45" t="b">
        <f>IFERROR(__xludf.DUMMYFUNCTION("""COMPUTED_VALUE"""),TRUE)</f>
        <v>1</v>
      </c>
      <c r="C18" s="11" t="s">
        <v>150</v>
      </c>
    </row>
    <row r="19" ht="12.75" customHeight="1">
      <c r="A19" s="44">
        <f>IFERROR(__xludf.DUMMYFUNCTION("""COMPUTED_VALUE"""),9.0)</f>
        <v>9</v>
      </c>
      <c r="B19" s="45" t="b">
        <f>IFERROR(__xludf.DUMMYFUNCTION("""COMPUTED_VALUE"""),FALSE)</f>
        <v>0</v>
      </c>
      <c r="C19" s="46"/>
    </row>
    <row r="20" ht="12.75" customHeight="1">
      <c r="A20" s="44">
        <f>IFERROR(__xludf.DUMMYFUNCTION("""COMPUTED_VALUE"""),10.0)</f>
        <v>10</v>
      </c>
      <c r="B20" s="45" t="b">
        <f>IFERROR(__xludf.DUMMYFUNCTION("""COMPUTED_VALUE"""),TRUE)</f>
        <v>1</v>
      </c>
      <c r="C20" s="11" t="s">
        <v>151</v>
      </c>
    </row>
    <row r="21" ht="12.75" customHeight="1">
      <c r="A21" s="44">
        <f>IFERROR(__xludf.DUMMYFUNCTION("""COMPUTED_VALUE"""),10.0)</f>
        <v>10</v>
      </c>
      <c r="B21" s="45" t="b">
        <f>IFERROR(__xludf.DUMMYFUNCTION("""COMPUTED_VALUE"""),FALSE)</f>
        <v>0</v>
      </c>
      <c r="C21" s="46"/>
    </row>
    <row r="22" ht="12.75" customHeight="1">
      <c r="A22" s="44">
        <f>IFERROR(__xludf.DUMMYFUNCTION("""COMPUTED_VALUE"""),11.0)</f>
        <v>11</v>
      </c>
      <c r="B22" s="45" t="b">
        <f>IFERROR(__xludf.DUMMYFUNCTION("""COMPUTED_VALUE"""),TRUE)</f>
        <v>1</v>
      </c>
      <c r="C22" s="11" t="s">
        <v>152</v>
      </c>
    </row>
    <row r="23" ht="12.75" customHeight="1">
      <c r="A23" s="44">
        <f>IFERROR(__xludf.DUMMYFUNCTION("""COMPUTED_VALUE"""),11.0)</f>
        <v>11</v>
      </c>
      <c r="B23" s="45" t="b">
        <f>IFERROR(__xludf.DUMMYFUNCTION("""COMPUTED_VALUE"""),FALSE)</f>
        <v>0</v>
      </c>
      <c r="C23" s="46"/>
    </row>
    <row r="24" ht="12.75" customHeight="1">
      <c r="A24" s="44">
        <f>IFERROR(__xludf.DUMMYFUNCTION("""COMPUTED_VALUE"""),12.0)</f>
        <v>12</v>
      </c>
      <c r="B24" s="45" t="b">
        <f>IFERROR(__xludf.DUMMYFUNCTION("""COMPUTED_VALUE"""),TRUE)</f>
        <v>1</v>
      </c>
      <c r="C24" s="11" t="s">
        <v>153</v>
      </c>
      <c r="D24" s="47"/>
    </row>
    <row r="25" ht="12.75" customHeight="1">
      <c r="A25" s="44">
        <f>IFERROR(__xludf.DUMMYFUNCTION("""COMPUTED_VALUE"""),12.0)</f>
        <v>12</v>
      </c>
      <c r="B25" s="45" t="b">
        <f>IFERROR(__xludf.DUMMYFUNCTION("""COMPUTED_VALUE"""),FALSE)</f>
        <v>0</v>
      </c>
      <c r="C25" s="48"/>
      <c r="D25" s="47"/>
    </row>
    <row r="26" ht="12.75" customHeight="1">
      <c r="A26" s="44">
        <f>IFERROR(__xludf.DUMMYFUNCTION("""COMPUTED_VALUE"""),13.0)</f>
        <v>13</v>
      </c>
      <c r="B26" s="45" t="b">
        <f>IFERROR(__xludf.DUMMYFUNCTION("""COMPUTED_VALUE"""),TRUE)</f>
        <v>1</v>
      </c>
      <c r="C26" s="11" t="s">
        <v>154</v>
      </c>
    </row>
    <row r="27" ht="12.75" customHeight="1">
      <c r="A27" s="44">
        <f>IFERROR(__xludf.DUMMYFUNCTION("""COMPUTED_VALUE"""),13.0)</f>
        <v>13</v>
      </c>
      <c r="B27" s="45" t="b">
        <f>IFERROR(__xludf.DUMMYFUNCTION("""COMPUTED_VALUE"""),FALSE)</f>
        <v>0</v>
      </c>
      <c r="C27" s="46"/>
    </row>
    <row r="28" ht="12.75" customHeight="1">
      <c r="A28" s="44">
        <f>IFERROR(__xludf.DUMMYFUNCTION("""COMPUTED_VALUE"""),14.0)</f>
        <v>14</v>
      </c>
      <c r="B28" s="45" t="b">
        <f>IFERROR(__xludf.DUMMYFUNCTION("""COMPUTED_VALUE"""),TRUE)</f>
        <v>1</v>
      </c>
      <c r="C28" s="11" t="s">
        <v>155</v>
      </c>
    </row>
    <row r="29" ht="12.75" customHeight="1">
      <c r="A29" s="44">
        <f>IFERROR(__xludf.DUMMYFUNCTION("""COMPUTED_VALUE"""),14.0)</f>
        <v>14</v>
      </c>
      <c r="B29" s="45" t="b">
        <f>IFERROR(__xludf.DUMMYFUNCTION("""COMPUTED_VALUE"""),FALSE)</f>
        <v>0</v>
      </c>
      <c r="C29" s="46"/>
    </row>
    <row r="30" ht="12.75" customHeight="1">
      <c r="A30" s="44">
        <f>IFERROR(__xludf.DUMMYFUNCTION("""COMPUTED_VALUE"""),15.0)</f>
        <v>15</v>
      </c>
      <c r="B30" s="45" t="b">
        <f>IFERROR(__xludf.DUMMYFUNCTION("""COMPUTED_VALUE"""),TRUE)</f>
        <v>1</v>
      </c>
      <c r="C30" s="11" t="s">
        <v>156</v>
      </c>
      <c r="D30" s="47"/>
    </row>
    <row r="31" ht="12.75" customHeight="1">
      <c r="A31" s="44">
        <f>IFERROR(__xludf.DUMMYFUNCTION("""COMPUTED_VALUE"""),15.0)</f>
        <v>15</v>
      </c>
      <c r="B31" s="45" t="b">
        <f>IFERROR(__xludf.DUMMYFUNCTION("""COMPUTED_VALUE"""),FALSE)</f>
        <v>0</v>
      </c>
      <c r="C31" s="11" t="s">
        <v>157</v>
      </c>
    </row>
    <row r="32" ht="12.75" customHeight="1">
      <c r="A32" s="44">
        <f>IFERROR(__xludf.DUMMYFUNCTION("""COMPUTED_VALUE"""),16.0)</f>
        <v>16</v>
      </c>
      <c r="B32" s="45" t="b">
        <f>IFERROR(__xludf.DUMMYFUNCTION("""COMPUTED_VALUE"""),TRUE)</f>
        <v>1</v>
      </c>
      <c r="C32" s="11" t="s">
        <v>158</v>
      </c>
    </row>
    <row r="33" ht="12.75" customHeight="1">
      <c r="A33" s="44">
        <f>IFERROR(__xludf.DUMMYFUNCTION("""COMPUTED_VALUE"""),16.0)</f>
        <v>16</v>
      </c>
      <c r="B33" s="45" t="b">
        <f>IFERROR(__xludf.DUMMYFUNCTION("""COMPUTED_VALUE"""),FALSE)</f>
        <v>0</v>
      </c>
      <c r="C33" s="51"/>
    </row>
    <row r="34" ht="12.75" customHeight="1">
      <c r="A34" s="44">
        <f>IFERROR(__xludf.DUMMYFUNCTION("""COMPUTED_VALUE"""),17.0)</f>
        <v>17</v>
      </c>
      <c r="B34" s="45" t="b">
        <f>IFERROR(__xludf.DUMMYFUNCTION("""COMPUTED_VALUE"""),TRUE)</f>
        <v>1</v>
      </c>
      <c r="C34" s="11" t="s">
        <v>159</v>
      </c>
      <c r="D34" s="47"/>
    </row>
    <row r="35" ht="12.75" customHeight="1">
      <c r="A35" s="44">
        <f>IFERROR(__xludf.DUMMYFUNCTION("""COMPUTED_VALUE"""),17.0)</f>
        <v>17</v>
      </c>
      <c r="B35" s="45" t="b">
        <f>IFERROR(__xludf.DUMMYFUNCTION("""COMPUTED_VALUE"""),FALSE)</f>
        <v>0</v>
      </c>
      <c r="C35" s="49"/>
    </row>
    <row r="36" ht="12.75" customHeight="1">
      <c r="A36" s="44">
        <f>IFERROR(__xludf.DUMMYFUNCTION("""COMPUTED_VALUE"""),18.0)</f>
        <v>18</v>
      </c>
      <c r="B36" s="45" t="b">
        <f>IFERROR(__xludf.DUMMYFUNCTION("""COMPUTED_VALUE"""),TRUE)</f>
        <v>1</v>
      </c>
      <c r="C36" s="11" t="s">
        <v>160</v>
      </c>
    </row>
    <row r="37" ht="12.75" customHeight="1">
      <c r="A37" s="44">
        <f>IFERROR(__xludf.DUMMYFUNCTION("""COMPUTED_VALUE"""),18.0)</f>
        <v>18</v>
      </c>
      <c r="B37" s="45" t="b">
        <f>IFERROR(__xludf.DUMMYFUNCTION("""COMPUTED_VALUE"""),FALSE)</f>
        <v>0</v>
      </c>
      <c r="C37" s="46"/>
    </row>
    <row r="38" ht="12.75" customHeight="1">
      <c r="A38" s="44">
        <f>IFERROR(__xludf.DUMMYFUNCTION("""COMPUTED_VALUE"""),19.0)</f>
        <v>19</v>
      </c>
      <c r="B38" s="45" t="b">
        <f>IFERROR(__xludf.DUMMYFUNCTION("""COMPUTED_VALUE"""),TRUE)</f>
        <v>1</v>
      </c>
      <c r="C38" s="11" t="s">
        <v>161</v>
      </c>
    </row>
    <row r="39" ht="12.75" customHeight="1">
      <c r="A39" s="44">
        <f>IFERROR(__xludf.DUMMYFUNCTION("""COMPUTED_VALUE"""),19.0)</f>
        <v>19</v>
      </c>
      <c r="B39" s="45" t="b">
        <f>IFERROR(__xludf.DUMMYFUNCTION("""COMPUTED_VALUE"""),FALSE)</f>
        <v>0</v>
      </c>
      <c r="C39" s="11" t="s">
        <v>162</v>
      </c>
    </row>
    <row r="40" ht="12.75" customHeight="1">
      <c r="A40" s="44">
        <f>IFERROR(__xludf.DUMMYFUNCTION("""COMPUTED_VALUE"""),20.0)</f>
        <v>20</v>
      </c>
      <c r="B40" s="45" t="b">
        <f>IFERROR(__xludf.DUMMYFUNCTION("""COMPUTED_VALUE"""),TRUE)</f>
        <v>1</v>
      </c>
      <c r="C40" s="11" t="s">
        <v>163</v>
      </c>
      <c r="D40" s="47"/>
    </row>
    <row r="41" ht="12.75" customHeight="1">
      <c r="A41" s="44">
        <f>IFERROR(__xludf.DUMMYFUNCTION("""COMPUTED_VALUE"""),20.0)</f>
        <v>20</v>
      </c>
      <c r="B41" s="45" t="b">
        <f>IFERROR(__xludf.DUMMYFUNCTION("""COMPUTED_VALUE"""),FALSE)</f>
        <v>0</v>
      </c>
      <c r="C41" s="49"/>
    </row>
    <row r="42" ht="12.75" customHeight="1">
      <c r="A42" s="44">
        <f>IFERROR(__xludf.DUMMYFUNCTION("""COMPUTED_VALUE"""),21.0)</f>
        <v>21</v>
      </c>
      <c r="B42" s="45" t="b">
        <f>IFERROR(__xludf.DUMMYFUNCTION("""COMPUTED_VALUE"""),TRUE)</f>
        <v>1</v>
      </c>
      <c r="C42" s="11" t="s">
        <v>164</v>
      </c>
      <c r="D42" s="47"/>
    </row>
    <row r="43" ht="12.75" customHeight="1">
      <c r="A43" s="44">
        <f>IFERROR(__xludf.DUMMYFUNCTION("""COMPUTED_VALUE"""),21.0)</f>
        <v>21</v>
      </c>
      <c r="B43" s="45" t="b">
        <f>IFERROR(__xludf.DUMMYFUNCTION("""COMPUTED_VALUE"""),FALSE)</f>
        <v>0</v>
      </c>
      <c r="C43" s="46"/>
    </row>
    <row r="44" ht="12.75" customHeight="1">
      <c r="A44" s="44">
        <f>IFERROR(__xludf.DUMMYFUNCTION("""COMPUTED_VALUE"""),22.0)</f>
        <v>22</v>
      </c>
      <c r="B44" s="45" t="b">
        <f>IFERROR(__xludf.DUMMYFUNCTION("""COMPUTED_VALUE"""),TRUE)</f>
        <v>1</v>
      </c>
      <c r="C44" s="11" t="s">
        <v>165</v>
      </c>
      <c r="D44" s="47"/>
    </row>
    <row r="45" ht="12.75" customHeight="1">
      <c r="A45" s="44">
        <f>IFERROR(__xludf.DUMMYFUNCTION("""COMPUTED_VALUE"""),22.0)</f>
        <v>22</v>
      </c>
      <c r="B45" s="45" t="b">
        <f>IFERROR(__xludf.DUMMYFUNCTION("""COMPUTED_VALUE"""),FALSE)</f>
        <v>0</v>
      </c>
      <c r="C45" s="49"/>
    </row>
    <row r="46" ht="12.75" customHeight="1">
      <c r="A46" s="44">
        <f>IFERROR(__xludf.DUMMYFUNCTION("""COMPUTED_VALUE"""),23.0)</f>
        <v>23</v>
      </c>
      <c r="B46" s="45" t="b">
        <f>IFERROR(__xludf.DUMMYFUNCTION("""COMPUTED_VALUE"""),TRUE)</f>
        <v>1</v>
      </c>
      <c r="C46" s="52" t="s">
        <v>166</v>
      </c>
      <c r="D46" s="47"/>
    </row>
    <row r="47" ht="12.75" customHeight="1">
      <c r="A47" s="44">
        <f>IFERROR(__xludf.DUMMYFUNCTION("""COMPUTED_VALUE"""),23.0)</f>
        <v>23</v>
      </c>
      <c r="B47" s="45" t="b">
        <f>IFERROR(__xludf.DUMMYFUNCTION("""COMPUTED_VALUE"""),FALSE)</f>
        <v>0</v>
      </c>
      <c r="C47" s="52" t="s">
        <v>167</v>
      </c>
    </row>
    <row r="48" ht="12.75" customHeight="1">
      <c r="A48" s="44">
        <f>IFERROR(__xludf.DUMMYFUNCTION("""COMPUTED_VALUE"""),24.0)</f>
        <v>24</v>
      </c>
      <c r="B48" s="45" t="b">
        <f>IFERROR(__xludf.DUMMYFUNCTION("""COMPUTED_VALUE"""),TRUE)</f>
        <v>1</v>
      </c>
      <c r="C48" s="27" t="s">
        <v>168</v>
      </c>
    </row>
    <row r="49" ht="12.75" customHeight="1">
      <c r="A49" s="44">
        <f>IFERROR(__xludf.DUMMYFUNCTION("""COMPUTED_VALUE"""),24.0)</f>
        <v>24</v>
      </c>
      <c r="B49" s="45" t="b">
        <f>IFERROR(__xludf.DUMMYFUNCTION("""COMPUTED_VALUE"""),FALSE)</f>
        <v>0</v>
      </c>
      <c r="C49" s="50"/>
    </row>
    <row r="50" ht="12.75" customHeight="1">
      <c r="A50" s="44">
        <f>IFERROR(__xludf.DUMMYFUNCTION("""COMPUTED_VALUE"""),25.0)</f>
        <v>25</v>
      </c>
      <c r="B50" s="45" t="b">
        <f>IFERROR(__xludf.DUMMYFUNCTION("""COMPUTED_VALUE"""),TRUE)</f>
        <v>1</v>
      </c>
      <c r="C50" s="27" t="s">
        <v>169</v>
      </c>
    </row>
    <row r="51" ht="12.75" customHeight="1">
      <c r="A51" s="44">
        <f>IFERROR(__xludf.DUMMYFUNCTION("""COMPUTED_VALUE"""),25.0)</f>
        <v>25</v>
      </c>
      <c r="B51" s="45" t="b">
        <f>IFERROR(__xludf.DUMMYFUNCTION("""COMPUTED_VALUE"""),FALSE)</f>
        <v>0</v>
      </c>
      <c r="C51" s="53"/>
    </row>
    <row r="52" ht="12.75" customHeight="1">
      <c r="A52" s="44">
        <f>IFERROR(__xludf.DUMMYFUNCTION("""COMPUTED_VALUE"""),26.0)</f>
        <v>26</v>
      </c>
      <c r="B52" s="45" t="b">
        <f>IFERROR(__xludf.DUMMYFUNCTION("""COMPUTED_VALUE"""),TRUE)</f>
        <v>1</v>
      </c>
      <c r="C52" s="27" t="s">
        <v>170</v>
      </c>
    </row>
    <row r="53" ht="12.75" customHeight="1">
      <c r="A53" s="44">
        <f>IFERROR(__xludf.DUMMYFUNCTION("""COMPUTED_VALUE"""),26.0)</f>
        <v>26</v>
      </c>
      <c r="B53" s="45" t="b">
        <f>IFERROR(__xludf.DUMMYFUNCTION("""COMPUTED_VALUE"""),FALSE)</f>
        <v>0</v>
      </c>
      <c r="C53" s="46"/>
      <c r="D53" s="47"/>
    </row>
    <row r="54" ht="12.75" customHeight="1">
      <c r="A54" s="44">
        <f>IFERROR(__xludf.DUMMYFUNCTION("""COMPUTED_VALUE"""),27.0)</f>
        <v>27</v>
      </c>
      <c r="B54" s="45" t="b">
        <f>IFERROR(__xludf.DUMMYFUNCTION("""COMPUTED_VALUE"""),TRUE)</f>
        <v>1</v>
      </c>
      <c r="C54" s="27" t="s">
        <v>171</v>
      </c>
      <c r="D54" s="47"/>
    </row>
    <row r="55" ht="12.75" customHeight="1">
      <c r="A55" s="44">
        <f>IFERROR(__xludf.DUMMYFUNCTION("""COMPUTED_VALUE"""),27.0)</f>
        <v>27</v>
      </c>
      <c r="B55" s="45" t="b">
        <f>IFERROR(__xludf.DUMMYFUNCTION("""COMPUTED_VALUE"""),FALSE)</f>
        <v>0</v>
      </c>
      <c r="C55" s="27" t="s">
        <v>172</v>
      </c>
      <c r="D55" s="47"/>
    </row>
    <row r="56" ht="12.75" customHeight="1">
      <c r="A56" s="44">
        <f>IFERROR(__xludf.DUMMYFUNCTION("""COMPUTED_VALUE"""),28.0)</f>
        <v>28</v>
      </c>
      <c r="B56" s="45" t="b">
        <f>IFERROR(__xludf.DUMMYFUNCTION("""COMPUTED_VALUE"""),TRUE)</f>
        <v>1</v>
      </c>
      <c r="C56" s="27" t="s">
        <v>173</v>
      </c>
    </row>
    <row r="57" ht="12.75" customHeight="1">
      <c r="A57" s="44">
        <f>IFERROR(__xludf.DUMMYFUNCTION("""COMPUTED_VALUE"""),28.0)</f>
        <v>28</v>
      </c>
      <c r="B57" s="45" t="b">
        <f>IFERROR(__xludf.DUMMYFUNCTION("""COMPUTED_VALUE"""),FALSE)</f>
        <v>0</v>
      </c>
      <c r="C57" s="48"/>
    </row>
    <row r="58" ht="12.75" customHeight="1">
      <c r="A58" s="44">
        <f>IFERROR(__xludf.DUMMYFUNCTION("""COMPUTED_VALUE"""),29.0)</f>
        <v>29</v>
      </c>
      <c r="B58" s="45" t="b">
        <f>IFERROR(__xludf.DUMMYFUNCTION("""COMPUTED_VALUE"""),TRUE)</f>
        <v>1</v>
      </c>
      <c r="C58" s="27" t="s">
        <v>174</v>
      </c>
    </row>
    <row r="59" ht="12.75" customHeight="1">
      <c r="A59" s="44">
        <f>IFERROR(__xludf.DUMMYFUNCTION("""COMPUTED_VALUE"""),29.0)</f>
        <v>29</v>
      </c>
      <c r="B59" s="45" t="b">
        <f>IFERROR(__xludf.DUMMYFUNCTION("""COMPUTED_VALUE"""),FALSE)</f>
        <v>0</v>
      </c>
      <c r="C59" s="46"/>
    </row>
    <row r="60" ht="12.75" customHeight="1">
      <c r="A60" s="44">
        <f>IFERROR(__xludf.DUMMYFUNCTION("""COMPUTED_VALUE"""),30.0)</f>
        <v>30</v>
      </c>
      <c r="B60" s="45" t="b">
        <f>IFERROR(__xludf.DUMMYFUNCTION("""COMPUTED_VALUE"""),TRUE)</f>
        <v>1</v>
      </c>
      <c r="C60" s="27" t="s">
        <v>175</v>
      </c>
    </row>
    <row r="61" ht="12.75" customHeight="1">
      <c r="A61" s="44">
        <f>IFERROR(__xludf.DUMMYFUNCTION("""COMPUTED_VALUE"""),30.0)</f>
        <v>30</v>
      </c>
      <c r="B61" s="45" t="b">
        <f>IFERROR(__xludf.DUMMYFUNCTION("""COMPUTED_VALUE"""),FALSE)</f>
        <v>0</v>
      </c>
      <c r="C61" s="27" t="s">
        <v>176</v>
      </c>
    </row>
    <row r="62" ht="12.75" customHeight="1">
      <c r="A62" s="44">
        <f>IFERROR(__xludf.DUMMYFUNCTION("""COMPUTED_VALUE"""),31.0)</f>
        <v>31</v>
      </c>
      <c r="B62" s="45" t="b">
        <f>IFERROR(__xludf.DUMMYFUNCTION("""COMPUTED_VALUE"""),TRUE)</f>
        <v>1</v>
      </c>
      <c r="C62" s="27" t="s">
        <v>177</v>
      </c>
    </row>
    <row r="63" ht="12.75" customHeight="1">
      <c r="A63" s="44">
        <f>IFERROR(__xludf.DUMMYFUNCTION("""COMPUTED_VALUE"""),31.0)</f>
        <v>31</v>
      </c>
      <c r="B63" s="45" t="b">
        <f>IFERROR(__xludf.DUMMYFUNCTION("""COMPUTED_VALUE"""),FALSE)</f>
        <v>0</v>
      </c>
      <c r="C63" s="46"/>
    </row>
    <row r="64" ht="12.75" customHeight="1">
      <c r="A64" s="44">
        <f>IFERROR(__xludf.DUMMYFUNCTION("""COMPUTED_VALUE"""),32.0)</f>
        <v>32</v>
      </c>
      <c r="B64" s="45" t="b">
        <f>IFERROR(__xludf.DUMMYFUNCTION("""COMPUTED_VALUE"""),TRUE)</f>
        <v>1</v>
      </c>
      <c r="C64" s="27" t="s">
        <v>178</v>
      </c>
    </row>
    <row r="65" ht="12.75" customHeight="1">
      <c r="A65" s="44">
        <f>IFERROR(__xludf.DUMMYFUNCTION("""COMPUTED_VALUE"""),32.0)</f>
        <v>32</v>
      </c>
      <c r="B65" s="45" t="b">
        <f>IFERROR(__xludf.DUMMYFUNCTION("""COMPUTED_VALUE"""),FALSE)</f>
        <v>0</v>
      </c>
      <c r="C65" s="46"/>
    </row>
    <row r="66" ht="12.75" customHeight="1">
      <c r="A66" s="44">
        <f>IFERROR(__xludf.DUMMYFUNCTION("""COMPUTED_VALUE"""),33.0)</f>
        <v>33</v>
      </c>
      <c r="B66" s="45" t="b">
        <f>IFERROR(__xludf.DUMMYFUNCTION("""COMPUTED_VALUE"""),TRUE)</f>
        <v>1</v>
      </c>
      <c r="C66" s="27" t="s">
        <v>179</v>
      </c>
    </row>
    <row r="67" ht="12.75" customHeight="1">
      <c r="A67" s="54">
        <f>IFERROR(__xludf.DUMMYFUNCTION("""COMPUTED_VALUE"""),33.0)</f>
        <v>33</v>
      </c>
      <c r="B67" s="55" t="b">
        <f>IFERROR(__xludf.DUMMYFUNCTION("""COMPUTED_VALUE"""),FALSE)</f>
        <v>0</v>
      </c>
      <c r="C67" s="48"/>
    </row>
    <row r="68" ht="12.75" customHeight="1">
      <c r="A68" s="54">
        <f>IFERROR(__xludf.DUMMYFUNCTION("""COMPUTED_VALUE"""),34.0)</f>
        <v>34</v>
      </c>
      <c r="B68" s="55" t="b">
        <f>IFERROR(__xludf.DUMMYFUNCTION("""COMPUTED_VALUE"""),TRUE)</f>
        <v>1</v>
      </c>
      <c r="C68" s="27" t="s">
        <v>180</v>
      </c>
    </row>
    <row r="69" ht="12.75" customHeight="1">
      <c r="A69" s="54">
        <f>IFERROR(__xludf.DUMMYFUNCTION("""COMPUTED_VALUE"""),34.0)</f>
        <v>34</v>
      </c>
      <c r="B69" s="55" t="b">
        <f>IFERROR(__xludf.DUMMYFUNCTION("""COMPUTED_VALUE"""),FALSE)</f>
        <v>0</v>
      </c>
      <c r="C69" s="27" t="s">
        <v>181</v>
      </c>
    </row>
    <row r="70" ht="12.75" customHeight="1">
      <c r="A70" s="54">
        <f>IFERROR(__xludf.DUMMYFUNCTION("""COMPUTED_VALUE"""),35.0)</f>
        <v>35</v>
      </c>
      <c r="B70" s="55" t="b">
        <f>IFERROR(__xludf.DUMMYFUNCTION("""COMPUTED_VALUE"""),TRUE)</f>
        <v>1</v>
      </c>
      <c r="C70" s="27" t="s">
        <v>182</v>
      </c>
    </row>
    <row r="71" ht="12.75" customHeight="1">
      <c r="A71" s="54">
        <f>IFERROR(__xludf.DUMMYFUNCTION("""COMPUTED_VALUE"""),35.0)</f>
        <v>35</v>
      </c>
      <c r="B71" s="55" t="b">
        <f>IFERROR(__xludf.DUMMYFUNCTION("""COMPUTED_VALUE"""),FALSE)</f>
        <v>0</v>
      </c>
      <c r="C71" s="56"/>
    </row>
    <row r="72" ht="12.75" customHeight="1">
      <c r="A72" s="54">
        <f>IFERROR(__xludf.DUMMYFUNCTION("""COMPUTED_VALUE"""),36.0)</f>
        <v>36</v>
      </c>
      <c r="B72" s="55" t="b">
        <f>IFERROR(__xludf.DUMMYFUNCTION("""COMPUTED_VALUE"""),TRUE)</f>
        <v>1</v>
      </c>
      <c r="C72" s="27" t="s">
        <v>183</v>
      </c>
    </row>
    <row r="73" ht="12.75" customHeight="1">
      <c r="A73" s="54">
        <f>IFERROR(__xludf.DUMMYFUNCTION("""COMPUTED_VALUE"""),36.0)</f>
        <v>36</v>
      </c>
      <c r="B73" s="55" t="b">
        <f>IFERROR(__xludf.DUMMYFUNCTION("""COMPUTED_VALUE"""),FALSE)</f>
        <v>0</v>
      </c>
      <c r="C73" s="27" t="s">
        <v>184</v>
      </c>
    </row>
    <row r="74" ht="12.75" customHeight="1">
      <c r="A74" s="54">
        <f>IFERROR(__xludf.DUMMYFUNCTION("""COMPUTED_VALUE"""),37.0)</f>
        <v>37</v>
      </c>
      <c r="B74" s="55" t="b">
        <f>IFERROR(__xludf.DUMMYFUNCTION("""COMPUTED_VALUE"""),TRUE)</f>
        <v>1</v>
      </c>
      <c r="C74" s="27" t="s">
        <v>185</v>
      </c>
    </row>
    <row r="75" ht="12.75" customHeight="1">
      <c r="A75" s="54">
        <f>IFERROR(__xludf.DUMMYFUNCTION("""COMPUTED_VALUE"""),37.0)</f>
        <v>37</v>
      </c>
      <c r="B75" s="55" t="b">
        <f>IFERROR(__xludf.DUMMYFUNCTION("""COMPUTED_VALUE"""),FALSE)</f>
        <v>0</v>
      </c>
      <c r="C75" s="57"/>
    </row>
    <row r="76" ht="12.75" customHeight="1">
      <c r="A76" s="54">
        <f>IFERROR(__xludf.DUMMYFUNCTION("""COMPUTED_VALUE"""),38.0)</f>
        <v>38</v>
      </c>
      <c r="B76" s="55" t="b">
        <f>IFERROR(__xludf.DUMMYFUNCTION("""COMPUTED_VALUE"""),TRUE)</f>
        <v>1</v>
      </c>
      <c r="C76" s="27" t="s">
        <v>186</v>
      </c>
    </row>
    <row r="77" ht="12.75" customHeight="1">
      <c r="A77" s="54">
        <f>IFERROR(__xludf.DUMMYFUNCTION("""COMPUTED_VALUE"""),38.0)</f>
        <v>38</v>
      </c>
      <c r="B77" s="55" t="b">
        <f>IFERROR(__xludf.DUMMYFUNCTION("""COMPUTED_VALUE"""),FALSE)</f>
        <v>0</v>
      </c>
      <c r="C77" s="48"/>
    </row>
    <row r="78" ht="12.75" customHeight="1">
      <c r="A78" s="54">
        <f>IFERROR(__xludf.DUMMYFUNCTION("""COMPUTED_VALUE"""),39.0)</f>
        <v>39</v>
      </c>
      <c r="B78" s="55" t="b">
        <f>IFERROR(__xludf.DUMMYFUNCTION("""COMPUTED_VALUE"""),TRUE)</f>
        <v>1</v>
      </c>
      <c r="C78" s="27" t="s">
        <v>187</v>
      </c>
    </row>
    <row r="79" ht="12.75" customHeight="1">
      <c r="A79" s="54">
        <f>IFERROR(__xludf.DUMMYFUNCTION("""COMPUTED_VALUE"""),39.0)</f>
        <v>39</v>
      </c>
      <c r="B79" s="55" t="b">
        <f>IFERROR(__xludf.DUMMYFUNCTION("""COMPUTED_VALUE"""),FALSE)</f>
        <v>0</v>
      </c>
      <c r="C79" s="27" t="s">
        <v>188</v>
      </c>
    </row>
    <row r="80" ht="12.75" customHeight="1">
      <c r="A80" s="54">
        <f>IFERROR(__xludf.DUMMYFUNCTION("""COMPUTED_VALUE"""),40.0)</f>
        <v>40</v>
      </c>
      <c r="B80" s="55" t="b">
        <f>IFERROR(__xludf.DUMMYFUNCTION("""COMPUTED_VALUE"""),TRUE)</f>
        <v>1</v>
      </c>
      <c r="C80" s="27" t="s">
        <v>189</v>
      </c>
    </row>
    <row r="81" ht="12.75" customHeight="1">
      <c r="A81" s="54">
        <f>IFERROR(__xludf.DUMMYFUNCTION("""COMPUTED_VALUE"""),40.0)</f>
        <v>40</v>
      </c>
      <c r="B81" s="55" t="b">
        <f>IFERROR(__xludf.DUMMYFUNCTION("""COMPUTED_VALUE"""),FALSE)</f>
        <v>0</v>
      </c>
      <c r="C81" s="57"/>
    </row>
    <row r="82" ht="12.75" customHeight="1">
      <c r="A82" s="54">
        <f>IFERROR(__xludf.DUMMYFUNCTION("""COMPUTED_VALUE"""),41.0)</f>
        <v>41</v>
      </c>
      <c r="B82" s="55" t="b">
        <f>IFERROR(__xludf.DUMMYFUNCTION("""COMPUTED_VALUE"""),TRUE)</f>
        <v>1</v>
      </c>
      <c r="C82" s="27" t="s">
        <v>190</v>
      </c>
    </row>
    <row r="83" ht="12.75" customHeight="1">
      <c r="A83" s="54">
        <f>IFERROR(__xludf.DUMMYFUNCTION("""COMPUTED_VALUE"""),41.0)</f>
        <v>41</v>
      </c>
      <c r="B83" s="55" t="b">
        <f>IFERROR(__xludf.DUMMYFUNCTION("""COMPUTED_VALUE"""),FALSE)</f>
        <v>0</v>
      </c>
      <c r="C83" s="57"/>
    </row>
    <row r="84" ht="12.75" customHeight="1">
      <c r="A84" s="54">
        <f>IFERROR(__xludf.DUMMYFUNCTION("""COMPUTED_VALUE"""),42.0)</f>
        <v>42</v>
      </c>
      <c r="B84" s="55" t="b">
        <f>IFERROR(__xludf.DUMMYFUNCTION("""COMPUTED_VALUE"""),TRUE)</f>
        <v>1</v>
      </c>
      <c r="C84" s="27" t="s">
        <v>191</v>
      </c>
    </row>
    <row r="85" ht="12.75" customHeight="1">
      <c r="A85" s="54">
        <f>IFERROR(__xludf.DUMMYFUNCTION("""COMPUTED_VALUE"""),42.0)</f>
        <v>42</v>
      </c>
      <c r="B85" s="55" t="b">
        <f>IFERROR(__xludf.DUMMYFUNCTION("""COMPUTED_VALUE"""),FALSE)</f>
        <v>0</v>
      </c>
      <c r="C85" s="57"/>
    </row>
    <row r="86" ht="12.75" customHeight="1">
      <c r="A86" s="54">
        <f>IFERROR(__xludf.DUMMYFUNCTION("""COMPUTED_VALUE"""),43.0)</f>
        <v>43</v>
      </c>
      <c r="B86" s="55" t="b">
        <f>IFERROR(__xludf.DUMMYFUNCTION("""COMPUTED_VALUE"""),TRUE)</f>
        <v>1</v>
      </c>
      <c r="C86" s="27" t="s">
        <v>192</v>
      </c>
    </row>
    <row r="87" ht="12.75" customHeight="1">
      <c r="A87" s="54">
        <f>IFERROR(__xludf.DUMMYFUNCTION("""COMPUTED_VALUE"""),43.0)</f>
        <v>43</v>
      </c>
      <c r="B87" s="55" t="b">
        <f>IFERROR(__xludf.DUMMYFUNCTION("""COMPUTED_VALUE"""),FALSE)</f>
        <v>0</v>
      </c>
      <c r="C87" s="57"/>
    </row>
    <row r="88" ht="12.75" customHeight="1">
      <c r="A88" s="54"/>
      <c r="C88" s="57"/>
    </row>
    <row r="89" ht="12.75" customHeight="1">
      <c r="A89" s="54"/>
      <c r="C89" s="57"/>
    </row>
    <row r="90" ht="12.75" customHeight="1">
      <c r="A90" s="54"/>
      <c r="C90" s="57"/>
    </row>
    <row r="91" ht="12.75" customHeight="1">
      <c r="A91" s="54"/>
      <c r="C91" s="57"/>
    </row>
    <row r="92" ht="12.75" customHeight="1">
      <c r="A92" s="54"/>
      <c r="C92" s="57"/>
    </row>
    <row r="93" ht="12.75" customHeight="1">
      <c r="A93" s="54"/>
      <c r="C93" s="57"/>
    </row>
    <row r="94" ht="12.75" customHeight="1">
      <c r="A94" s="54"/>
      <c r="C94" s="57"/>
    </row>
    <row r="95" ht="12.75" customHeight="1">
      <c r="A95" s="54"/>
      <c r="C95" s="57"/>
    </row>
    <row r="96" ht="12.75" customHeight="1">
      <c r="A96" s="54"/>
      <c r="C96" s="57"/>
    </row>
    <row r="97" ht="12.75" customHeight="1">
      <c r="A97" s="54"/>
      <c r="C97" s="57"/>
    </row>
    <row r="98" ht="12.75" customHeight="1">
      <c r="A98" s="54"/>
      <c r="C98" s="57"/>
    </row>
    <row r="99" ht="12.75" customHeight="1">
      <c r="A99" s="54"/>
      <c r="C99" s="57"/>
    </row>
    <row r="100" ht="12.75" customHeight="1">
      <c r="A100" s="54"/>
      <c r="C100" s="57"/>
    </row>
    <row r="101" ht="12.75" customHeight="1">
      <c r="A101" s="54"/>
      <c r="C101" s="57"/>
    </row>
    <row r="102" ht="12.75" customHeight="1">
      <c r="A102" s="54"/>
      <c r="C102" s="57"/>
    </row>
    <row r="103" ht="12.75" customHeight="1">
      <c r="A103" s="54"/>
      <c r="C103" s="57"/>
    </row>
    <row r="104" ht="12.75" customHeight="1">
      <c r="A104" s="54"/>
      <c r="C104" s="57"/>
    </row>
    <row r="105" ht="12.75" customHeight="1">
      <c r="A105" s="54"/>
      <c r="C105" s="57"/>
    </row>
    <row r="106" ht="12.75" customHeight="1">
      <c r="A106" s="54"/>
      <c r="C106" s="57"/>
    </row>
    <row r="107" ht="12.75" customHeight="1">
      <c r="A107" s="54"/>
      <c r="C107" s="57"/>
    </row>
    <row r="108" ht="12.75" customHeight="1">
      <c r="A108" s="54"/>
      <c r="C108" s="57"/>
    </row>
    <row r="109" ht="12.75" customHeight="1">
      <c r="A109" s="54"/>
      <c r="C109" s="57"/>
    </row>
    <row r="110" ht="12.75" customHeight="1">
      <c r="A110" s="54"/>
      <c r="C110" s="57"/>
    </row>
    <row r="111" ht="12.75" customHeight="1">
      <c r="A111" s="54"/>
      <c r="C111" s="57"/>
    </row>
    <row r="112" ht="12.75" customHeight="1">
      <c r="A112" s="54"/>
      <c r="C112" s="57"/>
    </row>
    <row r="113" ht="12.75" customHeight="1">
      <c r="A113" s="54"/>
      <c r="C113" s="57"/>
    </row>
    <row r="114" ht="12.75" customHeight="1">
      <c r="A114" s="54"/>
      <c r="C114" s="57"/>
    </row>
    <row r="115" ht="12.75" customHeight="1">
      <c r="A115" s="54"/>
      <c r="C115" s="57"/>
    </row>
    <row r="116" ht="12.75" customHeight="1">
      <c r="A116" s="54"/>
      <c r="C116" s="57"/>
    </row>
    <row r="117" ht="12.75" customHeight="1">
      <c r="A117" s="54"/>
      <c r="C117" s="57"/>
    </row>
    <row r="118" ht="12.75" customHeight="1">
      <c r="A118" s="54"/>
      <c r="C118" s="57"/>
    </row>
    <row r="119" ht="12.75" customHeight="1">
      <c r="A119" s="54"/>
      <c r="C119" s="57"/>
    </row>
    <row r="120" ht="12.75" customHeight="1">
      <c r="A120" s="54"/>
      <c r="C120" s="57"/>
    </row>
    <row r="121" ht="12.75" customHeight="1">
      <c r="A121" s="54"/>
      <c r="C121" s="57"/>
    </row>
    <row r="122" ht="12.75" customHeight="1">
      <c r="A122" s="54"/>
      <c r="C122" s="57"/>
    </row>
    <row r="123" ht="12.75" customHeight="1">
      <c r="A123" s="54"/>
      <c r="C123" s="57"/>
    </row>
    <row r="124" ht="12.75" customHeight="1">
      <c r="A124" s="54"/>
      <c r="C124" s="57"/>
    </row>
    <row r="125" ht="12.75" customHeight="1">
      <c r="A125" s="54"/>
      <c r="C125" s="57"/>
    </row>
    <row r="126" ht="12.75" customHeight="1">
      <c r="A126" s="54"/>
      <c r="C126" s="57"/>
    </row>
    <row r="127" ht="12.75" customHeight="1">
      <c r="A127" s="54"/>
      <c r="C127" s="57"/>
    </row>
    <row r="128" ht="12.75" customHeight="1">
      <c r="A128" s="54"/>
      <c r="C128" s="57"/>
    </row>
    <row r="129" ht="12.75" customHeight="1">
      <c r="A129" s="54"/>
      <c r="C129" s="57"/>
    </row>
    <row r="130" ht="12.75" customHeight="1">
      <c r="A130" s="54"/>
      <c r="C130" s="57"/>
    </row>
    <row r="131" ht="12.75" customHeight="1">
      <c r="A131" s="54"/>
      <c r="C131" s="57"/>
    </row>
    <row r="132" ht="12.75" customHeight="1">
      <c r="A132" s="54"/>
      <c r="C132" s="57"/>
    </row>
    <row r="133" ht="12.75" customHeight="1">
      <c r="A133" s="54"/>
      <c r="C133" s="57"/>
    </row>
    <row r="134" ht="12.75" customHeight="1">
      <c r="A134" s="54"/>
      <c r="C134" s="57"/>
    </row>
    <row r="135" ht="12.75" customHeight="1">
      <c r="A135" s="54"/>
      <c r="C135" s="57"/>
    </row>
    <row r="136" ht="12.75" customHeight="1">
      <c r="A136" s="54"/>
      <c r="C136" s="57"/>
    </row>
    <row r="137" ht="12.75" customHeight="1">
      <c r="A137" s="54"/>
      <c r="C137" s="57"/>
    </row>
    <row r="138" ht="12.75" customHeight="1">
      <c r="A138" s="54"/>
      <c r="C138" s="57"/>
    </row>
    <row r="139" ht="12.75" customHeight="1">
      <c r="A139" s="54"/>
      <c r="C139" s="57"/>
    </row>
    <row r="140" ht="12.75" customHeight="1">
      <c r="A140" s="54"/>
      <c r="C140" s="57"/>
    </row>
    <row r="141" ht="12.75" customHeight="1">
      <c r="A141" s="54"/>
      <c r="C141" s="57"/>
    </row>
    <row r="142" ht="12.75" customHeight="1">
      <c r="A142" s="54"/>
      <c r="C142" s="57"/>
    </row>
    <row r="143" ht="12.75" customHeight="1">
      <c r="A143" s="54"/>
      <c r="C143" s="57"/>
    </row>
    <row r="144" ht="12.75" customHeight="1">
      <c r="A144" s="54"/>
      <c r="C144" s="57"/>
    </row>
    <row r="145" ht="12.75" customHeight="1">
      <c r="A145" s="54"/>
      <c r="C145" s="57"/>
    </row>
    <row r="146" ht="12.75" customHeight="1">
      <c r="A146" s="54"/>
      <c r="C146" s="57"/>
    </row>
    <row r="147" ht="12.75" customHeight="1">
      <c r="A147" s="54"/>
      <c r="C147" s="57"/>
    </row>
    <row r="148" ht="12.75" customHeight="1">
      <c r="A148" s="54"/>
      <c r="C148" s="57"/>
    </row>
    <row r="149" ht="12.75" customHeight="1">
      <c r="A149" s="54"/>
      <c r="C149" s="57"/>
    </row>
    <row r="150" ht="12.75" customHeight="1">
      <c r="A150" s="54"/>
      <c r="C150" s="57"/>
    </row>
    <row r="151" ht="12.75" customHeight="1">
      <c r="A151" s="54"/>
      <c r="C151" s="57"/>
    </row>
    <row r="152" ht="12.75" customHeight="1">
      <c r="A152" s="54"/>
      <c r="C152" s="57"/>
    </row>
    <row r="153" ht="12.75" customHeight="1">
      <c r="A153" s="54"/>
      <c r="C153" s="57"/>
    </row>
    <row r="154" ht="12.75" customHeight="1">
      <c r="A154" s="54"/>
      <c r="C154" s="57"/>
    </row>
    <row r="155" ht="12.75" customHeight="1">
      <c r="A155" s="54"/>
      <c r="C155" s="57"/>
    </row>
    <row r="156" ht="12.75" customHeight="1">
      <c r="A156" s="54"/>
      <c r="C156" s="57"/>
    </row>
    <row r="157" ht="12.75" customHeight="1">
      <c r="A157" s="54"/>
      <c r="C157" s="57"/>
    </row>
    <row r="158" ht="12.75" customHeight="1">
      <c r="A158" s="54"/>
      <c r="C158" s="57"/>
    </row>
    <row r="159" ht="12.75" customHeight="1">
      <c r="A159" s="54"/>
      <c r="C159" s="57"/>
    </row>
    <row r="160" ht="12.75" customHeight="1">
      <c r="A160" s="54"/>
      <c r="C160" s="57"/>
    </row>
    <row r="161" ht="12.75" customHeight="1">
      <c r="A161" s="54"/>
      <c r="C161" s="57"/>
    </row>
    <row r="162" ht="12.75" customHeight="1">
      <c r="A162" s="54"/>
      <c r="C162" s="57"/>
    </row>
    <row r="163" ht="12.75" customHeight="1">
      <c r="A163" s="54"/>
      <c r="C163" s="57"/>
    </row>
    <row r="164" ht="12.75" customHeight="1">
      <c r="A164" s="54"/>
      <c r="C164" s="57"/>
    </row>
    <row r="165" ht="12.75" customHeight="1">
      <c r="A165" s="54"/>
      <c r="C165" s="57"/>
    </row>
    <row r="166" ht="12.75" customHeight="1">
      <c r="A166" s="54"/>
      <c r="C166" s="57"/>
    </row>
    <row r="167" ht="12.75" customHeight="1">
      <c r="A167" s="54"/>
      <c r="C167" s="57"/>
    </row>
    <row r="168" ht="12.75" customHeight="1">
      <c r="A168" s="54"/>
      <c r="C168" s="57"/>
    </row>
    <row r="169" ht="12.75" customHeight="1">
      <c r="A169" s="54"/>
      <c r="C169" s="57"/>
    </row>
    <row r="170" ht="12.75" customHeight="1">
      <c r="A170" s="54"/>
      <c r="C170" s="57"/>
    </row>
    <row r="171" ht="12.75" customHeight="1">
      <c r="A171" s="54"/>
      <c r="C171" s="57"/>
    </row>
    <row r="172" ht="12.75" customHeight="1">
      <c r="A172" s="54"/>
      <c r="C172" s="57"/>
    </row>
    <row r="173" ht="12.75" customHeight="1">
      <c r="A173" s="54"/>
      <c r="C173" s="57"/>
    </row>
    <row r="174" ht="12.75" customHeight="1">
      <c r="A174" s="54"/>
      <c r="C174" s="57"/>
    </row>
    <row r="175" ht="12.75" customHeight="1">
      <c r="A175" s="54"/>
      <c r="C175" s="57"/>
    </row>
    <row r="176" ht="12.75" customHeight="1">
      <c r="A176" s="54"/>
      <c r="C176" s="57"/>
    </row>
    <row r="177" ht="12.75" customHeight="1">
      <c r="A177" s="54"/>
      <c r="C177" s="57"/>
    </row>
    <row r="178" ht="12.75" customHeight="1">
      <c r="A178" s="54"/>
      <c r="C178" s="57"/>
    </row>
    <row r="179" ht="12.75" customHeight="1">
      <c r="A179" s="54"/>
      <c r="C179" s="57"/>
    </row>
    <row r="180" ht="12.75" customHeight="1">
      <c r="A180" s="54"/>
      <c r="C180" s="57"/>
    </row>
    <row r="181" ht="12.75" customHeight="1">
      <c r="A181" s="54"/>
      <c r="C181" s="57"/>
    </row>
    <row r="182" ht="12.75" customHeight="1">
      <c r="A182" s="54"/>
      <c r="C182" s="57"/>
    </row>
    <row r="183" ht="12.75" customHeight="1">
      <c r="A183" s="54"/>
      <c r="C183" s="57"/>
    </row>
    <row r="184" ht="12.75" customHeight="1">
      <c r="A184" s="54"/>
      <c r="C184" s="57"/>
    </row>
    <row r="185" ht="12.75" customHeight="1">
      <c r="A185" s="54"/>
      <c r="C185" s="57"/>
    </row>
    <row r="186" ht="12.75" customHeight="1">
      <c r="A186" s="54"/>
      <c r="C186" s="57"/>
    </row>
    <row r="187" ht="12.75" customHeight="1">
      <c r="A187" s="54"/>
      <c r="C187" s="57"/>
    </row>
    <row r="188" ht="12.75" customHeight="1">
      <c r="A188" s="54"/>
      <c r="C188" s="57"/>
    </row>
    <row r="189" ht="12.75" customHeight="1">
      <c r="A189" s="54"/>
      <c r="C189" s="57"/>
    </row>
    <row r="190" ht="12.75" customHeight="1">
      <c r="A190" s="54"/>
      <c r="C190" s="57"/>
    </row>
    <row r="191" ht="12.75" customHeight="1">
      <c r="A191" s="54"/>
      <c r="C191" s="57"/>
    </row>
    <row r="192" ht="12.75" customHeight="1">
      <c r="A192" s="54"/>
      <c r="C192" s="57"/>
    </row>
    <row r="193" ht="12.75" customHeight="1">
      <c r="A193" s="54"/>
      <c r="C193" s="57"/>
    </row>
    <row r="194" ht="12.75" customHeight="1">
      <c r="A194" s="54"/>
      <c r="C194" s="57"/>
    </row>
    <row r="195" ht="12.75" customHeight="1">
      <c r="A195" s="54"/>
      <c r="C195" s="57"/>
    </row>
    <row r="196" ht="12.75" customHeight="1">
      <c r="A196" s="54"/>
      <c r="C196" s="57"/>
    </row>
    <row r="197" ht="12.75" customHeight="1">
      <c r="A197" s="54"/>
      <c r="C197" s="57"/>
    </row>
    <row r="198" ht="12.75" customHeight="1">
      <c r="A198" s="54"/>
      <c r="C198" s="57"/>
    </row>
    <row r="199" ht="12.75" customHeight="1">
      <c r="A199" s="54"/>
      <c r="C199" s="57"/>
    </row>
    <row r="200" ht="12.75" customHeight="1">
      <c r="A200" s="54"/>
      <c r="C200" s="57"/>
    </row>
    <row r="201" ht="12.75" customHeight="1">
      <c r="A201" s="54"/>
      <c r="C201" s="57"/>
    </row>
    <row r="202" ht="12.75" customHeight="1">
      <c r="A202" s="54"/>
      <c r="C202" s="57"/>
    </row>
    <row r="203" ht="12.75" customHeight="1">
      <c r="A203" s="54"/>
      <c r="C203" s="57"/>
    </row>
    <row r="204" ht="12.75" customHeight="1">
      <c r="A204" s="54"/>
      <c r="C204" s="57"/>
    </row>
    <row r="205" ht="12.75" customHeight="1">
      <c r="A205" s="54"/>
      <c r="C205" s="57"/>
    </row>
    <row r="206" ht="12.75" customHeight="1">
      <c r="A206" s="54"/>
      <c r="C206" s="57"/>
    </row>
    <row r="207" ht="12.75" customHeight="1">
      <c r="A207" s="54"/>
      <c r="C207" s="57"/>
    </row>
    <row r="208" ht="12.75" customHeight="1">
      <c r="A208" s="54"/>
      <c r="C208" s="57"/>
    </row>
    <row r="209" ht="12.75" customHeight="1">
      <c r="A209" s="54"/>
      <c r="C209" s="57"/>
    </row>
    <row r="210" ht="12.75" customHeight="1">
      <c r="A210" s="54"/>
      <c r="C210" s="57"/>
    </row>
    <row r="211" ht="12.75" customHeight="1">
      <c r="A211" s="54"/>
      <c r="C211" s="57"/>
    </row>
    <row r="212" ht="12.75" customHeight="1">
      <c r="A212" s="54"/>
      <c r="C212" s="57"/>
    </row>
    <row r="213" ht="12.75" customHeight="1">
      <c r="A213" s="54"/>
      <c r="C213" s="57"/>
    </row>
    <row r="214" ht="12.75" customHeight="1">
      <c r="A214" s="54"/>
      <c r="C214" s="57"/>
    </row>
    <row r="215" ht="12.75" customHeight="1">
      <c r="A215" s="54"/>
      <c r="C215" s="57"/>
    </row>
    <row r="216" ht="12.75" customHeight="1">
      <c r="A216" s="54"/>
      <c r="C216" s="57"/>
    </row>
    <row r="217" ht="12.75" customHeight="1">
      <c r="A217" s="54"/>
      <c r="C217" s="57"/>
    </row>
    <row r="218" ht="12.75" customHeight="1">
      <c r="A218" s="54"/>
      <c r="C218" s="57"/>
    </row>
    <row r="219" ht="12.75" customHeight="1">
      <c r="A219" s="54"/>
      <c r="C219" s="57"/>
    </row>
    <row r="220" ht="12.75" customHeight="1">
      <c r="A220" s="54"/>
      <c r="C220" s="57"/>
    </row>
    <row r="221" ht="12.75" customHeight="1">
      <c r="A221" s="54"/>
      <c r="C221" s="57"/>
    </row>
    <row r="222" ht="12.75" customHeight="1">
      <c r="A222" s="54"/>
      <c r="C222" s="57"/>
    </row>
    <row r="223" ht="12.75" customHeight="1">
      <c r="A223" s="54"/>
      <c r="C223" s="57"/>
    </row>
    <row r="224" ht="12.75" customHeight="1">
      <c r="A224" s="54"/>
      <c r="C224" s="57"/>
    </row>
    <row r="225" ht="12.75" customHeight="1">
      <c r="A225" s="54"/>
      <c r="C225" s="57"/>
    </row>
    <row r="226" ht="12.75" customHeight="1">
      <c r="A226" s="54"/>
      <c r="C226" s="57"/>
    </row>
    <row r="227" ht="12.75" customHeight="1">
      <c r="A227" s="54"/>
      <c r="C227" s="57"/>
    </row>
    <row r="228" ht="12.75" customHeight="1">
      <c r="A228" s="54"/>
      <c r="C228" s="57"/>
    </row>
    <row r="229" ht="12.75" customHeight="1">
      <c r="A229" s="54"/>
      <c r="C229" s="57"/>
    </row>
    <row r="230" ht="12.75" customHeight="1">
      <c r="A230" s="54"/>
      <c r="C230" s="57"/>
    </row>
    <row r="231" ht="12.75" customHeight="1">
      <c r="A231" s="54"/>
      <c r="C231" s="57"/>
    </row>
    <row r="232" ht="12.75" customHeight="1">
      <c r="A232" s="54"/>
      <c r="C232" s="57"/>
    </row>
    <row r="233" ht="12.75" customHeight="1">
      <c r="A233" s="54"/>
      <c r="C233" s="57"/>
    </row>
    <row r="234" ht="12.75" customHeight="1">
      <c r="A234" s="54"/>
      <c r="C234" s="57"/>
    </row>
    <row r="235" ht="12.75" customHeight="1">
      <c r="A235" s="54"/>
      <c r="C235" s="57"/>
    </row>
    <row r="236" ht="12.75" customHeight="1">
      <c r="A236" s="54"/>
      <c r="C236" s="57"/>
    </row>
    <row r="237" ht="12.75" customHeight="1">
      <c r="A237" s="54"/>
      <c r="C237" s="57"/>
    </row>
    <row r="238" ht="12.75" customHeight="1">
      <c r="A238" s="54"/>
      <c r="C238" s="57"/>
    </row>
    <row r="239" ht="12.75" customHeight="1">
      <c r="A239" s="54"/>
      <c r="C239" s="57"/>
    </row>
    <row r="240" ht="12.75" customHeight="1">
      <c r="A240" s="54"/>
      <c r="C240" s="57"/>
    </row>
    <row r="241" ht="12.75" customHeight="1">
      <c r="A241" s="54"/>
      <c r="C241" s="57"/>
    </row>
    <row r="242" ht="12.75" customHeight="1">
      <c r="A242" s="54"/>
      <c r="C242" s="57"/>
    </row>
    <row r="243" ht="12.75" customHeight="1">
      <c r="A243" s="54"/>
      <c r="C243" s="57"/>
    </row>
    <row r="244" ht="12.75" customHeight="1">
      <c r="A244" s="54"/>
      <c r="C244" s="57"/>
    </row>
    <row r="245" ht="12.75" customHeight="1">
      <c r="A245" s="54"/>
      <c r="C245" s="57"/>
    </row>
    <row r="246" ht="12.75" customHeight="1">
      <c r="A246" s="54"/>
      <c r="C246" s="57"/>
    </row>
    <row r="247" ht="12.75" customHeight="1">
      <c r="A247" s="54"/>
      <c r="C247" s="57"/>
    </row>
    <row r="248" ht="12.75" customHeight="1">
      <c r="A248" s="54"/>
      <c r="C248" s="57"/>
    </row>
    <row r="249" ht="12.75" customHeight="1">
      <c r="A249" s="54"/>
      <c r="C249" s="57"/>
    </row>
    <row r="250" ht="12.75" customHeight="1">
      <c r="A250" s="54"/>
      <c r="C250" s="57"/>
    </row>
    <row r="251" ht="12.75" customHeight="1">
      <c r="A251" s="54"/>
      <c r="C251" s="57"/>
    </row>
    <row r="252" ht="12.75" customHeight="1">
      <c r="A252" s="54"/>
      <c r="C252" s="57"/>
    </row>
    <row r="253" ht="12.75" customHeight="1">
      <c r="A253" s="54"/>
      <c r="C253" s="57"/>
    </row>
    <row r="254" ht="12.75" customHeight="1">
      <c r="A254" s="54"/>
      <c r="C254" s="57"/>
    </row>
    <row r="255" ht="12.75" customHeight="1">
      <c r="A255" s="54"/>
      <c r="C255" s="57"/>
    </row>
    <row r="256" ht="12.75" customHeight="1">
      <c r="A256" s="54"/>
      <c r="C256" s="57"/>
    </row>
    <row r="257" ht="12.75" customHeight="1">
      <c r="A257" s="54"/>
      <c r="C257" s="57"/>
    </row>
    <row r="258" ht="12.75" customHeight="1">
      <c r="A258" s="54"/>
      <c r="C258" s="57"/>
    </row>
    <row r="259" ht="12.75" customHeight="1">
      <c r="A259" s="54"/>
      <c r="C259" s="57"/>
    </row>
    <row r="260" ht="12.75" customHeight="1">
      <c r="A260" s="54"/>
      <c r="C260" s="57"/>
    </row>
    <row r="261" ht="12.75" customHeight="1">
      <c r="A261" s="54"/>
      <c r="C261" s="57"/>
    </row>
    <row r="262" ht="12.75" customHeight="1">
      <c r="A262" s="54"/>
      <c r="C262" s="57"/>
    </row>
    <row r="263" ht="12.75" customHeight="1">
      <c r="A263" s="54"/>
      <c r="C263" s="57"/>
    </row>
    <row r="264" ht="12.75" customHeight="1">
      <c r="A264" s="54"/>
      <c r="C264" s="57"/>
    </row>
    <row r="265" ht="12.75" customHeight="1">
      <c r="A265" s="54"/>
      <c r="C265" s="57"/>
    </row>
    <row r="266" ht="12.75" customHeight="1">
      <c r="A266" s="54"/>
      <c r="C266" s="57"/>
    </row>
    <row r="267" ht="15.75" customHeight="1">
      <c r="A267" s="54"/>
      <c r="C267" s="57"/>
    </row>
    <row r="268" ht="15.75" customHeight="1">
      <c r="A268" s="54"/>
      <c r="C268" s="57"/>
    </row>
    <row r="269" ht="15.75" customHeight="1">
      <c r="A269" s="54"/>
      <c r="C269" s="57"/>
    </row>
    <row r="270" ht="15.75" customHeight="1">
      <c r="A270" s="54"/>
      <c r="C270" s="57"/>
    </row>
    <row r="271" ht="15.75" customHeight="1">
      <c r="A271" s="54"/>
      <c r="C271" s="57"/>
    </row>
    <row r="272" ht="15.75" customHeight="1">
      <c r="A272" s="54"/>
      <c r="C272" s="57"/>
    </row>
    <row r="273" ht="15.75" customHeight="1">
      <c r="A273" s="54"/>
      <c r="C273" s="57"/>
    </row>
    <row r="274" ht="15.75" customHeight="1">
      <c r="A274" s="54"/>
      <c r="C274" s="57"/>
    </row>
    <row r="275" ht="15.75" customHeight="1">
      <c r="A275" s="54"/>
      <c r="C275" s="57"/>
    </row>
    <row r="276" ht="15.75" customHeight="1">
      <c r="A276" s="54"/>
      <c r="C276" s="57"/>
    </row>
    <row r="277" ht="15.75" customHeight="1">
      <c r="A277" s="54"/>
      <c r="C277" s="57"/>
    </row>
    <row r="278" ht="15.75" customHeight="1">
      <c r="A278" s="54"/>
      <c r="C278" s="57"/>
    </row>
    <row r="279" ht="15.75" customHeight="1">
      <c r="A279" s="54"/>
      <c r="C279" s="57"/>
    </row>
    <row r="280" ht="15.75" customHeight="1">
      <c r="A280" s="54"/>
      <c r="C280" s="57"/>
    </row>
    <row r="281" ht="15.75" customHeight="1">
      <c r="A281" s="54"/>
      <c r="C281" s="57"/>
    </row>
    <row r="282" ht="15.75" customHeight="1">
      <c r="A282" s="54"/>
      <c r="C282" s="57"/>
    </row>
    <row r="283" ht="15.75" customHeight="1">
      <c r="A283" s="54"/>
      <c r="C283" s="57"/>
    </row>
    <row r="284" ht="15.75" customHeight="1">
      <c r="A284" s="54"/>
      <c r="C284" s="57"/>
    </row>
    <row r="285" ht="15.75" customHeight="1">
      <c r="A285" s="54"/>
      <c r="C285" s="57"/>
    </row>
    <row r="286" ht="15.75" customHeight="1">
      <c r="A286" s="54"/>
      <c r="C286" s="57"/>
    </row>
    <row r="287" ht="15.75" customHeight="1">
      <c r="A287" s="54"/>
      <c r="C287" s="57"/>
    </row>
    <row r="288" ht="15.75" customHeight="1">
      <c r="A288" s="54"/>
      <c r="C288" s="57"/>
    </row>
    <row r="289" ht="15.75" customHeight="1">
      <c r="A289" s="54"/>
      <c r="C289" s="57"/>
    </row>
    <row r="290" ht="15.75" customHeight="1">
      <c r="A290" s="54"/>
      <c r="C290" s="57"/>
    </row>
    <row r="291" ht="15.75" customHeight="1">
      <c r="A291" s="54"/>
      <c r="C291" s="57"/>
    </row>
    <row r="292" ht="15.75" customHeight="1">
      <c r="A292" s="54"/>
      <c r="C292" s="57"/>
    </row>
    <row r="293" ht="15.75" customHeight="1">
      <c r="A293" s="54"/>
      <c r="C293" s="57"/>
    </row>
    <row r="294" ht="15.75" customHeight="1">
      <c r="A294" s="54"/>
      <c r="C294" s="57"/>
    </row>
    <row r="295" ht="15.75" customHeight="1">
      <c r="A295" s="54"/>
      <c r="C295" s="57"/>
    </row>
    <row r="296" ht="15.75" customHeight="1">
      <c r="A296" s="54"/>
      <c r="C296" s="57"/>
    </row>
    <row r="297" ht="15.75" customHeight="1">
      <c r="A297" s="54"/>
      <c r="C297" s="57"/>
    </row>
    <row r="298" ht="15.75" customHeight="1">
      <c r="A298" s="54"/>
      <c r="C298" s="57"/>
    </row>
    <row r="299" ht="15.75" customHeight="1">
      <c r="A299" s="54"/>
      <c r="C299" s="57"/>
    </row>
    <row r="300" ht="15.75" customHeight="1">
      <c r="A300" s="54"/>
      <c r="C300" s="57"/>
    </row>
    <row r="301" ht="15.75" customHeight="1">
      <c r="A301" s="54"/>
      <c r="C301" s="57"/>
    </row>
    <row r="302" ht="15.75" customHeight="1">
      <c r="A302" s="54"/>
      <c r="C302" s="57"/>
    </row>
    <row r="303" ht="15.75" customHeight="1">
      <c r="A303" s="54"/>
      <c r="C303" s="57"/>
    </row>
    <row r="304" ht="15.75" customHeight="1">
      <c r="A304" s="54"/>
      <c r="C304" s="57"/>
    </row>
    <row r="305" ht="15.75" customHeight="1">
      <c r="A305" s="54"/>
      <c r="C305" s="57"/>
    </row>
    <row r="306" ht="15.75" customHeight="1">
      <c r="A306" s="54"/>
      <c r="C306" s="57"/>
    </row>
    <row r="307" ht="15.75" customHeight="1">
      <c r="A307" s="54"/>
      <c r="C307" s="57"/>
    </row>
    <row r="308" ht="15.75" customHeight="1">
      <c r="A308" s="54"/>
      <c r="C308" s="57"/>
    </row>
    <row r="309" ht="15.75" customHeight="1">
      <c r="A309" s="54"/>
      <c r="C309" s="57"/>
    </row>
    <row r="310" ht="15.75" customHeight="1">
      <c r="A310" s="54"/>
      <c r="C310" s="57"/>
    </row>
    <row r="311" ht="15.75" customHeight="1">
      <c r="A311" s="54"/>
      <c r="C311" s="57"/>
    </row>
    <row r="312" ht="15.75" customHeight="1">
      <c r="A312" s="54"/>
      <c r="C312" s="57"/>
    </row>
    <row r="313" ht="15.75" customHeight="1">
      <c r="A313" s="54"/>
      <c r="C313" s="57"/>
    </row>
    <row r="314" ht="15.75" customHeight="1">
      <c r="A314" s="54"/>
      <c r="C314" s="57"/>
    </row>
    <row r="315" ht="15.75" customHeight="1">
      <c r="A315" s="54"/>
      <c r="C315" s="57"/>
    </row>
    <row r="316" ht="15.75" customHeight="1">
      <c r="A316" s="54"/>
      <c r="C316" s="57"/>
    </row>
    <row r="317" ht="15.75" customHeight="1">
      <c r="A317" s="54"/>
      <c r="C317" s="57"/>
    </row>
    <row r="318" ht="15.75" customHeight="1">
      <c r="A318" s="54"/>
      <c r="C318" s="57"/>
    </row>
    <row r="319" ht="15.75" customHeight="1">
      <c r="A319" s="54"/>
      <c r="C319" s="57"/>
    </row>
    <row r="320" ht="15.75" customHeight="1">
      <c r="A320" s="54"/>
      <c r="C320" s="57"/>
    </row>
    <row r="321" ht="15.75" customHeight="1">
      <c r="A321" s="54"/>
      <c r="C321" s="57"/>
    </row>
    <row r="322" ht="15.75" customHeight="1">
      <c r="A322" s="54"/>
      <c r="C322" s="57"/>
    </row>
    <row r="323" ht="15.75" customHeight="1">
      <c r="A323" s="54"/>
      <c r="C323" s="57"/>
    </row>
    <row r="324" ht="15.75" customHeight="1">
      <c r="A324" s="54"/>
      <c r="C324" s="57"/>
    </row>
    <row r="325" ht="15.75" customHeight="1">
      <c r="A325" s="54"/>
      <c r="C325" s="57"/>
    </row>
    <row r="326" ht="15.75" customHeight="1">
      <c r="A326" s="54"/>
      <c r="C326" s="57"/>
    </row>
    <row r="327" ht="15.75" customHeight="1">
      <c r="A327" s="54"/>
      <c r="C327" s="57"/>
    </row>
    <row r="328" ht="15.75" customHeight="1">
      <c r="A328" s="54"/>
      <c r="C328" s="57"/>
    </row>
    <row r="329" ht="15.75" customHeight="1">
      <c r="A329" s="54"/>
      <c r="C329" s="57"/>
    </row>
    <row r="330" ht="15.75" customHeight="1">
      <c r="A330" s="54"/>
      <c r="C330" s="57"/>
    </row>
    <row r="331" ht="15.75" customHeight="1">
      <c r="A331" s="54"/>
      <c r="C331" s="57"/>
    </row>
    <row r="332" ht="15.75" customHeight="1">
      <c r="A332" s="54"/>
      <c r="C332" s="57"/>
    </row>
    <row r="333" ht="15.75" customHeight="1">
      <c r="A333" s="54"/>
      <c r="C333" s="57"/>
    </row>
    <row r="334" ht="15.75" customHeight="1">
      <c r="A334" s="54"/>
      <c r="C334" s="57"/>
    </row>
    <row r="335" ht="15.75" customHeight="1">
      <c r="A335" s="54"/>
      <c r="C335" s="57"/>
    </row>
    <row r="336" ht="15.75" customHeight="1">
      <c r="A336" s="54"/>
      <c r="C336" s="57"/>
    </row>
    <row r="337" ht="15.75" customHeight="1">
      <c r="A337" s="54"/>
      <c r="C337" s="57"/>
    </row>
    <row r="338" ht="15.75" customHeight="1">
      <c r="A338" s="54"/>
      <c r="C338" s="57"/>
    </row>
    <row r="339" ht="15.75" customHeight="1">
      <c r="A339" s="54"/>
      <c r="C339" s="57"/>
    </row>
    <row r="340" ht="15.75" customHeight="1">
      <c r="A340" s="54"/>
      <c r="C340" s="57"/>
    </row>
    <row r="341" ht="15.75" customHeight="1">
      <c r="A341" s="54"/>
      <c r="C341" s="57"/>
    </row>
    <row r="342" ht="15.75" customHeight="1">
      <c r="A342" s="54"/>
      <c r="C342" s="57"/>
    </row>
    <row r="343" ht="15.75" customHeight="1">
      <c r="A343" s="54"/>
      <c r="C343" s="57"/>
    </row>
    <row r="344" ht="15.75" customHeight="1">
      <c r="A344" s="54"/>
      <c r="C344" s="57"/>
    </row>
    <row r="345" ht="15.75" customHeight="1">
      <c r="A345" s="54"/>
      <c r="C345" s="57"/>
    </row>
    <row r="346" ht="15.75" customHeight="1">
      <c r="A346" s="54"/>
      <c r="C346" s="57"/>
    </row>
    <row r="347" ht="15.75" customHeight="1">
      <c r="A347" s="54"/>
      <c r="C347" s="57"/>
    </row>
    <row r="348" ht="15.75" customHeight="1">
      <c r="A348" s="54"/>
      <c r="C348" s="57"/>
    </row>
    <row r="349" ht="15.75" customHeight="1">
      <c r="A349" s="54"/>
      <c r="C349" s="57"/>
    </row>
    <row r="350" ht="15.75" customHeight="1">
      <c r="A350" s="54"/>
      <c r="C350" s="57"/>
    </row>
    <row r="351" ht="15.75" customHeight="1">
      <c r="A351" s="54"/>
      <c r="C351" s="57"/>
    </row>
    <row r="352" ht="15.75" customHeight="1">
      <c r="A352" s="54"/>
      <c r="C352" s="57"/>
    </row>
    <row r="353" ht="15.75" customHeight="1">
      <c r="A353" s="54"/>
      <c r="C353" s="57"/>
    </row>
    <row r="354" ht="15.75" customHeight="1">
      <c r="A354" s="54"/>
      <c r="C354" s="57"/>
    </row>
    <row r="355" ht="15.75" customHeight="1">
      <c r="A355" s="54"/>
      <c r="C355" s="57"/>
    </row>
    <row r="356" ht="15.75" customHeight="1">
      <c r="A356" s="54"/>
      <c r="C356" s="57"/>
    </row>
    <row r="357" ht="15.75" customHeight="1">
      <c r="A357" s="54"/>
      <c r="C357" s="57"/>
    </row>
    <row r="358" ht="15.75" customHeight="1">
      <c r="A358" s="54"/>
      <c r="C358" s="57"/>
    </row>
    <row r="359" ht="15.75" customHeight="1">
      <c r="A359" s="54"/>
      <c r="C359" s="57"/>
    </row>
    <row r="360" ht="15.75" customHeight="1">
      <c r="A360" s="54"/>
      <c r="C360" s="57"/>
    </row>
    <row r="361" ht="15.75" customHeight="1">
      <c r="A361" s="54"/>
      <c r="C361" s="57"/>
    </row>
    <row r="362" ht="15.75" customHeight="1">
      <c r="A362" s="54"/>
      <c r="C362" s="57"/>
    </row>
    <row r="363" ht="15.75" customHeight="1">
      <c r="A363" s="54"/>
      <c r="C363" s="57"/>
    </row>
    <row r="364" ht="15.75" customHeight="1">
      <c r="A364" s="54"/>
      <c r="C364" s="57"/>
    </row>
    <row r="365" ht="15.75" customHeight="1">
      <c r="A365" s="54"/>
      <c r="C365" s="57"/>
    </row>
    <row r="366" ht="15.75" customHeight="1">
      <c r="A366" s="54"/>
      <c r="C366" s="57"/>
    </row>
    <row r="367" ht="15.75" customHeight="1">
      <c r="A367" s="54"/>
      <c r="C367" s="57"/>
    </row>
    <row r="368" ht="15.75" customHeight="1">
      <c r="A368" s="54"/>
      <c r="C368" s="57"/>
    </row>
    <row r="369" ht="15.75" customHeight="1">
      <c r="A369" s="54"/>
      <c r="C369" s="57"/>
    </row>
    <row r="370" ht="15.75" customHeight="1">
      <c r="A370" s="54"/>
      <c r="C370" s="57"/>
    </row>
    <row r="371" ht="15.75" customHeight="1">
      <c r="A371" s="54"/>
      <c r="C371" s="57"/>
    </row>
    <row r="372" ht="15.75" customHeight="1">
      <c r="A372" s="54"/>
      <c r="C372" s="57"/>
    </row>
    <row r="373" ht="15.75" customHeight="1">
      <c r="A373" s="54"/>
      <c r="C373" s="57"/>
    </row>
    <row r="374" ht="15.75" customHeight="1">
      <c r="A374" s="54"/>
      <c r="C374" s="57"/>
    </row>
    <row r="375" ht="15.75" customHeight="1">
      <c r="A375" s="54"/>
      <c r="C375" s="57"/>
    </row>
    <row r="376" ht="15.75" customHeight="1">
      <c r="A376" s="54"/>
      <c r="C376" s="57"/>
    </row>
    <row r="377" ht="15.75" customHeight="1">
      <c r="A377" s="54"/>
      <c r="C377" s="57"/>
    </row>
    <row r="378" ht="15.75" customHeight="1">
      <c r="A378" s="54"/>
      <c r="C378" s="57"/>
    </row>
    <row r="379" ht="15.75" customHeight="1">
      <c r="A379" s="54"/>
      <c r="C379" s="57"/>
    </row>
    <row r="380" ht="15.75" customHeight="1">
      <c r="A380" s="54"/>
      <c r="C380" s="57"/>
    </row>
    <row r="381" ht="15.75" customHeight="1">
      <c r="A381" s="54"/>
      <c r="C381" s="57"/>
    </row>
    <row r="382" ht="15.75" customHeight="1">
      <c r="A382" s="54"/>
      <c r="C382" s="57"/>
    </row>
    <row r="383" ht="15.75" customHeight="1">
      <c r="A383" s="54"/>
      <c r="C383" s="57"/>
    </row>
    <row r="384" ht="15.75" customHeight="1">
      <c r="A384" s="54"/>
      <c r="C384" s="57"/>
    </row>
    <row r="385" ht="15.75" customHeight="1">
      <c r="A385" s="54"/>
      <c r="C385" s="57"/>
    </row>
    <row r="386" ht="15.75" customHeight="1">
      <c r="A386" s="54"/>
      <c r="C386" s="57"/>
    </row>
    <row r="387" ht="15.75" customHeight="1">
      <c r="A387" s="54"/>
      <c r="C387" s="57"/>
    </row>
    <row r="388" ht="15.75" customHeight="1">
      <c r="A388" s="54"/>
      <c r="C388" s="57"/>
    </row>
    <row r="389" ht="15.75" customHeight="1">
      <c r="A389" s="54"/>
      <c r="C389" s="57"/>
    </row>
    <row r="390" ht="15.75" customHeight="1">
      <c r="A390" s="54"/>
      <c r="C390" s="57"/>
    </row>
    <row r="391" ht="15.75" customHeight="1">
      <c r="A391" s="54"/>
      <c r="C391" s="57"/>
    </row>
    <row r="392" ht="15.75" customHeight="1">
      <c r="A392" s="54"/>
      <c r="C392" s="57"/>
    </row>
    <row r="393" ht="15.75" customHeight="1">
      <c r="A393" s="54"/>
      <c r="C393" s="57"/>
    </row>
    <row r="394" ht="15.75" customHeight="1">
      <c r="A394" s="54"/>
      <c r="C394" s="57"/>
    </row>
    <row r="395" ht="15.75" customHeight="1">
      <c r="A395" s="54"/>
      <c r="C395" s="57"/>
    </row>
    <row r="396" ht="15.75" customHeight="1">
      <c r="A396" s="54"/>
      <c r="C396" s="57"/>
    </row>
    <row r="397" ht="15.75" customHeight="1">
      <c r="A397" s="54"/>
      <c r="C397" s="57"/>
    </row>
    <row r="398" ht="15.75" customHeight="1">
      <c r="A398" s="54"/>
      <c r="C398" s="57"/>
    </row>
    <row r="399" ht="15.75" customHeight="1">
      <c r="A399" s="54"/>
      <c r="C399" s="57"/>
    </row>
    <row r="400" ht="15.75" customHeight="1">
      <c r="A400" s="54"/>
      <c r="C400" s="57"/>
    </row>
    <row r="401" ht="15.75" customHeight="1">
      <c r="A401" s="54"/>
      <c r="C401" s="57"/>
    </row>
    <row r="402" ht="15.75" customHeight="1">
      <c r="A402" s="54"/>
      <c r="C402" s="57"/>
    </row>
    <row r="403" ht="15.75" customHeight="1">
      <c r="A403" s="54"/>
      <c r="C403" s="57"/>
    </row>
    <row r="404" ht="15.75" customHeight="1">
      <c r="A404" s="54"/>
      <c r="C404" s="57"/>
    </row>
    <row r="405" ht="15.75" customHeight="1">
      <c r="A405" s="54"/>
      <c r="C405" s="57"/>
    </row>
    <row r="406" ht="15.75" customHeight="1">
      <c r="A406" s="54"/>
      <c r="C406" s="57"/>
    </row>
    <row r="407" ht="15.75" customHeight="1">
      <c r="A407" s="54"/>
      <c r="C407" s="57"/>
    </row>
    <row r="408" ht="15.75" customHeight="1">
      <c r="A408" s="54"/>
      <c r="C408" s="57"/>
    </row>
    <row r="409" ht="15.75" customHeight="1">
      <c r="A409" s="54"/>
      <c r="C409" s="57"/>
    </row>
    <row r="410" ht="15.75" customHeight="1">
      <c r="A410" s="54"/>
      <c r="C410" s="57"/>
    </row>
    <row r="411" ht="15.75" customHeight="1">
      <c r="A411" s="54"/>
      <c r="C411" s="57"/>
    </row>
    <row r="412" ht="15.75" customHeight="1">
      <c r="A412" s="54"/>
      <c r="C412" s="57"/>
    </row>
    <row r="413" ht="15.75" customHeight="1">
      <c r="A413" s="54"/>
      <c r="C413" s="57"/>
    </row>
    <row r="414" ht="15.75" customHeight="1">
      <c r="A414" s="54"/>
      <c r="C414" s="57"/>
    </row>
    <row r="415" ht="15.75" customHeight="1">
      <c r="A415" s="54"/>
      <c r="C415" s="57"/>
    </row>
    <row r="416" ht="15.75" customHeight="1">
      <c r="A416" s="54"/>
      <c r="C416" s="57"/>
    </row>
    <row r="417" ht="15.75" customHeight="1">
      <c r="A417" s="54"/>
      <c r="C417" s="57"/>
    </row>
    <row r="418" ht="15.75" customHeight="1">
      <c r="A418" s="54"/>
      <c r="C418" s="57"/>
    </row>
    <row r="419" ht="15.75" customHeight="1">
      <c r="A419" s="54"/>
      <c r="C419" s="57"/>
    </row>
    <row r="420" ht="15.75" customHeight="1">
      <c r="A420" s="54"/>
      <c r="C420" s="57"/>
    </row>
    <row r="421" ht="15.75" customHeight="1">
      <c r="A421" s="54"/>
      <c r="C421" s="57"/>
    </row>
    <row r="422" ht="15.75" customHeight="1">
      <c r="A422" s="54"/>
      <c r="C422" s="57"/>
    </row>
    <row r="423" ht="15.75" customHeight="1">
      <c r="A423" s="54"/>
      <c r="C423" s="57"/>
    </row>
    <row r="424" ht="15.75" customHeight="1">
      <c r="A424" s="54"/>
      <c r="C424" s="57"/>
    </row>
    <row r="425" ht="15.75" customHeight="1">
      <c r="A425" s="54"/>
      <c r="C425" s="57"/>
    </row>
    <row r="426" ht="15.75" customHeight="1">
      <c r="A426" s="54"/>
      <c r="C426" s="57"/>
    </row>
    <row r="427" ht="15.75" customHeight="1">
      <c r="A427" s="54"/>
      <c r="C427" s="57"/>
    </row>
    <row r="428" ht="15.75" customHeight="1">
      <c r="A428" s="54"/>
      <c r="C428" s="57"/>
    </row>
    <row r="429" ht="15.75" customHeight="1">
      <c r="A429" s="54"/>
      <c r="C429" s="57"/>
    </row>
    <row r="430" ht="15.75" customHeight="1">
      <c r="A430" s="54"/>
      <c r="C430" s="57"/>
    </row>
    <row r="431" ht="15.75" customHeight="1">
      <c r="A431" s="54"/>
      <c r="C431" s="57"/>
    </row>
    <row r="432" ht="15.75" customHeight="1">
      <c r="A432" s="54"/>
      <c r="C432" s="57"/>
    </row>
    <row r="433" ht="15.75" customHeight="1">
      <c r="A433" s="54"/>
      <c r="C433" s="57"/>
    </row>
    <row r="434" ht="15.75" customHeight="1">
      <c r="A434" s="54"/>
      <c r="C434" s="57"/>
    </row>
    <row r="435" ht="15.75" customHeight="1">
      <c r="A435" s="54"/>
      <c r="C435" s="57"/>
    </row>
    <row r="436" ht="15.75" customHeight="1">
      <c r="A436" s="54"/>
      <c r="C436" s="57"/>
    </row>
    <row r="437" ht="15.75" customHeight="1">
      <c r="A437" s="54"/>
      <c r="C437" s="57"/>
    </row>
    <row r="438" ht="15.75" customHeight="1">
      <c r="A438" s="54"/>
      <c r="C438" s="57"/>
    </row>
    <row r="439" ht="15.75" customHeight="1">
      <c r="A439" s="54"/>
      <c r="C439" s="57"/>
    </row>
    <row r="440" ht="15.75" customHeight="1">
      <c r="A440" s="54"/>
      <c r="C440" s="57"/>
    </row>
    <row r="441" ht="15.75" customHeight="1">
      <c r="A441" s="54"/>
      <c r="C441" s="57"/>
    </row>
    <row r="442" ht="15.75" customHeight="1">
      <c r="A442" s="54"/>
      <c r="C442" s="57"/>
    </row>
    <row r="443" ht="15.75" customHeight="1">
      <c r="A443" s="54"/>
      <c r="C443" s="57"/>
    </row>
    <row r="444" ht="15.75" customHeight="1">
      <c r="A444" s="54"/>
      <c r="C444" s="57"/>
    </row>
    <row r="445" ht="15.75" customHeight="1">
      <c r="A445" s="54"/>
      <c r="C445" s="57"/>
    </row>
    <row r="446" ht="15.75" customHeight="1">
      <c r="A446" s="54"/>
      <c r="C446" s="57"/>
    </row>
    <row r="447" ht="15.75" customHeight="1">
      <c r="A447" s="54"/>
      <c r="C447" s="57"/>
    </row>
    <row r="448" ht="15.75" customHeight="1">
      <c r="A448" s="54"/>
      <c r="C448" s="57"/>
    </row>
    <row r="449" ht="15.75" customHeight="1">
      <c r="A449" s="54"/>
      <c r="C449" s="57"/>
    </row>
    <row r="450" ht="15.75" customHeight="1">
      <c r="A450" s="54"/>
      <c r="C450" s="57"/>
    </row>
    <row r="451" ht="15.75" customHeight="1">
      <c r="A451" s="54"/>
      <c r="C451" s="57"/>
    </row>
    <row r="452" ht="15.75" customHeight="1">
      <c r="A452" s="54"/>
      <c r="C452" s="57"/>
    </row>
    <row r="453" ht="15.75" customHeight="1">
      <c r="A453" s="54"/>
      <c r="C453" s="57"/>
    </row>
    <row r="454" ht="15.75" customHeight="1">
      <c r="A454" s="54"/>
      <c r="C454" s="57"/>
    </row>
    <row r="455" ht="15.75" customHeight="1">
      <c r="A455" s="54"/>
      <c r="C455" s="57"/>
    </row>
    <row r="456" ht="15.75" customHeight="1">
      <c r="A456" s="54"/>
      <c r="C456" s="57"/>
    </row>
    <row r="457" ht="15.75" customHeight="1">
      <c r="A457" s="54"/>
      <c r="C457" s="57"/>
    </row>
    <row r="458" ht="15.75" customHeight="1">
      <c r="A458" s="54"/>
      <c r="C458" s="57"/>
    </row>
    <row r="459" ht="15.75" customHeight="1">
      <c r="A459" s="54"/>
      <c r="C459" s="57"/>
    </row>
    <row r="460" ht="15.75" customHeight="1">
      <c r="A460" s="54"/>
      <c r="C460" s="57"/>
    </row>
    <row r="461" ht="15.75" customHeight="1">
      <c r="A461" s="54"/>
      <c r="C461" s="57"/>
    </row>
    <row r="462" ht="15.75" customHeight="1">
      <c r="A462" s="54"/>
      <c r="C462" s="57"/>
    </row>
    <row r="463" ht="15.75" customHeight="1">
      <c r="A463" s="54"/>
      <c r="C463" s="57"/>
    </row>
    <row r="464" ht="15.75" customHeight="1">
      <c r="A464" s="54"/>
      <c r="C464" s="57"/>
    </row>
    <row r="465" ht="15.75" customHeight="1">
      <c r="A465" s="54"/>
      <c r="C465" s="57"/>
    </row>
    <row r="466" ht="15.75" customHeight="1">
      <c r="A466" s="54"/>
      <c r="C466" s="57"/>
    </row>
    <row r="467" ht="15.75" customHeight="1">
      <c r="A467" s="54"/>
      <c r="C467" s="57"/>
    </row>
    <row r="468" ht="15.75" customHeight="1">
      <c r="A468" s="54"/>
      <c r="C468" s="57"/>
    </row>
    <row r="469" ht="15.75" customHeight="1">
      <c r="A469" s="54"/>
      <c r="C469" s="57"/>
    </row>
    <row r="470" ht="15.75" customHeight="1">
      <c r="A470" s="54"/>
      <c r="C470" s="57"/>
    </row>
    <row r="471" ht="15.75" customHeight="1">
      <c r="A471" s="54"/>
      <c r="C471" s="57"/>
    </row>
    <row r="472" ht="15.75" customHeight="1">
      <c r="A472" s="54"/>
      <c r="C472" s="57"/>
    </row>
    <row r="473" ht="15.75" customHeight="1">
      <c r="A473" s="54"/>
      <c r="C473" s="57"/>
    </row>
    <row r="474" ht="15.75" customHeight="1">
      <c r="A474" s="54"/>
      <c r="C474" s="57"/>
    </row>
    <row r="475" ht="15.75" customHeight="1">
      <c r="A475" s="54"/>
      <c r="C475" s="57"/>
    </row>
    <row r="476" ht="15.75" customHeight="1">
      <c r="A476" s="54"/>
      <c r="C476" s="57"/>
    </row>
    <row r="477" ht="15.75" customHeight="1">
      <c r="A477" s="54"/>
      <c r="C477" s="57"/>
    </row>
    <row r="478" ht="15.75" customHeight="1">
      <c r="A478" s="54"/>
      <c r="C478" s="57"/>
    </row>
    <row r="479" ht="15.75" customHeight="1">
      <c r="A479" s="54"/>
      <c r="C479" s="57"/>
    </row>
    <row r="480" ht="15.75" customHeight="1">
      <c r="A480" s="54"/>
      <c r="C480" s="57"/>
    </row>
    <row r="481" ht="15.75" customHeight="1">
      <c r="A481" s="54"/>
      <c r="C481" s="57"/>
    </row>
    <row r="482" ht="15.75" customHeight="1">
      <c r="A482" s="54"/>
      <c r="C482" s="57"/>
    </row>
    <row r="483" ht="15.75" customHeight="1">
      <c r="A483" s="54"/>
      <c r="C483" s="57"/>
    </row>
    <row r="484" ht="15.75" customHeight="1">
      <c r="A484" s="54"/>
      <c r="C484" s="57"/>
    </row>
    <row r="485" ht="15.75" customHeight="1">
      <c r="A485" s="54"/>
      <c r="C485" s="57"/>
    </row>
    <row r="486" ht="15.75" customHeight="1">
      <c r="A486" s="54"/>
      <c r="C486" s="57"/>
    </row>
    <row r="487" ht="15.75" customHeight="1">
      <c r="A487" s="54"/>
      <c r="C487" s="57"/>
    </row>
    <row r="488" ht="15.75" customHeight="1">
      <c r="A488" s="54"/>
      <c r="C488" s="57"/>
    </row>
    <row r="489" ht="15.75" customHeight="1">
      <c r="A489" s="54"/>
      <c r="C489" s="57"/>
    </row>
    <row r="490" ht="15.75" customHeight="1">
      <c r="A490" s="54"/>
      <c r="C490" s="57"/>
    </row>
    <row r="491" ht="15.75" customHeight="1">
      <c r="A491" s="54"/>
      <c r="C491" s="57"/>
    </row>
    <row r="492" ht="15.75" customHeight="1">
      <c r="A492" s="54"/>
      <c r="C492" s="57"/>
    </row>
    <row r="493" ht="15.75" customHeight="1">
      <c r="A493" s="54"/>
      <c r="C493" s="57"/>
    </row>
    <row r="494" ht="15.75" customHeight="1">
      <c r="A494" s="54"/>
      <c r="C494" s="57"/>
    </row>
    <row r="495" ht="15.75" customHeight="1">
      <c r="A495" s="54"/>
      <c r="C495" s="57"/>
    </row>
    <row r="496" ht="15.75" customHeight="1">
      <c r="A496" s="54"/>
      <c r="C496" s="57"/>
    </row>
    <row r="497" ht="15.75" customHeight="1">
      <c r="A497" s="54"/>
      <c r="C497" s="57"/>
    </row>
    <row r="498" ht="15.75" customHeight="1">
      <c r="A498" s="54"/>
      <c r="C498" s="57"/>
    </row>
    <row r="499" ht="15.75" customHeight="1">
      <c r="A499" s="54"/>
      <c r="C499" s="57"/>
    </row>
    <row r="500" ht="15.75" customHeight="1">
      <c r="A500" s="54"/>
      <c r="C500" s="57"/>
    </row>
    <row r="501" ht="15.75" customHeight="1">
      <c r="A501" s="54"/>
      <c r="C501" s="57"/>
    </row>
    <row r="502" ht="15.75" customHeight="1">
      <c r="A502" s="54"/>
      <c r="C502" s="57"/>
    </row>
    <row r="503" ht="15.75" customHeight="1">
      <c r="A503" s="54"/>
      <c r="C503" s="57"/>
    </row>
    <row r="504" ht="15.75" customHeight="1">
      <c r="A504" s="54"/>
      <c r="C504" s="57"/>
    </row>
    <row r="505" ht="15.75" customHeight="1">
      <c r="A505" s="54"/>
      <c r="C505" s="57"/>
    </row>
    <row r="506" ht="15.75" customHeight="1">
      <c r="A506" s="54"/>
      <c r="C506" s="57"/>
    </row>
    <row r="507" ht="15.75" customHeight="1">
      <c r="A507" s="54"/>
      <c r="C507" s="57"/>
    </row>
    <row r="508" ht="15.75" customHeight="1">
      <c r="A508" s="54"/>
      <c r="C508" s="57"/>
    </row>
    <row r="509" ht="15.75" customHeight="1">
      <c r="A509" s="54"/>
      <c r="C509" s="57"/>
    </row>
    <row r="510" ht="15.75" customHeight="1">
      <c r="A510" s="54"/>
      <c r="C510" s="57"/>
    </row>
    <row r="511" ht="15.75" customHeight="1">
      <c r="A511" s="54"/>
      <c r="C511" s="57"/>
    </row>
    <row r="512" ht="15.75" customHeight="1">
      <c r="A512" s="54"/>
      <c r="C512" s="57"/>
    </row>
    <row r="513" ht="15.75" customHeight="1">
      <c r="A513" s="54"/>
      <c r="C513" s="57"/>
    </row>
    <row r="514" ht="15.75" customHeight="1">
      <c r="A514" s="54"/>
      <c r="C514" s="57"/>
    </row>
    <row r="515" ht="15.75" customHeight="1">
      <c r="A515" s="54"/>
      <c r="C515" s="57"/>
    </row>
    <row r="516" ht="15.75" customHeight="1">
      <c r="A516" s="54"/>
      <c r="C516" s="57"/>
    </row>
    <row r="517" ht="15.75" customHeight="1">
      <c r="A517" s="54"/>
      <c r="C517" s="57"/>
    </row>
    <row r="518" ht="15.75" customHeight="1">
      <c r="A518" s="54"/>
      <c r="C518" s="57"/>
    </row>
    <row r="519" ht="15.75" customHeight="1">
      <c r="A519" s="54"/>
      <c r="C519" s="57"/>
    </row>
    <row r="520" ht="15.75" customHeight="1">
      <c r="A520" s="54"/>
      <c r="C520" s="57"/>
    </row>
    <row r="521" ht="15.75" customHeight="1">
      <c r="A521" s="54"/>
      <c r="C521" s="57"/>
    </row>
    <row r="522" ht="15.75" customHeight="1">
      <c r="A522" s="54"/>
      <c r="C522" s="57"/>
    </row>
    <row r="523" ht="15.75" customHeight="1">
      <c r="A523" s="54"/>
      <c r="C523" s="57"/>
    </row>
    <row r="524" ht="15.75" customHeight="1">
      <c r="A524" s="54"/>
      <c r="C524" s="57"/>
    </row>
    <row r="525" ht="15.75" customHeight="1">
      <c r="A525" s="54"/>
      <c r="C525" s="57"/>
    </row>
    <row r="526" ht="15.75" customHeight="1">
      <c r="A526" s="54"/>
      <c r="C526" s="57"/>
    </row>
    <row r="527" ht="15.75" customHeight="1">
      <c r="A527" s="54"/>
      <c r="C527" s="57"/>
    </row>
    <row r="528" ht="15.75" customHeight="1">
      <c r="A528" s="54"/>
      <c r="C528" s="57"/>
    </row>
    <row r="529" ht="15.75" customHeight="1">
      <c r="A529" s="54"/>
      <c r="C529" s="57"/>
    </row>
    <row r="530" ht="15.75" customHeight="1">
      <c r="A530" s="54"/>
      <c r="C530" s="57"/>
    </row>
    <row r="531" ht="15.75" customHeight="1">
      <c r="A531" s="54"/>
      <c r="C531" s="57"/>
    </row>
    <row r="532" ht="15.75" customHeight="1">
      <c r="A532" s="54"/>
      <c r="C532" s="57"/>
    </row>
    <row r="533" ht="15.75" customHeight="1">
      <c r="A533" s="54"/>
      <c r="C533" s="57"/>
    </row>
    <row r="534" ht="15.75" customHeight="1">
      <c r="A534" s="54"/>
      <c r="C534" s="57"/>
    </row>
    <row r="535" ht="15.75" customHeight="1">
      <c r="A535" s="54"/>
      <c r="C535" s="57"/>
    </row>
    <row r="536" ht="15.75" customHeight="1">
      <c r="A536" s="54"/>
      <c r="C536" s="57"/>
    </row>
    <row r="537" ht="15.75" customHeight="1">
      <c r="A537" s="54"/>
      <c r="C537" s="57"/>
    </row>
    <row r="538" ht="15.75" customHeight="1">
      <c r="A538" s="54"/>
      <c r="C538" s="57"/>
    </row>
    <row r="539" ht="15.75" customHeight="1">
      <c r="A539" s="54"/>
      <c r="C539" s="57"/>
    </row>
    <row r="540" ht="15.75" customHeight="1">
      <c r="A540" s="54"/>
      <c r="C540" s="57"/>
    </row>
    <row r="541" ht="15.75" customHeight="1">
      <c r="A541" s="54"/>
      <c r="C541" s="57"/>
    </row>
    <row r="542" ht="15.75" customHeight="1">
      <c r="A542" s="54"/>
      <c r="C542" s="57"/>
    </row>
    <row r="543" ht="15.75" customHeight="1">
      <c r="A543" s="54"/>
      <c r="C543" s="57"/>
    </row>
    <row r="544" ht="15.75" customHeight="1">
      <c r="A544" s="54"/>
      <c r="C544" s="57"/>
    </row>
    <row r="545" ht="15.75" customHeight="1">
      <c r="A545" s="54"/>
      <c r="C545" s="57"/>
    </row>
    <row r="546" ht="15.75" customHeight="1">
      <c r="A546" s="54"/>
      <c r="C546" s="57"/>
    </row>
    <row r="547" ht="15.75" customHeight="1">
      <c r="A547" s="54"/>
      <c r="C547" s="57"/>
    </row>
    <row r="548" ht="15.75" customHeight="1">
      <c r="A548" s="54"/>
      <c r="C548" s="57"/>
    </row>
    <row r="549" ht="15.75" customHeight="1">
      <c r="A549" s="54"/>
      <c r="C549" s="57"/>
    </row>
    <row r="550" ht="15.75" customHeight="1">
      <c r="A550" s="54"/>
      <c r="C550" s="57"/>
    </row>
    <row r="551" ht="15.75" customHeight="1">
      <c r="A551" s="54"/>
      <c r="C551" s="57"/>
    </row>
    <row r="552" ht="15.75" customHeight="1">
      <c r="A552" s="54"/>
      <c r="C552" s="57"/>
    </row>
    <row r="553" ht="15.75" customHeight="1">
      <c r="A553" s="54"/>
      <c r="C553" s="57"/>
    </row>
    <row r="554" ht="15.75" customHeight="1">
      <c r="A554" s="54"/>
      <c r="C554" s="57"/>
    </row>
    <row r="555" ht="15.75" customHeight="1">
      <c r="A555" s="54"/>
      <c r="C555" s="57"/>
    </row>
    <row r="556" ht="15.75" customHeight="1">
      <c r="A556" s="54"/>
      <c r="C556" s="57"/>
    </row>
    <row r="557" ht="15.75" customHeight="1">
      <c r="A557" s="54"/>
      <c r="C557" s="57"/>
    </row>
    <row r="558" ht="15.75" customHeight="1">
      <c r="A558" s="54"/>
      <c r="C558" s="57"/>
    </row>
    <row r="559" ht="15.75" customHeight="1">
      <c r="A559" s="54"/>
      <c r="C559" s="57"/>
    </row>
    <row r="560" ht="15.75" customHeight="1">
      <c r="A560" s="54"/>
      <c r="C560" s="57"/>
    </row>
    <row r="561" ht="15.75" customHeight="1">
      <c r="A561" s="54"/>
      <c r="C561" s="57"/>
    </row>
    <row r="562" ht="15.75" customHeight="1">
      <c r="A562" s="54"/>
      <c r="C562" s="57"/>
    </row>
    <row r="563" ht="15.75" customHeight="1">
      <c r="A563" s="54"/>
      <c r="C563" s="57"/>
    </row>
    <row r="564" ht="15.75" customHeight="1">
      <c r="A564" s="54"/>
      <c r="C564" s="57"/>
    </row>
    <row r="565" ht="15.75" customHeight="1">
      <c r="A565" s="54"/>
      <c r="C565" s="57"/>
    </row>
    <row r="566" ht="15.75" customHeight="1">
      <c r="A566" s="54"/>
      <c r="C566" s="57"/>
    </row>
    <row r="567" ht="15.75" customHeight="1">
      <c r="A567" s="54"/>
      <c r="C567" s="57"/>
    </row>
    <row r="568" ht="15.75" customHeight="1">
      <c r="A568" s="54"/>
      <c r="C568" s="57"/>
    </row>
    <row r="569" ht="15.75" customHeight="1">
      <c r="A569" s="54"/>
      <c r="C569" s="57"/>
    </row>
    <row r="570" ht="15.75" customHeight="1">
      <c r="A570" s="54"/>
      <c r="C570" s="57"/>
    </row>
    <row r="571" ht="15.75" customHeight="1">
      <c r="A571" s="54"/>
      <c r="C571" s="57"/>
    </row>
    <row r="572" ht="15.75" customHeight="1">
      <c r="A572" s="54"/>
      <c r="C572" s="57"/>
    </row>
    <row r="573" ht="15.75" customHeight="1">
      <c r="A573" s="54"/>
      <c r="C573" s="57"/>
    </row>
    <row r="574" ht="15.75" customHeight="1">
      <c r="A574" s="54"/>
      <c r="C574" s="57"/>
    </row>
    <row r="575" ht="15.75" customHeight="1">
      <c r="A575" s="54"/>
      <c r="C575" s="57"/>
    </row>
    <row r="576" ht="15.75" customHeight="1">
      <c r="A576" s="54"/>
      <c r="C576" s="57"/>
    </row>
    <row r="577" ht="15.75" customHeight="1">
      <c r="A577" s="54"/>
      <c r="C577" s="57"/>
    </row>
    <row r="578" ht="15.75" customHeight="1">
      <c r="A578" s="54"/>
      <c r="C578" s="57"/>
    </row>
    <row r="579" ht="15.75" customHeight="1">
      <c r="A579" s="54"/>
      <c r="C579" s="57"/>
    </row>
    <row r="580" ht="15.75" customHeight="1">
      <c r="A580" s="54"/>
      <c r="C580" s="57"/>
    </row>
    <row r="581" ht="15.75" customHeight="1">
      <c r="A581" s="54"/>
      <c r="C581" s="57"/>
    </row>
    <row r="582" ht="15.75" customHeight="1">
      <c r="A582" s="54"/>
      <c r="C582" s="57"/>
    </row>
    <row r="583" ht="15.75" customHeight="1">
      <c r="A583" s="54"/>
      <c r="C583" s="57"/>
    </row>
    <row r="584" ht="15.75" customHeight="1">
      <c r="A584" s="54"/>
      <c r="C584" s="57"/>
    </row>
    <row r="585" ht="15.75" customHeight="1">
      <c r="A585" s="54"/>
      <c r="C585" s="57"/>
    </row>
    <row r="586" ht="15.75" customHeight="1">
      <c r="A586" s="54"/>
      <c r="C586" s="57"/>
    </row>
    <row r="587" ht="15.75" customHeight="1">
      <c r="A587" s="54"/>
      <c r="C587" s="57"/>
    </row>
    <row r="588" ht="15.75" customHeight="1">
      <c r="A588" s="54"/>
      <c r="C588" s="57"/>
    </row>
    <row r="589" ht="15.75" customHeight="1">
      <c r="A589" s="54"/>
      <c r="C589" s="57"/>
    </row>
    <row r="590" ht="15.75" customHeight="1">
      <c r="A590" s="54"/>
      <c r="C590" s="57"/>
    </row>
    <row r="591" ht="15.75" customHeight="1">
      <c r="A591" s="54"/>
      <c r="C591" s="57"/>
    </row>
    <row r="592" ht="15.75" customHeight="1">
      <c r="A592" s="54"/>
      <c r="C592" s="57"/>
    </row>
    <row r="593" ht="15.75" customHeight="1">
      <c r="A593" s="54"/>
      <c r="C593" s="57"/>
    </row>
    <row r="594" ht="15.75" customHeight="1">
      <c r="A594" s="54"/>
      <c r="C594" s="57"/>
    </row>
    <row r="595" ht="15.75" customHeight="1">
      <c r="A595" s="54"/>
      <c r="C595" s="57"/>
    </row>
    <row r="596" ht="15.75" customHeight="1">
      <c r="A596" s="54"/>
      <c r="C596" s="57"/>
    </row>
    <row r="597" ht="15.75" customHeight="1">
      <c r="A597" s="54"/>
      <c r="C597" s="57"/>
    </row>
    <row r="598" ht="15.75" customHeight="1">
      <c r="A598" s="54"/>
      <c r="C598" s="57"/>
    </row>
    <row r="599" ht="15.75" customHeight="1">
      <c r="A599" s="54"/>
      <c r="C599" s="57"/>
    </row>
    <row r="600" ht="15.75" customHeight="1">
      <c r="A600" s="54"/>
      <c r="C600" s="57"/>
    </row>
    <row r="601" ht="15.75" customHeight="1">
      <c r="A601" s="54"/>
      <c r="C601" s="57"/>
    </row>
    <row r="602" ht="15.75" customHeight="1">
      <c r="A602" s="54"/>
      <c r="C602" s="57"/>
    </row>
    <row r="603" ht="15.75" customHeight="1">
      <c r="A603" s="54"/>
      <c r="C603" s="57"/>
    </row>
    <row r="604" ht="15.75" customHeight="1">
      <c r="A604" s="54"/>
      <c r="C604" s="57"/>
    </row>
    <row r="605" ht="15.75" customHeight="1">
      <c r="A605" s="54"/>
      <c r="C605" s="57"/>
    </row>
    <row r="606" ht="15.75" customHeight="1">
      <c r="A606" s="54"/>
      <c r="C606" s="57"/>
    </row>
    <row r="607" ht="15.75" customHeight="1">
      <c r="A607" s="54"/>
      <c r="C607" s="57"/>
    </row>
    <row r="608" ht="15.75" customHeight="1">
      <c r="A608" s="54"/>
      <c r="C608" s="57"/>
    </row>
    <row r="609" ht="15.75" customHeight="1">
      <c r="A609" s="54"/>
      <c r="C609" s="57"/>
    </row>
    <row r="610" ht="15.75" customHeight="1">
      <c r="A610" s="54"/>
      <c r="C610" s="57"/>
    </row>
    <row r="611" ht="15.75" customHeight="1">
      <c r="A611" s="54"/>
      <c r="C611" s="57"/>
    </row>
    <row r="612" ht="15.75" customHeight="1">
      <c r="A612" s="54"/>
      <c r="C612" s="57"/>
    </row>
    <row r="613" ht="15.75" customHeight="1">
      <c r="A613" s="54"/>
      <c r="C613" s="57"/>
    </row>
    <row r="614" ht="15.75" customHeight="1">
      <c r="A614" s="54"/>
      <c r="C614" s="57"/>
    </row>
    <row r="615" ht="15.75" customHeight="1">
      <c r="A615" s="54"/>
      <c r="C615" s="57"/>
    </row>
    <row r="616" ht="15.75" customHeight="1">
      <c r="A616" s="54"/>
      <c r="C616" s="57"/>
    </row>
    <row r="617" ht="15.75" customHeight="1">
      <c r="A617" s="54"/>
      <c r="C617" s="57"/>
    </row>
    <row r="618" ht="15.75" customHeight="1">
      <c r="A618" s="54"/>
      <c r="C618" s="57"/>
    </row>
    <row r="619" ht="15.75" customHeight="1">
      <c r="A619" s="54"/>
      <c r="C619" s="57"/>
    </row>
    <row r="620" ht="15.75" customHeight="1">
      <c r="A620" s="54"/>
      <c r="C620" s="57"/>
    </row>
    <row r="621" ht="15.75" customHeight="1">
      <c r="A621" s="54"/>
      <c r="C621" s="57"/>
    </row>
    <row r="622" ht="15.75" customHeight="1">
      <c r="A622" s="54"/>
      <c r="C622" s="57"/>
    </row>
    <row r="623" ht="15.75" customHeight="1">
      <c r="A623" s="54"/>
      <c r="C623" s="57"/>
    </row>
    <row r="624" ht="15.75" customHeight="1">
      <c r="A624" s="54"/>
      <c r="C624" s="57"/>
    </row>
    <row r="625" ht="15.75" customHeight="1">
      <c r="A625" s="54"/>
      <c r="C625" s="57"/>
    </row>
    <row r="626" ht="15.75" customHeight="1">
      <c r="A626" s="54"/>
      <c r="C626" s="57"/>
    </row>
    <row r="627" ht="15.75" customHeight="1">
      <c r="A627" s="54"/>
      <c r="C627" s="57"/>
    </row>
    <row r="628" ht="15.75" customHeight="1">
      <c r="A628" s="54"/>
      <c r="C628" s="57"/>
    </row>
    <row r="629" ht="15.75" customHeight="1">
      <c r="A629" s="54"/>
      <c r="C629" s="57"/>
    </row>
    <row r="630" ht="15.75" customHeight="1">
      <c r="A630" s="54"/>
      <c r="C630" s="57"/>
    </row>
    <row r="631" ht="15.75" customHeight="1">
      <c r="A631" s="54"/>
      <c r="C631" s="57"/>
    </row>
    <row r="632" ht="15.75" customHeight="1">
      <c r="A632" s="54"/>
      <c r="C632" s="57"/>
    </row>
    <row r="633" ht="15.75" customHeight="1">
      <c r="A633" s="54"/>
      <c r="C633" s="57"/>
    </row>
    <row r="634" ht="15.75" customHeight="1">
      <c r="A634" s="54"/>
      <c r="C634" s="57"/>
    </row>
    <row r="635" ht="15.75" customHeight="1">
      <c r="A635" s="54"/>
      <c r="C635" s="57"/>
    </row>
    <row r="636" ht="15.75" customHeight="1">
      <c r="A636" s="54"/>
      <c r="C636" s="57"/>
    </row>
    <row r="637" ht="15.75" customHeight="1">
      <c r="A637" s="54"/>
      <c r="C637" s="57"/>
    </row>
    <row r="638" ht="15.75" customHeight="1">
      <c r="A638" s="54"/>
      <c r="C638" s="57"/>
    </row>
    <row r="639" ht="15.75" customHeight="1">
      <c r="A639" s="54"/>
      <c r="C639" s="57"/>
    </row>
    <row r="640" ht="15.75" customHeight="1">
      <c r="A640" s="54"/>
      <c r="C640" s="57"/>
    </row>
    <row r="641" ht="15.75" customHeight="1">
      <c r="A641" s="54"/>
      <c r="C641" s="57"/>
    </row>
    <row r="642" ht="15.75" customHeight="1">
      <c r="A642" s="54"/>
      <c r="C642" s="57"/>
    </row>
    <row r="643" ht="15.75" customHeight="1">
      <c r="A643" s="54"/>
      <c r="C643" s="57"/>
    </row>
    <row r="644" ht="15.75" customHeight="1">
      <c r="A644" s="54"/>
      <c r="C644" s="57"/>
    </row>
    <row r="645" ht="15.75" customHeight="1">
      <c r="A645" s="54"/>
      <c r="C645" s="57"/>
    </row>
    <row r="646" ht="15.75" customHeight="1">
      <c r="A646" s="54"/>
      <c r="C646" s="57"/>
    </row>
    <row r="647" ht="15.75" customHeight="1">
      <c r="A647" s="54"/>
      <c r="C647" s="57"/>
    </row>
    <row r="648" ht="15.75" customHeight="1">
      <c r="A648" s="54"/>
      <c r="C648" s="57"/>
    </row>
    <row r="649" ht="15.75" customHeight="1">
      <c r="A649" s="54"/>
      <c r="C649" s="57"/>
    </row>
    <row r="650" ht="15.75" customHeight="1">
      <c r="A650" s="54"/>
      <c r="C650" s="57"/>
    </row>
    <row r="651" ht="15.75" customHeight="1">
      <c r="A651" s="54"/>
      <c r="C651" s="57"/>
    </row>
    <row r="652" ht="15.75" customHeight="1">
      <c r="A652" s="54"/>
      <c r="C652" s="57"/>
    </row>
    <row r="653" ht="15.75" customHeight="1">
      <c r="A653" s="54"/>
      <c r="C653" s="57"/>
    </row>
    <row r="654" ht="15.75" customHeight="1">
      <c r="A654" s="54"/>
      <c r="C654" s="57"/>
    </row>
    <row r="655" ht="15.75" customHeight="1">
      <c r="A655" s="54"/>
      <c r="C655" s="57"/>
    </row>
    <row r="656" ht="15.75" customHeight="1">
      <c r="A656" s="54"/>
      <c r="C656" s="57"/>
    </row>
    <row r="657" ht="15.75" customHeight="1">
      <c r="A657" s="54"/>
      <c r="C657" s="57"/>
    </row>
    <row r="658" ht="15.75" customHeight="1">
      <c r="A658" s="54"/>
      <c r="C658" s="57"/>
    </row>
    <row r="659" ht="15.75" customHeight="1">
      <c r="A659" s="54"/>
      <c r="C659" s="57"/>
    </row>
    <row r="660" ht="15.75" customHeight="1">
      <c r="A660" s="54"/>
      <c r="C660" s="57"/>
    </row>
    <row r="661" ht="15.75" customHeight="1">
      <c r="A661" s="54"/>
      <c r="C661" s="57"/>
    </row>
    <row r="662" ht="15.75" customHeight="1">
      <c r="A662" s="54"/>
      <c r="C662" s="57"/>
    </row>
    <row r="663" ht="15.75" customHeight="1">
      <c r="A663" s="54"/>
      <c r="C663" s="57"/>
    </row>
    <row r="664" ht="15.75" customHeight="1">
      <c r="A664" s="54"/>
      <c r="C664" s="57"/>
    </row>
    <row r="665" ht="15.75" customHeight="1">
      <c r="A665" s="54"/>
      <c r="C665" s="57"/>
    </row>
    <row r="666" ht="15.75" customHeight="1">
      <c r="A666" s="54"/>
      <c r="C666" s="57"/>
    </row>
    <row r="667" ht="15.75" customHeight="1">
      <c r="A667" s="54"/>
      <c r="C667" s="57"/>
    </row>
    <row r="668" ht="15.75" customHeight="1">
      <c r="A668" s="54"/>
      <c r="C668" s="57"/>
    </row>
    <row r="669" ht="15.75" customHeight="1">
      <c r="A669" s="54"/>
      <c r="C669" s="57"/>
    </row>
    <row r="670" ht="15.75" customHeight="1">
      <c r="A670" s="54"/>
      <c r="C670" s="57"/>
    </row>
    <row r="671" ht="15.75" customHeight="1">
      <c r="A671" s="54"/>
      <c r="C671" s="57"/>
    </row>
    <row r="672" ht="15.75" customHeight="1">
      <c r="A672" s="54"/>
      <c r="C672" s="57"/>
    </row>
    <row r="673" ht="15.75" customHeight="1">
      <c r="A673" s="54"/>
      <c r="C673" s="57"/>
    </row>
    <row r="674" ht="15.75" customHeight="1">
      <c r="A674" s="54"/>
      <c r="C674" s="57"/>
    </row>
    <row r="675" ht="15.75" customHeight="1">
      <c r="A675" s="54"/>
      <c r="C675" s="57"/>
    </row>
    <row r="676" ht="15.75" customHeight="1">
      <c r="A676" s="54"/>
      <c r="C676" s="57"/>
    </row>
    <row r="677" ht="15.75" customHeight="1">
      <c r="A677" s="54"/>
      <c r="C677" s="57"/>
    </row>
    <row r="678" ht="15.75" customHeight="1">
      <c r="A678" s="54"/>
      <c r="C678" s="57"/>
    </row>
    <row r="679" ht="15.75" customHeight="1">
      <c r="A679" s="54"/>
      <c r="C679" s="57"/>
    </row>
    <row r="680" ht="15.75" customHeight="1">
      <c r="A680" s="54"/>
      <c r="C680" s="57"/>
    </row>
    <row r="681" ht="15.75" customHeight="1">
      <c r="A681" s="54"/>
      <c r="C681" s="57"/>
    </row>
    <row r="682" ht="15.75" customHeight="1">
      <c r="A682" s="54"/>
      <c r="C682" s="57"/>
    </row>
    <row r="683" ht="15.75" customHeight="1">
      <c r="A683" s="54"/>
      <c r="C683" s="57"/>
    </row>
    <row r="684" ht="15.75" customHeight="1">
      <c r="A684" s="54"/>
      <c r="C684" s="57"/>
    </row>
    <row r="685" ht="15.75" customHeight="1">
      <c r="A685" s="54"/>
      <c r="C685" s="57"/>
    </row>
    <row r="686" ht="15.75" customHeight="1">
      <c r="A686" s="54"/>
      <c r="C686" s="57"/>
    </row>
    <row r="687" ht="15.75" customHeight="1">
      <c r="A687" s="54"/>
      <c r="C687" s="57"/>
    </row>
    <row r="688" ht="15.75" customHeight="1">
      <c r="A688" s="54"/>
      <c r="C688" s="57"/>
    </row>
    <row r="689" ht="15.75" customHeight="1">
      <c r="A689" s="54"/>
      <c r="C689" s="57"/>
    </row>
    <row r="690" ht="15.75" customHeight="1">
      <c r="A690" s="54"/>
      <c r="C690" s="57"/>
    </row>
    <row r="691" ht="15.75" customHeight="1">
      <c r="A691" s="54"/>
      <c r="C691" s="57"/>
    </row>
    <row r="692" ht="15.75" customHeight="1">
      <c r="A692" s="54"/>
      <c r="C692" s="57"/>
    </row>
    <row r="693" ht="15.75" customHeight="1">
      <c r="A693" s="54"/>
      <c r="C693" s="57"/>
    </row>
    <row r="694" ht="15.75" customHeight="1">
      <c r="A694" s="54"/>
      <c r="C694" s="57"/>
    </row>
    <row r="695" ht="15.75" customHeight="1">
      <c r="A695" s="54"/>
      <c r="C695" s="57"/>
    </row>
    <row r="696" ht="15.75" customHeight="1">
      <c r="A696" s="54"/>
      <c r="C696" s="57"/>
    </row>
    <row r="697" ht="15.75" customHeight="1">
      <c r="A697" s="54"/>
      <c r="C697" s="57"/>
    </row>
    <row r="698" ht="15.75" customHeight="1">
      <c r="A698" s="54"/>
      <c r="C698" s="57"/>
    </row>
    <row r="699" ht="15.75" customHeight="1">
      <c r="A699" s="54"/>
      <c r="C699" s="57"/>
    </row>
    <row r="700" ht="15.75" customHeight="1">
      <c r="A700" s="54"/>
      <c r="C700" s="57"/>
    </row>
    <row r="701" ht="15.75" customHeight="1">
      <c r="A701" s="54"/>
      <c r="C701" s="57"/>
    </row>
    <row r="702" ht="15.75" customHeight="1">
      <c r="A702" s="54"/>
      <c r="C702" s="57"/>
    </row>
    <row r="703" ht="15.75" customHeight="1">
      <c r="A703" s="54"/>
      <c r="C703" s="57"/>
    </row>
    <row r="704" ht="15.75" customHeight="1">
      <c r="A704" s="54"/>
      <c r="C704" s="57"/>
    </row>
    <row r="705" ht="15.75" customHeight="1">
      <c r="A705" s="54"/>
      <c r="C705" s="57"/>
    </row>
    <row r="706" ht="15.75" customHeight="1">
      <c r="A706" s="54"/>
      <c r="C706" s="57"/>
    </row>
    <row r="707" ht="15.75" customHeight="1">
      <c r="A707" s="54"/>
      <c r="C707" s="57"/>
    </row>
    <row r="708" ht="15.75" customHeight="1">
      <c r="A708" s="54"/>
      <c r="C708" s="57"/>
    </row>
    <row r="709" ht="15.75" customHeight="1">
      <c r="A709" s="54"/>
      <c r="C709" s="57"/>
    </row>
    <row r="710" ht="15.75" customHeight="1">
      <c r="A710" s="54"/>
      <c r="C710" s="57"/>
    </row>
    <row r="711" ht="15.75" customHeight="1">
      <c r="A711" s="54"/>
      <c r="C711" s="57"/>
    </row>
    <row r="712" ht="15.75" customHeight="1">
      <c r="A712" s="54"/>
      <c r="C712" s="57"/>
    </row>
    <row r="713" ht="15.75" customHeight="1">
      <c r="A713" s="54"/>
      <c r="C713" s="57"/>
    </row>
    <row r="714" ht="15.75" customHeight="1">
      <c r="A714" s="54"/>
      <c r="C714" s="57"/>
    </row>
    <row r="715" ht="15.75" customHeight="1">
      <c r="A715" s="54"/>
      <c r="C715" s="57"/>
    </row>
    <row r="716" ht="15.75" customHeight="1">
      <c r="A716" s="54"/>
      <c r="C716" s="57"/>
    </row>
    <row r="717" ht="15.75" customHeight="1">
      <c r="A717" s="54"/>
      <c r="C717" s="57"/>
    </row>
    <row r="718" ht="15.75" customHeight="1">
      <c r="A718" s="54"/>
      <c r="C718" s="57"/>
    </row>
    <row r="719" ht="15.75" customHeight="1">
      <c r="A719" s="54"/>
      <c r="C719" s="57"/>
    </row>
    <row r="720" ht="15.75" customHeight="1">
      <c r="A720" s="54"/>
      <c r="C720" s="57"/>
    </row>
    <row r="721" ht="15.75" customHeight="1">
      <c r="A721" s="54"/>
      <c r="C721" s="57"/>
    </row>
    <row r="722" ht="15.75" customHeight="1">
      <c r="A722" s="54"/>
      <c r="C722" s="57"/>
    </row>
    <row r="723" ht="15.75" customHeight="1">
      <c r="A723" s="54"/>
      <c r="C723" s="57"/>
    </row>
    <row r="724" ht="15.75" customHeight="1">
      <c r="A724" s="54"/>
      <c r="C724" s="57"/>
    </row>
    <row r="725" ht="15.75" customHeight="1">
      <c r="A725" s="54"/>
      <c r="C725" s="57"/>
    </row>
    <row r="726" ht="15.75" customHeight="1">
      <c r="A726" s="54"/>
      <c r="C726" s="57"/>
    </row>
    <row r="727" ht="15.75" customHeight="1">
      <c r="A727" s="54"/>
      <c r="C727" s="57"/>
    </row>
    <row r="728" ht="15.75" customHeight="1">
      <c r="A728" s="54"/>
      <c r="C728" s="57"/>
    </row>
    <row r="729" ht="15.75" customHeight="1">
      <c r="A729" s="54"/>
      <c r="C729" s="57"/>
    </row>
    <row r="730" ht="15.75" customHeight="1">
      <c r="A730" s="54"/>
      <c r="C730" s="57"/>
    </row>
    <row r="731" ht="15.75" customHeight="1">
      <c r="A731" s="54"/>
      <c r="C731" s="57"/>
    </row>
    <row r="732" ht="15.75" customHeight="1">
      <c r="A732" s="54"/>
      <c r="C732" s="57"/>
    </row>
    <row r="733" ht="15.75" customHeight="1">
      <c r="A733" s="54"/>
      <c r="C733" s="57"/>
    </row>
    <row r="734" ht="15.75" customHeight="1">
      <c r="A734" s="54"/>
      <c r="C734" s="57"/>
    </row>
    <row r="735" ht="15.75" customHeight="1">
      <c r="A735" s="54"/>
      <c r="C735" s="57"/>
    </row>
    <row r="736" ht="15.75" customHeight="1">
      <c r="A736" s="54"/>
      <c r="C736" s="57"/>
    </row>
    <row r="737" ht="15.75" customHeight="1">
      <c r="A737" s="54"/>
      <c r="C737" s="57"/>
    </row>
    <row r="738" ht="15.75" customHeight="1">
      <c r="A738" s="54"/>
      <c r="C738" s="57"/>
    </row>
    <row r="739" ht="15.75" customHeight="1">
      <c r="A739" s="54"/>
      <c r="C739" s="57"/>
    </row>
    <row r="740" ht="15.75" customHeight="1">
      <c r="A740" s="54"/>
      <c r="C740" s="57"/>
    </row>
    <row r="741" ht="15.75" customHeight="1">
      <c r="A741" s="54"/>
      <c r="C741" s="57"/>
    </row>
    <row r="742" ht="15.75" customHeight="1">
      <c r="A742" s="54"/>
      <c r="C742" s="57"/>
    </row>
    <row r="743" ht="15.75" customHeight="1">
      <c r="A743" s="54"/>
      <c r="C743" s="57"/>
    </row>
    <row r="744" ht="15.75" customHeight="1">
      <c r="A744" s="54"/>
      <c r="C744" s="57"/>
    </row>
    <row r="745" ht="15.75" customHeight="1">
      <c r="A745" s="54"/>
      <c r="C745" s="57"/>
    </row>
    <row r="746" ht="15.75" customHeight="1">
      <c r="A746" s="54"/>
      <c r="C746" s="57"/>
    </row>
    <row r="747" ht="15.75" customHeight="1">
      <c r="A747" s="54"/>
      <c r="C747" s="57"/>
    </row>
    <row r="748" ht="15.75" customHeight="1">
      <c r="A748" s="54"/>
      <c r="C748" s="57"/>
    </row>
    <row r="749" ht="15.75" customHeight="1">
      <c r="A749" s="54"/>
      <c r="C749" s="57"/>
    </row>
    <row r="750" ht="15.75" customHeight="1">
      <c r="A750" s="54"/>
      <c r="C750" s="57"/>
    </row>
    <row r="751" ht="15.75" customHeight="1">
      <c r="A751" s="54"/>
      <c r="C751" s="57"/>
    </row>
    <row r="752" ht="15.75" customHeight="1">
      <c r="A752" s="54"/>
      <c r="C752" s="57"/>
    </row>
    <row r="753" ht="15.75" customHeight="1">
      <c r="A753" s="54"/>
      <c r="C753" s="57"/>
    </row>
    <row r="754" ht="15.75" customHeight="1">
      <c r="A754" s="54"/>
      <c r="C754" s="57"/>
    </row>
    <row r="755" ht="15.75" customHeight="1">
      <c r="A755" s="54"/>
      <c r="C755" s="57"/>
    </row>
    <row r="756" ht="15.75" customHeight="1">
      <c r="A756" s="54"/>
      <c r="C756" s="57"/>
    </row>
    <row r="757" ht="15.75" customHeight="1">
      <c r="A757" s="54"/>
      <c r="C757" s="57"/>
    </row>
    <row r="758" ht="15.75" customHeight="1">
      <c r="A758" s="54"/>
      <c r="C758" s="57"/>
    </row>
    <row r="759" ht="15.75" customHeight="1">
      <c r="A759" s="54"/>
      <c r="C759" s="57"/>
    </row>
    <row r="760" ht="15.75" customHeight="1">
      <c r="A760" s="54"/>
      <c r="C760" s="57"/>
    </row>
    <row r="761" ht="15.75" customHeight="1">
      <c r="A761" s="54"/>
      <c r="C761" s="57"/>
    </row>
    <row r="762" ht="15.75" customHeight="1">
      <c r="A762" s="54"/>
      <c r="C762" s="57"/>
    </row>
    <row r="763" ht="15.75" customHeight="1">
      <c r="A763" s="54"/>
      <c r="C763" s="57"/>
    </row>
    <row r="764" ht="15.75" customHeight="1">
      <c r="A764" s="54"/>
      <c r="C764" s="57"/>
    </row>
    <row r="765" ht="15.75" customHeight="1">
      <c r="A765" s="54"/>
      <c r="C765" s="57"/>
    </row>
    <row r="766" ht="15.75" customHeight="1">
      <c r="A766" s="54"/>
      <c r="C766" s="57"/>
    </row>
    <row r="767" ht="15.75" customHeight="1">
      <c r="A767" s="54"/>
      <c r="C767" s="57"/>
    </row>
    <row r="768" ht="15.75" customHeight="1">
      <c r="A768" s="54"/>
      <c r="C768" s="57"/>
    </row>
    <row r="769" ht="15.75" customHeight="1">
      <c r="A769" s="54"/>
      <c r="C769" s="57"/>
    </row>
    <row r="770" ht="15.75" customHeight="1">
      <c r="A770" s="54"/>
      <c r="C770" s="57"/>
    </row>
    <row r="771" ht="15.75" customHeight="1">
      <c r="A771" s="54"/>
      <c r="C771" s="57"/>
    </row>
    <row r="772" ht="15.75" customHeight="1">
      <c r="A772" s="54"/>
      <c r="C772" s="57"/>
    </row>
    <row r="773" ht="15.75" customHeight="1">
      <c r="A773" s="54"/>
      <c r="C773" s="57"/>
    </row>
    <row r="774" ht="15.75" customHeight="1">
      <c r="A774" s="54"/>
      <c r="C774" s="57"/>
    </row>
    <row r="775" ht="15.75" customHeight="1">
      <c r="A775" s="54"/>
      <c r="C775" s="57"/>
    </row>
    <row r="776" ht="15.75" customHeight="1">
      <c r="A776" s="54"/>
      <c r="C776" s="57"/>
    </row>
    <row r="777" ht="15.75" customHeight="1">
      <c r="A777" s="54"/>
      <c r="C777" s="57"/>
    </row>
    <row r="778" ht="15.75" customHeight="1">
      <c r="A778" s="54"/>
      <c r="C778" s="57"/>
    </row>
    <row r="779" ht="15.75" customHeight="1">
      <c r="A779" s="54"/>
      <c r="C779" s="57"/>
    </row>
    <row r="780" ht="15.75" customHeight="1">
      <c r="A780" s="54"/>
      <c r="C780" s="57"/>
    </row>
    <row r="781" ht="15.75" customHeight="1">
      <c r="A781" s="54"/>
      <c r="C781" s="57"/>
    </row>
    <row r="782" ht="15.75" customHeight="1">
      <c r="A782" s="54"/>
      <c r="C782" s="57"/>
    </row>
    <row r="783" ht="15.75" customHeight="1">
      <c r="A783" s="54"/>
      <c r="C783" s="57"/>
    </row>
    <row r="784" ht="15.75" customHeight="1">
      <c r="A784" s="54"/>
      <c r="C784" s="57"/>
    </row>
    <row r="785" ht="15.75" customHeight="1">
      <c r="A785" s="54"/>
      <c r="C785" s="57"/>
    </row>
    <row r="786" ht="15.75" customHeight="1">
      <c r="A786" s="54"/>
      <c r="C786" s="57"/>
    </row>
    <row r="787" ht="15.75" customHeight="1">
      <c r="A787" s="54"/>
      <c r="C787" s="57"/>
    </row>
    <row r="788" ht="15.75" customHeight="1">
      <c r="A788" s="54"/>
      <c r="C788" s="57"/>
    </row>
    <row r="789" ht="15.75" customHeight="1">
      <c r="A789" s="54"/>
      <c r="C789" s="57"/>
    </row>
    <row r="790" ht="15.75" customHeight="1">
      <c r="A790" s="54"/>
      <c r="C790" s="57"/>
    </row>
    <row r="791" ht="15.75" customHeight="1">
      <c r="A791" s="54"/>
      <c r="C791" s="57"/>
    </row>
    <row r="792" ht="15.75" customHeight="1">
      <c r="A792" s="54"/>
      <c r="C792" s="57"/>
    </row>
    <row r="793" ht="15.75" customHeight="1">
      <c r="A793" s="54"/>
      <c r="C793" s="57"/>
    </row>
    <row r="794" ht="15.75" customHeight="1">
      <c r="A794" s="54"/>
      <c r="C794" s="57"/>
    </row>
    <row r="795" ht="15.75" customHeight="1">
      <c r="A795" s="54"/>
      <c r="C795" s="57"/>
    </row>
    <row r="796" ht="15.75" customHeight="1">
      <c r="A796" s="54"/>
      <c r="C796" s="57"/>
    </row>
    <row r="797" ht="15.75" customHeight="1">
      <c r="A797" s="54"/>
      <c r="C797" s="57"/>
    </row>
    <row r="798" ht="15.75" customHeight="1">
      <c r="A798" s="54"/>
      <c r="C798" s="57"/>
    </row>
    <row r="799" ht="15.75" customHeight="1">
      <c r="A799" s="54"/>
      <c r="C799" s="57"/>
    </row>
    <row r="800" ht="15.75" customHeight="1">
      <c r="A800" s="54"/>
      <c r="C800" s="57"/>
    </row>
    <row r="801" ht="15.75" customHeight="1">
      <c r="A801" s="54"/>
      <c r="C801" s="57"/>
    </row>
    <row r="802" ht="15.75" customHeight="1">
      <c r="A802" s="54"/>
      <c r="C802" s="57"/>
    </row>
    <row r="803" ht="15.75" customHeight="1">
      <c r="A803" s="54"/>
      <c r="C803" s="57"/>
    </row>
    <row r="804" ht="15.75" customHeight="1">
      <c r="A804" s="54"/>
      <c r="C804" s="57"/>
    </row>
    <row r="805" ht="15.75" customHeight="1">
      <c r="A805" s="54"/>
      <c r="C805" s="57"/>
    </row>
    <row r="806" ht="15.75" customHeight="1">
      <c r="A806" s="54"/>
      <c r="C806" s="57"/>
    </row>
    <row r="807" ht="15.75" customHeight="1">
      <c r="A807" s="54"/>
      <c r="C807" s="57"/>
    </row>
    <row r="808" ht="15.75" customHeight="1">
      <c r="A808" s="54"/>
      <c r="C808" s="57"/>
    </row>
    <row r="809" ht="15.75" customHeight="1">
      <c r="A809" s="54"/>
      <c r="C809" s="57"/>
    </row>
    <row r="810" ht="15.75" customHeight="1">
      <c r="A810" s="54"/>
      <c r="C810" s="57"/>
    </row>
    <row r="811" ht="15.75" customHeight="1">
      <c r="A811" s="54"/>
      <c r="C811" s="57"/>
    </row>
    <row r="812" ht="15.75" customHeight="1">
      <c r="A812" s="54"/>
      <c r="C812" s="57"/>
    </row>
    <row r="813" ht="15.75" customHeight="1">
      <c r="A813" s="54"/>
      <c r="C813" s="57"/>
    </row>
    <row r="814" ht="15.75" customHeight="1">
      <c r="A814" s="54"/>
      <c r="C814" s="57"/>
    </row>
    <row r="815" ht="15.75" customHeight="1">
      <c r="A815" s="54"/>
      <c r="C815" s="57"/>
    </row>
    <row r="816" ht="15.75" customHeight="1">
      <c r="A816" s="54"/>
      <c r="C816" s="57"/>
    </row>
    <row r="817" ht="15.75" customHeight="1">
      <c r="A817" s="54"/>
      <c r="C817" s="57"/>
    </row>
    <row r="818" ht="15.75" customHeight="1">
      <c r="A818" s="54"/>
      <c r="C818" s="57"/>
    </row>
    <row r="819" ht="15.75" customHeight="1">
      <c r="A819" s="54"/>
      <c r="C819" s="57"/>
    </row>
    <row r="820" ht="15.75" customHeight="1">
      <c r="A820" s="54"/>
      <c r="C820" s="57"/>
    </row>
    <row r="821" ht="15.75" customHeight="1">
      <c r="A821" s="54"/>
      <c r="C821" s="57"/>
    </row>
    <row r="822" ht="15.75" customHeight="1">
      <c r="A822" s="54"/>
      <c r="C822" s="57"/>
    </row>
    <row r="823" ht="15.75" customHeight="1">
      <c r="A823" s="54"/>
      <c r="C823" s="57"/>
    </row>
    <row r="824" ht="15.75" customHeight="1">
      <c r="A824" s="54"/>
      <c r="C824" s="57"/>
    </row>
    <row r="825" ht="15.75" customHeight="1">
      <c r="A825" s="54"/>
      <c r="C825" s="57"/>
    </row>
    <row r="826" ht="15.75" customHeight="1">
      <c r="A826" s="54"/>
      <c r="C826" s="57"/>
    </row>
    <row r="827" ht="15.75" customHeight="1">
      <c r="A827" s="54"/>
      <c r="C827" s="57"/>
    </row>
    <row r="828" ht="15.75" customHeight="1">
      <c r="A828" s="54"/>
      <c r="C828" s="57"/>
    </row>
    <row r="829" ht="15.75" customHeight="1">
      <c r="A829" s="54"/>
      <c r="C829" s="57"/>
    </row>
    <row r="830" ht="15.75" customHeight="1">
      <c r="A830" s="54"/>
      <c r="C830" s="57"/>
    </row>
    <row r="831" ht="15.75" customHeight="1">
      <c r="A831" s="54"/>
      <c r="C831" s="57"/>
    </row>
    <row r="832" ht="15.75" customHeight="1">
      <c r="A832" s="54"/>
      <c r="C832" s="57"/>
    </row>
    <row r="833" ht="15.75" customHeight="1">
      <c r="A833" s="54"/>
      <c r="C833" s="57"/>
    </row>
    <row r="834" ht="15.75" customHeight="1">
      <c r="A834" s="54"/>
      <c r="C834" s="57"/>
    </row>
    <row r="835" ht="15.75" customHeight="1">
      <c r="A835" s="54"/>
      <c r="C835" s="57"/>
    </row>
    <row r="836" ht="15.75" customHeight="1">
      <c r="A836" s="54"/>
      <c r="C836" s="57"/>
    </row>
    <row r="837" ht="15.75" customHeight="1">
      <c r="A837" s="54"/>
      <c r="C837" s="57"/>
    </row>
    <row r="838" ht="15.75" customHeight="1">
      <c r="A838" s="54"/>
      <c r="C838" s="57"/>
    </row>
    <row r="839" ht="15.75" customHeight="1">
      <c r="A839" s="54"/>
      <c r="C839" s="57"/>
    </row>
    <row r="840" ht="15.75" customHeight="1">
      <c r="A840" s="54"/>
      <c r="C840" s="57"/>
    </row>
    <row r="841" ht="15.75" customHeight="1">
      <c r="A841" s="54"/>
      <c r="C841" s="57"/>
    </row>
    <row r="842" ht="15.75" customHeight="1">
      <c r="A842" s="54"/>
      <c r="C842" s="57"/>
    </row>
    <row r="843" ht="15.75" customHeight="1">
      <c r="A843" s="54"/>
      <c r="C843" s="57"/>
    </row>
    <row r="844" ht="15.75" customHeight="1">
      <c r="A844" s="54"/>
      <c r="C844" s="57"/>
    </row>
    <row r="845" ht="15.75" customHeight="1">
      <c r="A845" s="54"/>
      <c r="C845" s="57"/>
    </row>
    <row r="846" ht="15.75" customHeight="1">
      <c r="A846" s="54"/>
      <c r="C846" s="57"/>
    </row>
    <row r="847" ht="15.75" customHeight="1">
      <c r="A847" s="54"/>
      <c r="C847" s="57"/>
    </row>
    <row r="848" ht="15.75" customHeight="1">
      <c r="A848" s="54"/>
      <c r="C848" s="57"/>
    </row>
    <row r="849" ht="15.75" customHeight="1">
      <c r="A849" s="54"/>
      <c r="C849" s="57"/>
    </row>
    <row r="850" ht="15.75" customHeight="1">
      <c r="A850" s="54"/>
      <c r="C850" s="57"/>
    </row>
    <row r="851" ht="15.75" customHeight="1">
      <c r="A851" s="54"/>
      <c r="C851" s="57"/>
    </row>
    <row r="852" ht="15.75" customHeight="1">
      <c r="A852" s="54"/>
      <c r="C852" s="57"/>
    </row>
    <row r="853" ht="15.75" customHeight="1">
      <c r="A853" s="54"/>
      <c r="C853" s="57"/>
    </row>
    <row r="854" ht="15.75" customHeight="1">
      <c r="A854" s="54"/>
      <c r="C854" s="57"/>
    </row>
    <row r="855" ht="15.75" customHeight="1">
      <c r="A855" s="54"/>
      <c r="C855" s="57"/>
    </row>
    <row r="856" ht="15.75" customHeight="1">
      <c r="A856" s="54"/>
      <c r="C856" s="57"/>
    </row>
    <row r="857" ht="15.75" customHeight="1">
      <c r="A857" s="54"/>
      <c r="C857" s="57"/>
    </row>
    <row r="858" ht="15.75" customHeight="1">
      <c r="A858" s="54"/>
      <c r="C858" s="57"/>
    </row>
    <row r="859" ht="15.75" customHeight="1">
      <c r="A859" s="54"/>
      <c r="C859" s="57"/>
    </row>
    <row r="860" ht="15.75" customHeight="1">
      <c r="A860" s="54"/>
      <c r="C860" s="57"/>
    </row>
    <row r="861" ht="15.75" customHeight="1">
      <c r="A861" s="54"/>
      <c r="C861" s="57"/>
    </row>
    <row r="862" ht="15.75" customHeight="1">
      <c r="A862" s="54"/>
      <c r="C862" s="57"/>
    </row>
    <row r="863" ht="15.75" customHeight="1">
      <c r="A863" s="54"/>
      <c r="C863" s="57"/>
    </row>
    <row r="864" ht="15.75" customHeight="1">
      <c r="A864" s="54"/>
      <c r="C864" s="57"/>
    </row>
    <row r="865" ht="15.75" customHeight="1">
      <c r="A865" s="54"/>
      <c r="C865" s="57"/>
    </row>
    <row r="866" ht="15.75" customHeight="1">
      <c r="A866" s="54"/>
      <c r="C866" s="57"/>
    </row>
    <row r="867" ht="15.75" customHeight="1">
      <c r="A867" s="54"/>
      <c r="C867" s="57"/>
    </row>
    <row r="868" ht="15.75" customHeight="1">
      <c r="A868" s="54"/>
      <c r="C868" s="57"/>
    </row>
    <row r="869" ht="15.75" customHeight="1">
      <c r="A869" s="54"/>
      <c r="C869" s="57"/>
    </row>
    <row r="870" ht="15.75" customHeight="1">
      <c r="A870" s="54"/>
      <c r="C870" s="57"/>
    </row>
    <row r="871" ht="15.75" customHeight="1">
      <c r="A871" s="54"/>
      <c r="C871" s="57"/>
    </row>
    <row r="872" ht="15.75" customHeight="1">
      <c r="A872" s="54"/>
      <c r="C872" s="57"/>
    </row>
    <row r="873" ht="15.75" customHeight="1">
      <c r="A873" s="54"/>
      <c r="C873" s="57"/>
    </row>
    <row r="874" ht="15.75" customHeight="1">
      <c r="A874" s="54"/>
      <c r="C874" s="57"/>
    </row>
    <row r="875" ht="15.75" customHeight="1">
      <c r="A875" s="54"/>
      <c r="C875" s="57"/>
    </row>
    <row r="876" ht="15.75" customHeight="1">
      <c r="A876" s="54"/>
      <c r="C876" s="57"/>
    </row>
    <row r="877" ht="15.75" customHeight="1">
      <c r="A877" s="54"/>
      <c r="C877" s="57"/>
    </row>
    <row r="878" ht="15.75" customHeight="1">
      <c r="A878" s="54"/>
      <c r="C878" s="57"/>
    </row>
    <row r="879" ht="15.75" customHeight="1">
      <c r="A879" s="54"/>
      <c r="C879" s="57"/>
    </row>
    <row r="880" ht="15.75" customHeight="1">
      <c r="A880" s="54"/>
      <c r="C880" s="57"/>
    </row>
    <row r="881" ht="15.75" customHeight="1">
      <c r="A881" s="54"/>
      <c r="C881" s="57"/>
    </row>
    <row r="882" ht="15.75" customHeight="1">
      <c r="A882" s="54"/>
      <c r="C882" s="57"/>
    </row>
    <row r="883" ht="15.75" customHeight="1">
      <c r="A883" s="54"/>
      <c r="C883" s="57"/>
    </row>
    <row r="884" ht="15.75" customHeight="1">
      <c r="A884" s="54"/>
      <c r="C884" s="57"/>
    </row>
    <row r="885" ht="15.75" customHeight="1">
      <c r="A885" s="54"/>
      <c r="C885" s="57"/>
    </row>
    <row r="886" ht="15.75" customHeight="1">
      <c r="A886" s="54"/>
      <c r="C886" s="57"/>
    </row>
    <row r="887" ht="15.75" customHeight="1">
      <c r="A887" s="54"/>
      <c r="C887" s="57"/>
    </row>
    <row r="888" ht="15.75" customHeight="1">
      <c r="A888" s="54"/>
      <c r="C888" s="57"/>
    </row>
    <row r="889" ht="15.75" customHeight="1">
      <c r="A889" s="54"/>
      <c r="C889" s="57"/>
    </row>
    <row r="890" ht="15.75" customHeight="1">
      <c r="A890" s="54"/>
      <c r="C890" s="57"/>
    </row>
    <row r="891" ht="15.75" customHeight="1">
      <c r="A891" s="54"/>
      <c r="C891" s="57"/>
    </row>
    <row r="892" ht="15.75" customHeight="1">
      <c r="A892" s="54"/>
      <c r="C892" s="57"/>
    </row>
    <row r="893" ht="15.75" customHeight="1">
      <c r="A893" s="54"/>
      <c r="C893" s="57"/>
    </row>
    <row r="894" ht="15.75" customHeight="1">
      <c r="A894" s="54"/>
      <c r="C894" s="57"/>
    </row>
    <row r="895" ht="15.75" customHeight="1">
      <c r="A895" s="54"/>
      <c r="C895" s="57"/>
    </row>
    <row r="896" ht="15.75" customHeight="1">
      <c r="A896" s="54"/>
      <c r="C896" s="57"/>
    </row>
    <row r="897" ht="15.75" customHeight="1">
      <c r="A897" s="54"/>
      <c r="C897" s="57"/>
    </row>
    <row r="898" ht="15.75" customHeight="1">
      <c r="A898" s="54"/>
      <c r="C898" s="57"/>
    </row>
    <row r="899" ht="15.75" customHeight="1">
      <c r="A899" s="54"/>
      <c r="C899" s="57"/>
    </row>
    <row r="900" ht="15.75" customHeight="1">
      <c r="A900" s="54"/>
      <c r="C900" s="57"/>
    </row>
    <row r="901" ht="15.75" customHeight="1">
      <c r="A901" s="54"/>
      <c r="C901" s="57"/>
    </row>
    <row r="902" ht="15.75" customHeight="1">
      <c r="A902" s="54"/>
      <c r="C902" s="57"/>
    </row>
    <row r="903" ht="15.75" customHeight="1">
      <c r="A903" s="54"/>
      <c r="C903" s="57"/>
    </row>
    <row r="904" ht="15.75" customHeight="1">
      <c r="A904" s="54"/>
      <c r="C904" s="57"/>
    </row>
    <row r="905" ht="15.75" customHeight="1">
      <c r="A905" s="54"/>
      <c r="C905" s="57"/>
    </row>
    <row r="906" ht="15.75" customHeight="1">
      <c r="A906" s="54"/>
      <c r="C906" s="57"/>
    </row>
    <row r="907" ht="15.75" customHeight="1">
      <c r="A907" s="54"/>
      <c r="C907" s="57"/>
    </row>
    <row r="908" ht="15.75" customHeight="1">
      <c r="A908" s="54"/>
      <c r="C908" s="57"/>
    </row>
    <row r="909" ht="15.75" customHeight="1">
      <c r="A909" s="54"/>
      <c r="C909" s="57"/>
    </row>
    <row r="910" ht="15.75" customHeight="1">
      <c r="A910" s="54"/>
      <c r="C910" s="57"/>
    </row>
    <row r="911" ht="15.75" customHeight="1">
      <c r="A911" s="54"/>
      <c r="C911" s="57"/>
    </row>
    <row r="912" ht="15.75" customHeight="1">
      <c r="A912" s="54"/>
      <c r="C912" s="57"/>
    </row>
    <row r="913" ht="15.75" customHeight="1">
      <c r="A913" s="54"/>
      <c r="C913" s="57"/>
    </row>
    <row r="914" ht="15.75" customHeight="1">
      <c r="A914" s="54"/>
      <c r="C914" s="57"/>
    </row>
    <row r="915" ht="15.75" customHeight="1">
      <c r="A915" s="54"/>
      <c r="C915" s="57"/>
    </row>
    <row r="916" ht="15.75" customHeight="1">
      <c r="A916" s="54"/>
      <c r="C916" s="57"/>
    </row>
    <row r="917" ht="15.75" customHeight="1">
      <c r="A917" s="54"/>
      <c r="C917" s="57"/>
    </row>
    <row r="918" ht="15.75" customHeight="1">
      <c r="A918" s="54"/>
      <c r="C918" s="57"/>
    </row>
    <row r="919" ht="15.75" customHeight="1">
      <c r="A919" s="54"/>
      <c r="C919" s="57"/>
    </row>
    <row r="920" ht="15.75" customHeight="1">
      <c r="A920" s="54"/>
      <c r="C920" s="57"/>
    </row>
    <row r="921" ht="15.75" customHeight="1">
      <c r="A921" s="54"/>
      <c r="C921" s="57"/>
    </row>
    <row r="922" ht="15.75" customHeight="1">
      <c r="A922" s="54"/>
      <c r="C922" s="57"/>
    </row>
    <row r="923" ht="15.75" customHeight="1">
      <c r="A923" s="54"/>
      <c r="C923" s="57"/>
    </row>
    <row r="924" ht="15.75" customHeight="1">
      <c r="A924" s="54"/>
      <c r="C924" s="57"/>
    </row>
    <row r="925" ht="15.75" customHeight="1">
      <c r="A925" s="54"/>
      <c r="C925" s="57"/>
    </row>
    <row r="926" ht="15.75" customHeight="1">
      <c r="A926" s="54"/>
      <c r="C926" s="57"/>
    </row>
    <row r="927" ht="15.75" customHeight="1">
      <c r="A927" s="54"/>
      <c r="C927" s="57"/>
    </row>
    <row r="928" ht="15.75" customHeight="1">
      <c r="A928" s="54"/>
      <c r="C928" s="57"/>
    </row>
    <row r="929" ht="15.75" customHeight="1">
      <c r="A929" s="54"/>
      <c r="C929" s="57"/>
    </row>
    <row r="930" ht="15.75" customHeight="1">
      <c r="A930" s="54"/>
      <c r="C930" s="57"/>
    </row>
    <row r="931" ht="15.75" customHeight="1">
      <c r="A931" s="54"/>
      <c r="C931" s="57"/>
    </row>
    <row r="932" ht="15.75" customHeight="1">
      <c r="A932" s="54"/>
      <c r="C932" s="57"/>
    </row>
    <row r="933" ht="15.75" customHeight="1">
      <c r="A933" s="54"/>
      <c r="C933" s="57"/>
    </row>
    <row r="934" ht="15.75" customHeight="1">
      <c r="A934" s="54"/>
      <c r="C934" s="57"/>
    </row>
    <row r="935" ht="15.75" customHeight="1">
      <c r="A935" s="54"/>
      <c r="C935" s="57"/>
    </row>
    <row r="936" ht="15.75" customHeight="1">
      <c r="A936" s="54"/>
      <c r="C936" s="57"/>
    </row>
    <row r="937" ht="15.75" customHeight="1">
      <c r="A937" s="54"/>
      <c r="C937" s="57"/>
    </row>
    <row r="938" ht="15.75" customHeight="1">
      <c r="A938" s="54"/>
      <c r="C938" s="57"/>
    </row>
    <row r="939" ht="15.75" customHeight="1">
      <c r="A939" s="54"/>
      <c r="C939" s="57"/>
    </row>
    <row r="940" ht="15.75" customHeight="1">
      <c r="A940" s="54"/>
      <c r="C940" s="57"/>
    </row>
    <row r="941" ht="15.75" customHeight="1">
      <c r="A941" s="54"/>
      <c r="C941" s="57"/>
    </row>
    <row r="942" ht="15.75" customHeight="1">
      <c r="A942" s="54"/>
      <c r="C942" s="57"/>
    </row>
    <row r="943" ht="15.75" customHeight="1">
      <c r="A943" s="54"/>
      <c r="C943" s="57"/>
    </row>
    <row r="944" ht="15.75" customHeight="1">
      <c r="A944" s="54"/>
      <c r="C944" s="57"/>
    </row>
    <row r="945" ht="15.75" customHeight="1">
      <c r="A945" s="54"/>
      <c r="C945" s="57"/>
    </row>
    <row r="946" ht="15.75" customHeight="1">
      <c r="A946" s="54"/>
      <c r="C946" s="57"/>
    </row>
    <row r="947" ht="15.75" customHeight="1">
      <c r="A947" s="54"/>
      <c r="C947" s="57"/>
    </row>
    <row r="948" ht="15.75" customHeight="1">
      <c r="A948" s="54"/>
      <c r="C948" s="57"/>
    </row>
    <row r="949" ht="15.75" customHeight="1">
      <c r="A949" s="54"/>
      <c r="C949" s="57"/>
    </row>
    <row r="950" ht="15.75" customHeight="1">
      <c r="A950" s="54"/>
      <c r="C950" s="57"/>
    </row>
    <row r="951" ht="15.75" customHeight="1">
      <c r="A951" s="54"/>
      <c r="C951" s="57"/>
    </row>
    <row r="952" ht="15.75" customHeight="1">
      <c r="A952" s="54"/>
      <c r="C952" s="57"/>
    </row>
    <row r="953" ht="15.75" customHeight="1">
      <c r="A953" s="54"/>
      <c r="C953" s="57"/>
    </row>
    <row r="954" ht="15.75" customHeight="1">
      <c r="A954" s="54"/>
      <c r="C954" s="57"/>
    </row>
    <row r="955" ht="15.75" customHeight="1">
      <c r="A955" s="54"/>
      <c r="C955" s="57"/>
    </row>
    <row r="956" ht="15.75" customHeight="1">
      <c r="A956" s="54"/>
      <c r="C956" s="57"/>
    </row>
    <row r="957" ht="15.75" customHeight="1">
      <c r="A957" s="54"/>
      <c r="C957" s="57"/>
    </row>
    <row r="958" ht="15.75" customHeight="1">
      <c r="A958" s="54"/>
      <c r="C958" s="57"/>
    </row>
    <row r="959" ht="15.75" customHeight="1">
      <c r="A959" s="54"/>
      <c r="C959" s="57"/>
    </row>
    <row r="960" ht="15.75" customHeight="1">
      <c r="A960" s="54"/>
      <c r="C960" s="57"/>
    </row>
    <row r="961" ht="15.75" customHeight="1">
      <c r="A961" s="54"/>
      <c r="C961" s="57"/>
    </row>
    <row r="962" ht="15.75" customHeight="1">
      <c r="A962" s="54"/>
      <c r="C962" s="57"/>
    </row>
    <row r="963" ht="15.75" customHeight="1">
      <c r="A963" s="54"/>
      <c r="C963" s="57"/>
    </row>
    <row r="964" ht="15.75" customHeight="1">
      <c r="A964" s="54"/>
      <c r="C964" s="57"/>
    </row>
    <row r="965" ht="15.75" customHeight="1">
      <c r="A965" s="54"/>
      <c r="C965" s="57"/>
    </row>
    <row r="966" ht="15.75" customHeight="1">
      <c r="A966" s="54"/>
      <c r="C966" s="57"/>
    </row>
    <row r="967" ht="15.75" customHeight="1">
      <c r="A967" s="54"/>
      <c r="C967" s="57"/>
    </row>
    <row r="968" ht="15.75" customHeight="1">
      <c r="A968" s="54"/>
      <c r="C968" s="57"/>
    </row>
    <row r="969" ht="15.75" customHeight="1">
      <c r="A969" s="54"/>
      <c r="C969" s="57"/>
    </row>
    <row r="970" ht="15.75" customHeight="1">
      <c r="A970" s="54"/>
      <c r="C970" s="57"/>
    </row>
    <row r="971" ht="15.75" customHeight="1">
      <c r="A971" s="54"/>
      <c r="C971" s="57"/>
    </row>
    <row r="972" ht="15.75" customHeight="1">
      <c r="A972" s="54"/>
      <c r="C972" s="57"/>
    </row>
    <row r="973" ht="15.75" customHeight="1">
      <c r="A973" s="54"/>
      <c r="C973" s="57"/>
    </row>
    <row r="974" ht="15.75" customHeight="1">
      <c r="A974" s="54"/>
      <c r="C974" s="57"/>
    </row>
    <row r="975" ht="15.75" customHeight="1">
      <c r="A975" s="54"/>
      <c r="C975" s="57"/>
    </row>
    <row r="976" ht="15.75" customHeight="1">
      <c r="A976" s="54"/>
      <c r="C976" s="57"/>
    </row>
    <row r="977" ht="15.75" customHeight="1">
      <c r="A977" s="54"/>
      <c r="C977" s="57"/>
    </row>
    <row r="978" ht="15.75" customHeight="1">
      <c r="A978" s="54"/>
      <c r="C978" s="57"/>
    </row>
    <row r="979" ht="15.75" customHeight="1">
      <c r="A979" s="54"/>
      <c r="C979" s="57"/>
    </row>
    <row r="980" ht="15.75" customHeight="1">
      <c r="A980" s="54"/>
      <c r="C980" s="57"/>
    </row>
    <row r="981" ht="15.75" customHeight="1">
      <c r="A981" s="54"/>
      <c r="C981" s="57"/>
    </row>
    <row r="982" ht="15.75" customHeight="1">
      <c r="A982" s="54"/>
      <c r="C982" s="57"/>
    </row>
    <row r="983" ht="15.75" customHeight="1">
      <c r="A983" s="54"/>
      <c r="C983" s="57"/>
    </row>
    <row r="984" ht="15.75" customHeight="1">
      <c r="A984" s="54"/>
      <c r="C984" s="57"/>
    </row>
    <row r="985" ht="15.75" customHeight="1">
      <c r="A985" s="54"/>
      <c r="C985" s="57"/>
    </row>
    <row r="986" ht="15.75" customHeight="1">
      <c r="A986" s="54"/>
      <c r="C986" s="57"/>
    </row>
    <row r="987" ht="15.75" customHeight="1">
      <c r="A987" s="54"/>
      <c r="C987" s="57"/>
    </row>
    <row r="988" ht="15.75" customHeight="1">
      <c r="A988" s="54"/>
      <c r="C988" s="57"/>
    </row>
    <row r="989" ht="15.75" customHeight="1">
      <c r="A989" s="54"/>
      <c r="C989" s="57"/>
    </row>
    <row r="990" ht="15.75" customHeight="1">
      <c r="A990" s="54"/>
      <c r="C990" s="57"/>
    </row>
    <row r="991" ht="15.75" customHeight="1">
      <c r="A991" s="54"/>
      <c r="C991" s="57"/>
    </row>
    <row r="992" ht="15.75" customHeight="1">
      <c r="A992" s="54"/>
      <c r="C992" s="57"/>
    </row>
    <row r="993" ht="15.75" customHeight="1">
      <c r="A993" s="54"/>
      <c r="C993" s="57"/>
    </row>
    <row r="994" ht="15.75" customHeight="1">
      <c r="A994" s="54"/>
      <c r="C994" s="57"/>
    </row>
    <row r="995" ht="15.75" customHeight="1">
      <c r="A995" s="54"/>
      <c r="C995" s="57"/>
    </row>
    <row r="996" ht="15.75" customHeight="1">
      <c r="A996" s="54"/>
      <c r="C996" s="57"/>
    </row>
    <row r="997" ht="15.75" customHeight="1">
      <c r="A997" s="54"/>
      <c r="C997" s="57"/>
    </row>
    <row r="998" ht="15.75" customHeight="1">
      <c r="A998" s="54"/>
      <c r="C998" s="57"/>
    </row>
    <row r="999" ht="15.75" customHeight="1">
      <c r="A999" s="54"/>
      <c r="C999" s="57"/>
    </row>
    <row r="1000" ht="15.75" customHeight="1">
      <c r="A1000" s="54"/>
      <c r="C1000" s="57"/>
    </row>
  </sheetData>
  <conditionalFormatting sqref="B1:B1000">
    <cfRule type="cellIs" dxfId="0" priority="1" operator="equal">
      <formula>"TRUE"</formula>
    </cfRule>
  </conditionalFormatting>
  <conditionalFormatting sqref="B2:B1000">
    <cfRule type="cellIs" dxfId="1" priority="2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0"/>
    <col customWidth="1" min="3" max="3" width="62.43"/>
    <col customWidth="1" min="4" max="4" width="26.86"/>
    <col customWidth="1" min="5" max="5" width="17.43"/>
    <col customWidth="1" min="6" max="6" width="17.14"/>
    <col customWidth="1" min="7" max="7" width="16.71"/>
    <col customWidth="1" min="8" max="8" width="17.14"/>
    <col customWidth="1" min="9" max="9" width="17.57"/>
    <col customWidth="1" min="10" max="24" width="8.71"/>
  </cols>
  <sheetData>
    <row r="1" ht="13.5" customHeight="1">
      <c r="A1" s="58" t="s">
        <v>193</v>
      </c>
      <c r="B1" s="55" t="s">
        <v>194</v>
      </c>
      <c r="C1" s="55" t="s">
        <v>195</v>
      </c>
      <c r="D1" s="55" t="s">
        <v>196</v>
      </c>
      <c r="E1" s="59" t="s">
        <v>197</v>
      </c>
      <c r="F1" s="8" t="s">
        <v>39</v>
      </c>
      <c r="G1" s="4" t="s">
        <v>40</v>
      </c>
      <c r="H1" s="4" t="s">
        <v>41</v>
      </c>
      <c r="I1" s="4" t="s">
        <v>42</v>
      </c>
    </row>
    <row r="2" ht="13.5" customHeight="1">
      <c r="A2" s="60">
        <v>1.0</v>
      </c>
      <c r="B2" s="61" t="s">
        <v>198</v>
      </c>
      <c r="C2" s="62" t="s">
        <v>199</v>
      </c>
      <c r="D2" s="63" t="s">
        <v>200</v>
      </c>
      <c r="E2" s="64">
        <v>0.25</v>
      </c>
      <c r="F2" s="65"/>
      <c r="G2" s="65"/>
      <c r="H2" s="66"/>
      <c r="I2" s="66"/>
    </row>
    <row r="3" ht="13.5" customHeight="1">
      <c r="A3" s="67">
        <v>2.0</v>
      </c>
      <c r="B3" s="68" t="s">
        <v>201</v>
      </c>
      <c r="C3" s="69" t="s">
        <v>202</v>
      </c>
      <c r="D3" s="70" t="s">
        <v>203</v>
      </c>
      <c r="E3" s="71">
        <v>0.25</v>
      </c>
      <c r="F3" s="72"/>
      <c r="G3" s="72"/>
      <c r="H3" s="73"/>
      <c r="I3" s="73"/>
    </row>
    <row r="4" ht="13.5" customHeight="1">
      <c r="A4" s="74">
        <v>3.0</v>
      </c>
      <c r="B4" s="34" t="s">
        <v>204</v>
      </c>
      <c r="C4" s="36" t="s">
        <v>205</v>
      </c>
      <c r="D4" s="33" t="s">
        <v>206</v>
      </c>
      <c r="E4" s="75">
        <v>0.25</v>
      </c>
      <c r="F4" s="76"/>
      <c r="G4" s="76"/>
      <c r="H4" s="77"/>
      <c r="I4" s="77"/>
    </row>
    <row r="5" ht="13.5" customHeight="1">
      <c r="A5" s="78">
        <v>4.0</v>
      </c>
      <c r="B5" s="79" t="s">
        <v>207</v>
      </c>
      <c r="C5" s="80" t="s">
        <v>208</v>
      </c>
      <c r="D5" s="81" t="s">
        <v>209</v>
      </c>
      <c r="E5" s="82">
        <v>0.25</v>
      </c>
      <c r="F5" s="83"/>
      <c r="G5" s="84"/>
      <c r="H5" s="83"/>
      <c r="I5" s="83"/>
    </row>
    <row r="6" ht="13.5" customHeight="1">
      <c r="A6" s="85"/>
      <c r="B6" s="86"/>
      <c r="C6" s="86"/>
      <c r="D6" s="87"/>
      <c r="E6" s="88"/>
      <c r="F6" s="86"/>
      <c r="G6" s="86"/>
      <c r="H6" s="89"/>
      <c r="I6" s="89"/>
    </row>
    <row r="7" ht="13.5" customHeight="1">
      <c r="A7" s="90"/>
      <c r="D7" s="38"/>
      <c r="E7" s="91"/>
      <c r="H7" s="4"/>
      <c r="I7" s="4"/>
    </row>
    <row r="8" ht="13.5" customHeight="1">
      <c r="A8" s="54"/>
      <c r="E8" s="91"/>
    </row>
    <row r="9" ht="13.5" customHeight="1">
      <c r="A9" s="54"/>
      <c r="E9" s="59"/>
    </row>
    <row r="10" ht="13.5" customHeight="1">
      <c r="A10" s="54"/>
      <c r="E10" s="59"/>
    </row>
    <row r="11" ht="13.5" customHeight="1">
      <c r="A11" s="54"/>
      <c r="E11" s="91"/>
    </row>
    <row r="12" ht="13.5" customHeight="1">
      <c r="A12" s="54"/>
      <c r="E12" s="59"/>
    </row>
    <row r="13" ht="13.5" customHeight="1">
      <c r="A13" s="54"/>
      <c r="E13" s="59"/>
    </row>
    <row r="14" ht="13.5" customHeight="1">
      <c r="A14" s="54"/>
      <c r="E14" s="59"/>
    </row>
    <row r="15" ht="13.5" customHeight="1">
      <c r="A15" s="54"/>
      <c r="E15" s="59"/>
    </row>
    <row r="16" ht="13.5" customHeight="1">
      <c r="A16" s="54"/>
      <c r="C16" s="53"/>
      <c r="E16" s="59"/>
    </row>
    <row r="17" ht="13.5" customHeight="1">
      <c r="A17" s="54"/>
      <c r="E17" s="59"/>
    </row>
    <row r="18" ht="13.5" customHeight="1">
      <c r="A18" s="54"/>
      <c r="E18" s="59"/>
      <c r="G18" s="4"/>
    </row>
    <row r="19" ht="13.5" customHeight="1">
      <c r="A19" s="54"/>
      <c r="E19" s="59"/>
    </row>
    <row r="20" ht="13.5" customHeight="1">
      <c r="A20" s="54"/>
      <c r="E20" s="59"/>
    </row>
    <row r="21" ht="13.5" customHeight="1">
      <c r="A21" s="54"/>
      <c r="E21" s="59"/>
    </row>
    <row r="22" ht="13.5" customHeight="1">
      <c r="A22" s="54"/>
      <c r="E22" s="59"/>
    </row>
    <row r="23" ht="13.5" customHeight="1">
      <c r="A23" s="54"/>
      <c r="E23" s="59"/>
    </row>
    <row r="24" ht="13.5" customHeight="1">
      <c r="A24" s="54"/>
      <c r="E24" s="59"/>
    </row>
    <row r="25" ht="13.5" customHeight="1">
      <c r="A25" s="54"/>
      <c r="E25" s="59"/>
    </row>
    <row r="26" ht="13.5" customHeight="1">
      <c r="A26" s="54"/>
      <c r="E26" s="59"/>
    </row>
    <row r="27" ht="13.5" customHeight="1">
      <c r="A27" s="54"/>
      <c r="E27" s="59"/>
    </row>
    <row r="28" ht="13.5" customHeight="1">
      <c r="A28" s="54"/>
      <c r="E28" s="59"/>
    </row>
    <row r="29" ht="13.5" customHeight="1">
      <c r="A29" s="54"/>
      <c r="E29" s="59"/>
    </row>
    <row r="30" ht="13.5" customHeight="1">
      <c r="A30" s="54"/>
      <c r="E30" s="59"/>
    </row>
    <row r="31" ht="13.5" customHeight="1">
      <c r="A31" s="54"/>
      <c r="E31" s="59"/>
    </row>
    <row r="32" ht="13.5" customHeight="1">
      <c r="A32" s="54"/>
      <c r="E32" s="59"/>
    </row>
    <row r="33" ht="13.5" customHeight="1">
      <c r="A33" s="54"/>
      <c r="E33" s="59"/>
    </row>
    <row r="34" ht="13.5" customHeight="1">
      <c r="A34" s="54"/>
      <c r="E34" s="59"/>
    </row>
    <row r="35" ht="13.5" customHeight="1">
      <c r="A35" s="54"/>
      <c r="E35" s="59"/>
    </row>
    <row r="36" ht="13.5" customHeight="1">
      <c r="A36" s="54"/>
      <c r="E36" s="59"/>
    </row>
    <row r="37" ht="13.5" customHeight="1">
      <c r="A37" s="54"/>
      <c r="E37" s="59"/>
    </row>
    <row r="38" ht="13.5" customHeight="1">
      <c r="A38" s="54"/>
      <c r="E38" s="59"/>
    </row>
    <row r="39" ht="13.5" customHeight="1">
      <c r="A39" s="54"/>
      <c r="E39" s="59"/>
    </row>
    <row r="40" ht="13.5" customHeight="1">
      <c r="A40" s="54"/>
      <c r="E40" s="59"/>
    </row>
    <row r="41" ht="13.5" customHeight="1">
      <c r="A41" s="54"/>
      <c r="E41" s="59"/>
    </row>
    <row r="42" ht="13.5" customHeight="1">
      <c r="A42" s="54"/>
      <c r="E42" s="59"/>
    </row>
    <row r="43" ht="13.5" customHeight="1">
      <c r="A43" s="54"/>
      <c r="E43" s="59"/>
    </row>
    <row r="44" ht="13.5" customHeight="1">
      <c r="A44" s="54"/>
      <c r="E44" s="59"/>
    </row>
    <row r="45" ht="13.5" customHeight="1">
      <c r="A45" s="54"/>
      <c r="E45" s="59"/>
    </row>
    <row r="46" ht="13.5" customHeight="1">
      <c r="A46" s="54"/>
      <c r="E46" s="59"/>
    </row>
    <row r="47" ht="13.5" customHeight="1">
      <c r="A47" s="54"/>
      <c r="E47" s="59"/>
    </row>
    <row r="48" ht="13.5" customHeight="1">
      <c r="A48" s="54"/>
      <c r="E48" s="59"/>
    </row>
    <row r="49" ht="13.5" customHeight="1">
      <c r="A49" s="54"/>
      <c r="E49" s="59"/>
    </row>
    <row r="50" ht="13.5" customHeight="1">
      <c r="A50" s="54"/>
      <c r="E50" s="59"/>
    </row>
    <row r="51" ht="13.5" customHeight="1">
      <c r="A51" s="54"/>
      <c r="E51" s="59"/>
    </row>
    <row r="52" ht="13.5" customHeight="1">
      <c r="A52" s="54"/>
      <c r="E52" s="59"/>
    </row>
    <row r="53" ht="13.5" customHeight="1">
      <c r="A53" s="54"/>
      <c r="E53" s="59"/>
    </row>
    <row r="54" ht="13.5" customHeight="1">
      <c r="A54" s="54"/>
      <c r="E54" s="59"/>
    </row>
    <row r="55" ht="13.5" customHeight="1">
      <c r="A55" s="54"/>
      <c r="E55" s="59"/>
    </row>
    <row r="56" ht="13.5" customHeight="1">
      <c r="A56" s="54"/>
      <c r="E56" s="59"/>
    </row>
    <row r="57" ht="13.5" customHeight="1">
      <c r="A57" s="54"/>
      <c r="E57" s="59"/>
    </row>
    <row r="58" ht="13.5" customHeight="1">
      <c r="A58" s="54"/>
      <c r="E58" s="59"/>
    </row>
    <row r="59" ht="13.5" customHeight="1">
      <c r="A59" s="54"/>
      <c r="E59" s="59"/>
    </row>
    <row r="60" ht="13.5" customHeight="1">
      <c r="A60" s="54"/>
      <c r="E60" s="59"/>
    </row>
    <row r="61" ht="13.5" customHeight="1">
      <c r="A61" s="54"/>
      <c r="E61" s="59"/>
    </row>
    <row r="62" ht="13.5" customHeight="1">
      <c r="A62" s="54"/>
      <c r="E62" s="59"/>
    </row>
    <row r="63" ht="13.5" customHeight="1">
      <c r="A63" s="54"/>
      <c r="E63" s="59"/>
    </row>
    <row r="64" ht="13.5" customHeight="1">
      <c r="A64" s="54"/>
      <c r="E64" s="59"/>
    </row>
    <row r="65" ht="13.5" customHeight="1">
      <c r="A65" s="54"/>
      <c r="E65" s="59"/>
    </row>
    <row r="66" ht="13.5" customHeight="1">
      <c r="A66" s="54"/>
      <c r="E66" s="59"/>
    </row>
    <row r="67" ht="13.5" customHeight="1">
      <c r="A67" s="54"/>
      <c r="E67" s="59"/>
    </row>
    <row r="68" ht="13.5" customHeight="1">
      <c r="A68" s="54"/>
      <c r="E68" s="59"/>
    </row>
    <row r="69" ht="13.5" customHeight="1">
      <c r="A69" s="54"/>
      <c r="E69" s="59"/>
    </row>
    <row r="70" ht="13.5" customHeight="1">
      <c r="A70" s="54"/>
      <c r="E70" s="59"/>
    </row>
    <row r="71" ht="13.5" customHeight="1">
      <c r="A71" s="54"/>
      <c r="E71" s="59"/>
    </row>
    <row r="72" ht="13.5" customHeight="1">
      <c r="A72" s="54"/>
      <c r="E72" s="59"/>
    </row>
    <row r="73" ht="13.5" customHeight="1">
      <c r="A73" s="54"/>
      <c r="E73" s="59"/>
    </row>
    <row r="74" ht="13.5" customHeight="1">
      <c r="A74" s="54"/>
      <c r="E74" s="59"/>
    </row>
    <row r="75" ht="13.5" customHeight="1">
      <c r="A75" s="54"/>
      <c r="E75" s="59"/>
    </row>
    <row r="76" ht="13.5" customHeight="1">
      <c r="A76" s="54"/>
      <c r="E76" s="59"/>
    </row>
    <row r="77" ht="13.5" customHeight="1">
      <c r="A77" s="54"/>
      <c r="E77" s="59"/>
    </row>
    <row r="78" ht="13.5" customHeight="1">
      <c r="A78" s="54"/>
      <c r="E78" s="59"/>
    </row>
    <row r="79" ht="13.5" customHeight="1">
      <c r="A79" s="54"/>
      <c r="E79" s="59"/>
    </row>
    <row r="80" ht="13.5" customHeight="1">
      <c r="A80" s="54"/>
      <c r="E80" s="59"/>
    </row>
    <row r="81" ht="13.5" customHeight="1">
      <c r="A81" s="54"/>
      <c r="E81" s="59"/>
    </row>
    <row r="82" ht="13.5" customHeight="1">
      <c r="A82" s="54"/>
      <c r="E82" s="59"/>
    </row>
    <row r="83" ht="13.5" customHeight="1">
      <c r="A83" s="54"/>
      <c r="E83" s="59"/>
    </row>
    <row r="84" ht="13.5" customHeight="1">
      <c r="A84" s="54"/>
      <c r="E84" s="59"/>
    </row>
    <row r="85" ht="13.5" customHeight="1">
      <c r="A85" s="54"/>
      <c r="E85" s="59"/>
    </row>
    <row r="86" ht="13.5" customHeight="1">
      <c r="A86" s="54"/>
      <c r="E86" s="59"/>
    </row>
    <row r="87" ht="13.5" customHeight="1">
      <c r="A87" s="54"/>
      <c r="E87" s="59"/>
    </row>
    <row r="88" ht="13.5" customHeight="1">
      <c r="A88" s="54"/>
      <c r="E88" s="59"/>
    </row>
    <row r="89" ht="13.5" customHeight="1">
      <c r="A89" s="54"/>
      <c r="E89" s="59"/>
    </row>
    <row r="90" ht="13.5" customHeight="1">
      <c r="A90" s="54"/>
      <c r="E90" s="59"/>
    </row>
    <row r="91" ht="13.5" customHeight="1">
      <c r="A91" s="54"/>
      <c r="E91" s="59"/>
    </row>
    <row r="92" ht="13.5" customHeight="1">
      <c r="A92" s="54"/>
      <c r="E92" s="59"/>
    </row>
    <row r="93" ht="13.5" customHeight="1">
      <c r="A93" s="54"/>
      <c r="E93" s="59"/>
    </row>
    <row r="94" ht="13.5" customHeight="1">
      <c r="A94" s="54"/>
      <c r="E94" s="59"/>
    </row>
    <row r="95" ht="13.5" customHeight="1">
      <c r="A95" s="54"/>
      <c r="E95" s="59"/>
    </row>
    <row r="96" ht="13.5" customHeight="1">
      <c r="A96" s="54"/>
      <c r="E96" s="59"/>
    </row>
    <row r="97" ht="13.5" customHeight="1">
      <c r="A97" s="54"/>
      <c r="E97" s="59"/>
    </row>
    <row r="98" ht="13.5" customHeight="1">
      <c r="A98" s="54"/>
      <c r="E98" s="59"/>
    </row>
    <row r="99" ht="13.5" customHeight="1">
      <c r="A99" s="54"/>
      <c r="E99" s="59"/>
    </row>
    <row r="100" ht="13.5" customHeight="1">
      <c r="A100" s="54"/>
      <c r="E100" s="59"/>
    </row>
    <row r="101" ht="13.5" customHeight="1">
      <c r="A101" s="54"/>
      <c r="E101" s="59"/>
    </row>
    <row r="102" ht="13.5" customHeight="1">
      <c r="A102" s="54"/>
      <c r="E102" s="59"/>
    </row>
    <row r="103" ht="13.5" customHeight="1">
      <c r="A103" s="54"/>
      <c r="E103" s="59"/>
    </row>
    <row r="104" ht="13.5" customHeight="1">
      <c r="A104" s="54"/>
      <c r="E104" s="59"/>
    </row>
    <row r="105" ht="13.5" customHeight="1">
      <c r="A105" s="54"/>
      <c r="E105" s="59"/>
    </row>
    <row r="106" ht="13.5" customHeight="1">
      <c r="A106" s="54"/>
      <c r="E106" s="59"/>
    </row>
    <row r="107" ht="13.5" customHeight="1">
      <c r="A107" s="54"/>
      <c r="E107" s="59"/>
    </row>
    <row r="108" ht="13.5" customHeight="1">
      <c r="A108" s="54"/>
      <c r="E108" s="59"/>
    </row>
    <row r="109" ht="13.5" customHeight="1">
      <c r="A109" s="54"/>
      <c r="E109" s="59"/>
    </row>
    <row r="110" ht="13.5" customHeight="1">
      <c r="A110" s="54"/>
      <c r="E110" s="59"/>
    </row>
    <row r="111" ht="13.5" customHeight="1">
      <c r="A111" s="54"/>
      <c r="E111" s="59"/>
    </row>
    <row r="112" ht="13.5" customHeight="1">
      <c r="A112" s="54"/>
      <c r="E112" s="59"/>
    </row>
    <row r="113" ht="13.5" customHeight="1">
      <c r="A113" s="54"/>
      <c r="E113" s="59"/>
    </row>
    <row r="114" ht="13.5" customHeight="1">
      <c r="A114" s="54"/>
      <c r="E114" s="59"/>
    </row>
    <row r="115" ht="13.5" customHeight="1">
      <c r="A115" s="54"/>
      <c r="E115" s="59"/>
    </row>
    <row r="116" ht="13.5" customHeight="1">
      <c r="A116" s="54"/>
      <c r="E116" s="59"/>
    </row>
    <row r="117" ht="13.5" customHeight="1">
      <c r="A117" s="54"/>
      <c r="E117" s="59"/>
    </row>
    <row r="118" ht="13.5" customHeight="1">
      <c r="A118" s="54"/>
      <c r="E118" s="59"/>
    </row>
    <row r="119" ht="13.5" customHeight="1">
      <c r="A119" s="54"/>
      <c r="E119" s="59"/>
    </row>
    <row r="120" ht="13.5" customHeight="1">
      <c r="A120" s="54"/>
      <c r="E120" s="59"/>
    </row>
    <row r="121" ht="13.5" customHeight="1">
      <c r="A121" s="54"/>
      <c r="E121" s="59"/>
    </row>
    <row r="122" ht="13.5" customHeight="1">
      <c r="A122" s="54"/>
      <c r="E122" s="59"/>
    </row>
    <row r="123" ht="13.5" customHeight="1">
      <c r="A123" s="54"/>
      <c r="E123" s="59"/>
    </row>
    <row r="124" ht="13.5" customHeight="1">
      <c r="A124" s="54"/>
      <c r="E124" s="59"/>
    </row>
    <row r="125" ht="13.5" customHeight="1">
      <c r="A125" s="54"/>
      <c r="E125" s="59"/>
    </row>
    <row r="126" ht="13.5" customHeight="1">
      <c r="A126" s="54"/>
      <c r="E126" s="59"/>
    </row>
    <row r="127" ht="13.5" customHeight="1">
      <c r="A127" s="54"/>
      <c r="E127" s="59"/>
    </row>
    <row r="128" ht="13.5" customHeight="1">
      <c r="A128" s="54"/>
      <c r="E128" s="59"/>
    </row>
    <row r="129" ht="13.5" customHeight="1">
      <c r="A129" s="54"/>
      <c r="E129" s="59"/>
    </row>
    <row r="130" ht="13.5" customHeight="1">
      <c r="A130" s="54"/>
      <c r="E130" s="59"/>
    </row>
    <row r="131" ht="13.5" customHeight="1">
      <c r="A131" s="54"/>
      <c r="E131" s="59"/>
    </row>
    <row r="132" ht="13.5" customHeight="1">
      <c r="A132" s="54"/>
      <c r="E132" s="59"/>
    </row>
    <row r="133" ht="13.5" customHeight="1">
      <c r="A133" s="54"/>
      <c r="E133" s="59"/>
    </row>
    <row r="134" ht="13.5" customHeight="1">
      <c r="A134" s="54"/>
      <c r="E134" s="59"/>
    </row>
    <row r="135" ht="13.5" customHeight="1">
      <c r="A135" s="54"/>
      <c r="E135" s="59"/>
    </row>
    <row r="136" ht="13.5" customHeight="1">
      <c r="A136" s="54"/>
      <c r="E136" s="59"/>
    </row>
    <row r="137" ht="13.5" customHeight="1">
      <c r="A137" s="54"/>
      <c r="E137" s="59"/>
    </row>
    <row r="138" ht="13.5" customHeight="1">
      <c r="A138" s="54"/>
      <c r="E138" s="59"/>
    </row>
    <row r="139" ht="13.5" customHeight="1">
      <c r="A139" s="54"/>
      <c r="E139" s="59"/>
    </row>
    <row r="140" ht="13.5" customHeight="1">
      <c r="A140" s="54"/>
      <c r="E140" s="59"/>
    </row>
    <row r="141" ht="13.5" customHeight="1">
      <c r="A141" s="54"/>
      <c r="E141" s="59"/>
    </row>
    <row r="142" ht="13.5" customHeight="1">
      <c r="A142" s="54"/>
      <c r="E142" s="59"/>
    </row>
    <row r="143" ht="13.5" customHeight="1">
      <c r="A143" s="54"/>
      <c r="E143" s="59"/>
    </row>
    <row r="144" ht="13.5" customHeight="1">
      <c r="A144" s="54"/>
      <c r="E144" s="59"/>
    </row>
    <row r="145" ht="13.5" customHeight="1">
      <c r="A145" s="54"/>
      <c r="E145" s="59"/>
    </row>
    <row r="146" ht="13.5" customHeight="1">
      <c r="A146" s="54"/>
      <c r="E146" s="59"/>
    </row>
    <row r="147" ht="13.5" customHeight="1">
      <c r="A147" s="54"/>
      <c r="E147" s="59"/>
    </row>
    <row r="148" ht="13.5" customHeight="1">
      <c r="A148" s="54"/>
      <c r="E148" s="59"/>
    </row>
    <row r="149" ht="13.5" customHeight="1">
      <c r="A149" s="54"/>
      <c r="E149" s="59"/>
    </row>
    <row r="150" ht="13.5" customHeight="1">
      <c r="A150" s="54"/>
      <c r="E150" s="59"/>
    </row>
    <row r="151" ht="13.5" customHeight="1">
      <c r="A151" s="54"/>
      <c r="E151" s="59"/>
    </row>
    <row r="152" ht="13.5" customHeight="1">
      <c r="A152" s="54"/>
      <c r="E152" s="59"/>
    </row>
    <row r="153" ht="13.5" customHeight="1">
      <c r="A153" s="54"/>
      <c r="E153" s="59"/>
    </row>
    <row r="154" ht="13.5" customHeight="1">
      <c r="A154" s="54"/>
      <c r="E154" s="59"/>
    </row>
    <row r="155" ht="13.5" customHeight="1">
      <c r="A155" s="54"/>
      <c r="E155" s="59"/>
    </row>
    <row r="156" ht="13.5" customHeight="1">
      <c r="A156" s="54"/>
      <c r="E156" s="59"/>
    </row>
    <row r="157" ht="13.5" customHeight="1">
      <c r="A157" s="54"/>
      <c r="E157" s="59"/>
    </row>
    <row r="158" ht="13.5" customHeight="1">
      <c r="A158" s="54"/>
      <c r="E158" s="59"/>
    </row>
    <row r="159" ht="13.5" customHeight="1">
      <c r="A159" s="54"/>
      <c r="E159" s="59"/>
    </row>
    <row r="160" ht="13.5" customHeight="1">
      <c r="A160" s="54"/>
      <c r="E160" s="59"/>
    </row>
    <row r="161" ht="13.5" customHeight="1">
      <c r="A161" s="54"/>
      <c r="E161" s="59"/>
    </row>
    <row r="162" ht="13.5" customHeight="1">
      <c r="A162" s="54"/>
      <c r="E162" s="59"/>
    </row>
    <row r="163" ht="13.5" customHeight="1">
      <c r="A163" s="54"/>
      <c r="E163" s="59"/>
    </row>
    <row r="164" ht="13.5" customHeight="1">
      <c r="A164" s="54"/>
      <c r="E164" s="59"/>
    </row>
    <row r="165" ht="13.5" customHeight="1">
      <c r="A165" s="54"/>
      <c r="E165" s="59"/>
    </row>
    <row r="166" ht="13.5" customHeight="1">
      <c r="A166" s="54"/>
      <c r="E166" s="59"/>
    </row>
    <row r="167" ht="13.5" customHeight="1">
      <c r="A167" s="54"/>
      <c r="E167" s="59"/>
    </row>
    <row r="168" ht="13.5" customHeight="1">
      <c r="A168" s="54"/>
      <c r="E168" s="59"/>
    </row>
    <row r="169" ht="13.5" customHeight="1">
      <c r="A169" s="54"/>
      <c r="E169" s="59"/>
    </row>
    <row r="170" ht="13.5" customHeight="1">
      <c r="A170" s="54"/>
      <c r="E170" s="59"/>
    </row>
    <row r="171" ht="13.5" customHeight="1">
      <c r="A171" s="54"/>
      <c r="E171" s="59"/>
    </row>
    <row r="172" ht="13.5" customHeight="1">
      <c r="A172" s="54"/>
      <c r="E172" s="59"/>
    </row>
    <row r="173" ht="13.5" customHeight="1">
      <c r="A173" s="54"/>
      <c r="E173" s="59"/>
    </row>
    <row r="174" ht="13.5" customHeight="1">
      <c r="A174" s="54"/>
      <c r="E174" s="59"/>
    </row>
    <row r="175" ht="13.5" customHeight="1">
      <c r="A175" s="54"/>
      <c r="E175" s="59"/>
    </row>
    <row r="176" ht="13.5" customHeight="1">
      <c r="A176" s="54"/>
      <c r="E176" s="59"/>
    </row>
    <row r="177" ht="13.5" customHeight="1">
      <c r="A177" s="54"/>
      <c r="E177" s="59"/>
    </row>
    <row r="178" ht="13.5" customHeight="1">
      <c r="A178" s="54"/>
      <c r="E178" s="59"/>
    </row>
    <row r="179" ht="13.5" customHeight="1">
      <c r="A179" s="54"/>
      <c r="E179" s="59"/>
    </row>
    <row r="180" ht="13.5" customHeight="1">
      <c r="A180" s="54"/>
      <c r="E180" s="59"/>
    </row>
    <row r="181" ht="13.5" customHeight="1">
      <c r="A181" s="54"/>
      <c r="E181" s="59"/>
    </row>
    <row r="182" ht="13.5" customHeight="1">
      <c r="A182" s="54"/>
      <c r="E182" s="59"/>
    </row>
    <row r="183" ht="13.5" customHeight="1">
      <c r="A183" s="54"/>
      <c r="E183" s="59"/>
    </row>
    <row r="184" ht="13.5" customHeight="1">
      <c r="A184" s="54"/>
      <c r="E184" s="59"/>
    </row>
    <row r="185" ht="13.5" customHeight="1">
      <c r="A185" s="54"/>
      <c r="E185" s="59"/>
    </row>
    <row r="186" ht="13.5" customHeight="1">
      <c r="A186" s="54"/>
      <c r="E186" s="59"/>
    </row>
    <row r="187" ht="13.5" customHeight="1">
      <c r="A187" s="54"/>
      <c r="E187" s="59"/>
    </row>
    <row r="188" ht="13.5" customHeight="1">
      <c r="A188" s="54"/>
      <c r="E188" s="59"/>
    </row>
    <row r="189" ht="13.5" customHeight="1">
      <c r="A189" s="54"/>
      <c r="E189" s="59"/>
    </row>
    <row r="190" ht="13.5" customHeight="1">
      <c r="A190" s="54"/>
      <c r="E190" s="59"/>
    </row>
    <row r="191" ht="13.5" customHeight="1">
      <c r="A191" s="54"/>
      <c r="E191" s="59"/>
    </row>
    <row r="192" ht="13.5" customHeight="1">
      <c r="A192" s="54"/>
      <c r="E192" s="59"/>
    </row>
    <row r="193" ht="13.5" customHeight="1">
      <c r="A193" s="54"/>
      <c r="E193" s="59"/>
    </row>
    <row r="194" ht="13.5" customHeight="1">
      <c r="A194" s="54"/>
      <c r="E194" s="59"/>
    </row>
    <row r="195" ht="13.5" customHeight="1">
      <c r="A195" s="54"/>
      <c r="E195" s="59"/>
    </row>
    <row r="196" ht="13.5" customHeight="1">
      <c r="A196" s="54"/>
      <c r="E196" s="59"/>
    </row>
    <row r="197" ht="13.5" customHeight="1">
      <c r="A197" s="54"/>
      <c r="E197" s="59"/>
    </row>
    <row r="198" ht="13.5" customHeight="1">
      <c r="A198" s="54"/>
      <c r="E198" s="59"/>
    </row>
    <row r="199" ht="13.5" customHeight="1">
      <c r="A199" s="54"/>
      <c r="E199" s="59"/>
    </row>
    <row r="200" ht="13.5" customHeight="1">
      <c r="A200" s="54"/>
      <c r="E200" s="59"/>
    </row>
    <row r="201" ht="13.5" customHeight="1">
      <c r="A201" s="54"/>
      <c r="E201" s="59"/>
    </row>
    <row r="202" ht="13.5" customHeight="1">
      <c r="A202" s="54"/>
      <c r="E202" s="59"/>
    </row>
    <row r="203" ht="13.5" customHeight="1">
      <c r="A203" s="54"/>
      <c r="E203" s="59"/>
    </row>
    <row r="204" ht="13.5" customHeight="1">
      <c r="A204" s="54"/>
      <c r="E204" s="59"/>
    </row>
    <row r="205" ht="13.5" customHeight="1">
      <c r="A205" s="54"/>
      <c r="E205" s="59"/>
    </row>
    <row r="206" ht="13.5" customHeight="1">
      <c r="A206" s="54"/>
      <c r="E206" s="59"/>
    </row>
    <row r="207" ht="13.5" customHeight="1">
      <c r="A207" s="54"/>
      <c r="E207" s="59"/>
    </row>
    <row r="208" ht="13.5" customHeight="1">
      <c r="A208" s="54"/>
      <c r="E208" s="59"/>
    </row>
    <row r="209" ht="13.5" customHeight="1">
      <c r="A209" s="54"/>
      <c r="E209" s="59"/>
    </row>
    <row r="210" ht="13.5" customHeight="1">
      <c r="A210" s="54"/>
      <c r="E210" s="59"/>
    </row>
    <row r="211" ht="13.5" customHeight="1">
      <c r="A211" s="54"/>
      <c r="E211" s="59"/>
    </row>
    <row r="212" ht="13.5" customHeight="1">
      <c r="A212" s="54"/>
      <c r="E212" s="59"/>
    </row>
    <row r="213" ht="13.5" customHeight="1">
      <c r="A213" s="54"/>
      <c r="E213" s="59"/>
    </row>
    <row r="214" ht="13.5" customHeight="1">
      <c r="A214" s="54"/>
      <c r="E214" s="59"/>
    </row>
    <row r="215" ht="13.5" customHeight="1">
      <c r="A215" s="54"/>
      <c r="E215" s="59"/>
    </row>
    <row r="216" ht="13.5" customHeight="1">
      <c r="A216" s="54"/>
      <c r="E216" s="59"/>
    </row>
    <row r="217" ht="13.5" customHeight="1">
      <c r="A217" s="54"/>
      <c r="E217" s="59"/>
    </row>
    <row r="218" ht="13.5" customHeight="1">
      <c r="A218" s="54"/>
      <c r="E218" s="59"/>
    </row>
    <row r="219" ht="13.5" customHeight="1">
      <c r="A219" s="54"/>
      <c r="E219" s="59"/>
    </row>
    <row r="220" ht="13.5" customHeight="1">
      <c r="A220" s="54"/>
      <c r="E220" s="59"/>
    </row>
    <row r="221" ht="13.5" customHeight="1">
      <c r="A221" s="54"/>
      <c r="E221" s="59"/>
    </row>
    <row r="222" ht="13.5" customHeight="1">
      <c r="A222" s="54"/>
      <c r="E222" s="59"/>
    </row>
    <row r="223" ht="13.5" customHeight="1">
      <c r="A223" s="54"/>
      <c r="E223" s="59"/>
    </row>
    <row r="224" ht="13.5" customHeight="1">
      <c r="A224" s="54"/>
      <c r="E224" s="59"/>
    </row>
    <row r="225" ht="13.5" customHeight="1">
      <c r="A225" s="54"/>
      <c r="E225" s="59"/>
    </row>
    <row r="226" ht="13.5" customHeight="1">
      <c r="A226" s="54"/>
      <c r="E226" s="59"/>
    </row>
    <row r="227" ht="13.5" customHeight="1">
      <c r="A227" s="54"/>
      <c r="E227" s="59"/>
    </row>
    <row r="228" ht="13.5" customHeight="1">
      <c r="A228" s="54"/>
      <c r="E228" s="59"/>
    </row>
    <row r="229" ht="13.5" customHeight="1">
      <c r="A229" s="54"/>
      <c r="E229" s="59"/>
    </row>
    <row r="230" ht="13.5" customHeight="1">
      <c r="A230" s="54"/>
      <c r="E230" s="59"/>
    </row>
    <row r="231" ht="13.5" customHeight="1">
      <c r="A231" s="54"/>
      <c r="E231" s="59"/>
    </row>
    <row r="232" ht="13.5" customHeight="1">
      <c r="A232" s="54"/>
      <c r="E232" s="59"/>
    </row>
    <row r="233" ht="13.5" customHeight="1">
      <c r="A233" s="54"/>
      <c r="E233" s="59"/>
    </row>
    <row r="234" ht="13.5" customHeight="1">
      <c r="A234" s="54"/>
      <c r="E234" s="59"/>
    </row>
    <row r="235" ht="13.5" customHeight="1">
      <c r="A235" s="54"/>
      <c r="E235" s="59"/>
    </row>
    <row r="236" ht="13.5" customHeight="1">
      <c r="A236" s="54"/>
      <c r="E236" s="59"/>
    </row>
    <row r="237" ht="13.5" customHeight="1">
      <c r="A237" s="54"/>
      <c r="E237" s="59"/>
    </row>
    <row r="238" ht="13.5" customHeight="1">
      <c r="A238" s="54"/>
      <c r="E238" s="59"/>
    </row>
    <row r="239" ht="13.5" customHeight="1">
      <c r="A239" s="54"/>
      <c r="E239" s="59"/>
    </row>
    <row r="240" ht="13.5" customHeight="1">
      <c r="A240" s="54"/>
      <c r="E240" s="59"/>
    </row>
    <row r="241" ht="13.5" customHeight="1">
      <c r="A241" s="54"/>
      <c r="E241" s="59"/>
    </row>
    <row r="242" ht="13.5" customHeight="1">
      <c r="A242" s="54"/>
      <c r="E242" s="59"/>
    </row>
    <row r="243" ht="13.5" customHeight="1">
      <c r="A243" s="54"/>
      <c r="E243" s="59"/>
    </row>
    <row r="244" ht="13.5" customHeight="1">
      <c r="A244" s="54"/>
      <c r="E244" s="59"/>
    </row>
    <row r="245" ht="13.5" customHeight="1">
      <c r="A245" s="54"/>
      <c r="E245" s="59"/>
    </row>
    <row r="246" ht="13.5" customHeight="1">
      <c r="A246" s="54"/>
      <c r="E246" s="59"/>
    </row>
    <row r="247" ht="13.5" customHeight="1">
      <c r="A247" s="54"/>
      <c r="E247" s="59"/>
    </row>
    <row r="248" ht="13.5" customHeight="1">
      <c r="A248" s="54"/>
      <c r="E248" s="59"/>
    </row>
    <row r="249" ht="13.5" customHeight="1">
      <c r="A249" s="54"/>
      <c r="E249" s="59"/>
    </row>
    <row r="250" ht="13.5" customHeight="1">
      <c r="A250" s="54"/>
      <c r="E250" s="59"/>
    </row>
    <row r="251" ht="13.5" customHeight="1">
      <c r="A251" s="54"/>
      <c r="E251" s="59"/>
    </row>
    <row r="252" ht="13.5" customHeight="1">
      <c r="A252" s="54"/>
      <c r="E252" s="59"/>
    </row>
    <row r="253" ht="13.5" customHeight="1">
      <c r="A253" s="54"/>
      <c r="E253" s="59"/>
    </row>
    <row r="254" ht="13.5" customHeight="1">
      <c r="A254" s="54"/>
      <c r="E254" s="59"/>
    </row>
    <row r="255" ht="13.5" customHeight="1">
      <c r="A255" s="54"/>
      <c r="E255" s="59"/>
    </row>
    <row r="256" ht="13.5" customHeight="1">
      <c r="A256" s="54"/>
      <c r="E256" s="59"/>
    </row>
    <row r="257" ht="13.5" customHeight="1">
      <c r="A257" s="54"/>
      <c r="E257" s="59"/>
    </row>
    <row r="258" ht="13.5" customHeight="1">
      <c r="A258" s="54"/>
      <c r="E258" s="59"/>
    </row>
    <row r="259" ht="13.5" customHeight="1">
      <c r="A259" s="54"/>
      <c r="E259" s="59"/>
    </row>
    <row r="260" ht="13.5" customHeight="1">
      <c r="A260" s="54"/>
      <c r="E260" s="59"/>
    </row>
    <row r="261" ht="13.5" customHeight="1">
      <c r="A261" s="54"/>
      <c r="E261" s="59"/>
    </row>
    <row r="262" ht="13.5" customHeight="1">
      <c r="A262" s="54"/>
      <c r="E262" s="59"/>
    </row>
    <row r="263" ht="13.5" customHeight="1">
      <c r="A263" s="54"/>
      <c r="E263" s="59"/>
    </row>
    <row r="264" ht="13.5" customHeight="1">
      <c r="A264" s="54"/>
      <c r="E264" s="59"/>
    </row>
    <row r="265" ht="13.5" customHeight="1">
      <c r="A265" s="54"/>
      <c r="E265" s="59"/>
    </row>
    <row r="266" ht="13.5" customHeight="1">
      <c r="A266" s="54"/>
      <c r="E266" s="59"/>
    </row>
    <row r="267" ht="13.5" customHeight="1">
      <c r="A267" s="54"/>
      <c r="E267" s="59"/>
    </row>
    <row r="268" ht="13.5" customHeight="1">
      <c r="A268" s="54"/>
      <c r="E268" s="59"/>
    </row>
    <row r="269" ht="13.5" customHeight="1">
      <c r="A269" s="54"/>
      <c r="E269" s="59"/>
    </row>
    <row r="270" ht="13.5" customHeight="1">
      <c r="A270" s="54"/>
      <c r="E270" s="59"/>
    </row>
    <row r="271" ht="13.5" customHeight="1">
      <c r="A271" s="54"/>
      <c r="E271" s="59"/>
    </row>
    <row r="272" ht="13.5" customHeight="1">
      <c r="A272" s="54"/>
      <c r="E272" s="59"/>
    </row>
    <row r="273" ht="13.5" customHeight="1">
      <c r="A273" s="54"/>
      <c r="E273" s="59"/>
    </row>
    <row r="274" ht="13.5" customHeight="1">
      <c r="A274" s="54"/>
      <c r="E274" s="59"/>
    </row>
    <row r="275" ht="13.5" customHeight="1">
      <c r="A275" s="54"/>
      <c r="E275" s="59"/>
    </row>
    <row r="276" ht="13.5" customHeight="1">
      <c r="A276" s="54"/>
      <c r="E276" s="59"/>
    </row>
    <row r="277" ht="13.5" customHeight="1">
      <c r="A277" s="54"/>
      <c r="E277" s="59"/>
    </row>
    <row r="278" ht="13.5" customHeight="1">
      <c r="A278" s="54"/>
      <c r="E278" s="59"/>
    </row>
    <row r="279" ht="13.5" customHeight="1">
      <c r="A279" s="54"/>
      <c r="E279" s="59"/>
    </row>
    <row r="280" ht="13.5" customHeight="1">
      <c r="A280" s="54"/>
      <c r="E280" s="59"/>
    </row>
    <row r="281" ht="13.5" customHeight="1">
      <c r="A281" s="54"/>
      <c r="E281" s="59"/>
    </row>
    <row r="282" ht="13.5" customHeight="1">
      <c r="A282" s="54"/>
      <c r="E282" s="59"/>
    </row>
    <row r="283" ht="13.5" customHeight="1">
      <c r="A283" s="54"/>
      <c r="E283" s="59"/>
    </row>
    <row r="284" ht="13.5" customHeight="1">
      <c r="A284" s="54"/>
      <c r="E284" s="59"/>
    </row>
    <row r="285" ht="13.5" customHeight="1">
      <c r="A285" s="54"/>
      <c r="E285" s="59"/>
    </row>
    <row r="286" ht="13.5" customHeight="1">
      <c r="A286" s="54"/>
      <c r="E286" s="59"/>
    </row>
    <row r="287" ht="13.5" customHeight="1">
      <c r="A287" s="54"/>
      <c r="E287" s="59"/>
    </row>
    <row r="288" ht="13.5" customHeight="1">
      <c r="A288" s="54"/>
      <c r="E288" s="59"/>
    </row>
    <row r="289" ht="13.5" customHeight="1">
      <c r="A289" s="54"/>
      <c r="E289" s="59"/>
    </row>
    <row r="290" ht="13.5" customHeight="1">
      <c r="A290" s="54"/>
      <c r="E290" s="59"/>
    </row>
    <row r="291" ht="13.5" customHeight="1">
      <c r="A291" s="54"/>
      <c r="E291" s="59"/>
    </row>
    <row r="292" ht="13.5" customHeight="1">
      <c r="A292" s="54"/>
      <c r="E292" s="59"/>
    </row>
    <row r="293" ht="13.5" customHeight="1">
      <c r="A293" s="54"/>
      <c r="E293" s="59"/>
    </row>
    <row r="294" ht="13.5" customHeight="1">
      <c r="A294" s="54"/>
      <c r="E294" s="59"/>
    </row>
    <row r="295" ht="13.5" customHeight="1">
      <c r="A295" s="54"/>
      <c r="E295" s="59"/>
    </row>
    <row r="296" ht="13.5" customHeight="1">
      <c r="A296" s="54"/>
      <c r="E296" s="59"/>
    </row>
    <row r="297" ht="13.5" customHeight="1">
      <c r="A297" s="54"/>
      <c r="E297" s="59"/>
    </row>
    <row r="298" ht="13.5" customHeight="1">
      <c r="A298" s="54"/>
      <c r="E298" s="59"/>
    </row>
    <row r="299" ht="13.5" customHeight="1">
      <c r="A299" s="54"/>
      <c r="E299" s="59"/>
    </row>
    <row r="300" ht="13.5" customHeight="1">
      <c r="A300" s="54"/>
      <c r="E300" s="59"/>
    </row>
    <row r="301" ht="13.5" customHeight="1">
      <c r="A301" s="54"/>
      <c r="E301" s="59"/>
    </row>
    <row r="302" ht="13.5" customHeight="1">
      <c r="A302" s="54"/>
      <c r="E302" s="59"/>
    </row>
    <row r="303" ht="13.5" customHeight="1">
      <c r="A303" s="54"/>
      <c r="E303" s="59"/>
    </row>
    <row r="304" ht="13.5" customHeight="1">
      <c r="A304" s="54"/>
      <c r="E304" s="59"/>
    </row>
    <row r="305" ht="13.5" customHeight="1">
      <c r="A305" s="54"/>
      <c r="E305" s="59"/>
    </row>
    <row r="306" ht="13.5" customHeight="1">
      <c r="A306" s="54"/>
      <c r="E306" s="59"/>
    </row>
    <row r="307" ht="13.5" customHeight="1">
      <c r="A307" s="54"/>
      <c r="E307" s="59"/>
    </row>
    <row r="308" ht="13.5" customHeight="1">
      <c r="A308" s="54"/>
      <c r="E308" s="59"/>
    </row>
    <row r="309" ht="13.5" customHeight="1">
      <c r="A309" s="54"/>
      <c r="E309" s="59"/>
    </row>
    <row r="310" ht="13.5" customHeight="1">
      <c r="A310" s="54"/>
      <c r="E310" s="59"/>
    </row>
    <row r="311" ht="13.5" customHeight="1">
      <c r="A311" s="54"/>
      <c r="E311" s="59"/>
    </row>
    <row r="312" ht="13.5" customHeight="1">
      <c r="A312" s="54"/>
      <c r="E312" s="59"/>
    </row>
    <row r="313" ht="13.5" customHeight="1">
      <c r="A313" s="54"/>
      <c r="E313" s="59"/>
    </row>
    <row r="314" ht="13.5" customHeight="1">
      <c r="A314" s="54"/>
      <c r="E314" s="59"/>
    </row>
    <row r="315" ht="13.5" customHeight="1">
      <c r="A315" s="54"/>
      <c r="E315" s="59"/>
    </row>
    <row r="316" ht="13.5" customHeight="1">
      <c r="A316" s="54"/>
      <c r="E316" s="59"/>
    </row>
    <row r="317" ht="13.5" customHeight="1">
      <c r="A317" s="54"/>
      <c r="E317" s="59"/>
    </row>
    <row r="318" ht="13.5" customHeight="1">
      <c r="A318" s="54"/>
      <c r="E318" s="59"/>
    </row>
    <row r="319" ht="13.5" customHeight="1">
      <c r="A319" s="54"/>
      <c r="E319" s="59"/>
    </row>
    <row r="320" ht="13.5" customHeight="1">
      <c r="A320" s="54"/>
      <c r="E320" s="59"/>
    </row>
    <row r="321" ht="13.5" customHeight="1">
      <c r="A321" s="54"/>
      <c r="E321" s="59"/>
    </row>
    <row r="322" ht="13.5" customHeight="1">
      <c r="A322" s="54"/>
      <c r="E322" s="59"/>
    </row>
    <row r="323" ht="13.5" customHeight="1">
      <c r="A323" s="54"/>
      <c r="E323" s="59"/>
    </row>
    <row r="324" ht="13.5" customHeight="1">
      <c r="A324" s="54"/>
      <c r="E324" s="59"/>
    </row>
    <row r="325" ht="13.5" customHeight="1">
      <c r="A325" s="54"/>
      <c r="E325" s="59"/>
    </row>
    <row r="326" ht="13.5" customHeight="1">
      <c r="A326" s="54"/>
      <c r="E326" s="59"/>
    </row>
    <row r="327" ht="13.5" customHeight="1">
      <c r="A327" s="54"/>
      <c r="E327" s="59"/>
    </row>
    <row r="328" ht="13.5" customHeight="1">
      <c r="A328" s="54"/>
      <c r="E328" s="59"/>
    </row>
    <row r="329" ht="13.5" customHeight="1">
      <c r="A329" s="54"/>
      <c r="E329" s="59"/>
    </row>
    <row r="330" ht="13.5" customHeight="1">
      <c r="A330" s="54"/>
      <c r="E330" s="59"/>
    </row>
    <row r="331" ht="13.5" customHeight="1">
      <c r="A331" s="54"/>
      <c r="E331" s="59"/>
    </row>
    <row r="332" ht="13.5" customHeight="1">
      <c r="A332" s="54"/>
      <c r="E332" s="59"/>
    </row>
    <row r="333" ht="13.5" customHeight="1">
      <c r="A333" s="54"/>
      <c r="E333" s="59"/>
    </row>
    <row r="334" ht="13.5" customHeight="1">
      <c r="A334" s="54"/>
      <c r="E334" s="59"/>
    </row>
    <row r="335" ht="13.5" customHeight="1">
      <c r="A335" s="54"/>
      <c r="E335" s="59"/>
    </row>
    <row r="336" ht="13.5" customHeight="1">
      <c r="A336" s="54"/>
      <c r="E336" s="59"/>
    </row>
    <row r="337" ht="13.5" customHeight="1">
      <c r="A337" s="54"/>
      <c r="E337" s="59"/>
    </row>
    <row r="338" ht="13.5" customHeight="1">
      <c r="A338" s="54"/>
      <c r="E338" s="59"/>
    </row>
    <row r="339" ht="13.5" customHeight="1">
      <c r="A339" s="54"/>
      <c r="E339" s="59"/>
    </row>
    <row r="340" ht="13.5" customHeight="1">
      <c r="A340" s="54"/>
      <c r="E340" s="59"/>
    </row>
    <row r="341" ht="13.5" customHeight="1">
      <c r="A341" s="54"/>
      <c r="E341" s="59"/>
    </row>
    <row r="342" ht="13.5" customHeight="1">
      <c r="A342" s="54"/>
      <c r="E342" s="59"/>
    </row>
    <row r="343" ht="13.5" customHeight="1">
      <c r="A343" s="54"/>
      <c r="E343" s="59"/>
    </row>
    <row r="344" ht="13.5" customHeight="1">
      <c r="A344" s="54"/>
      <c r="E344" s="59"/>
    </row>
    <row r="345" ht="13.5" customHeight="1">
      <c r="A345" s="54"/>
      <c r="E345" s="59"/>
    </row>
    <row r="346" ht="13.5" customHeight="1">
      <c r="A346" s="54"/>
      <c r="E346" s="59"/>
    </row>
    <row r="347" ht="13.5" customHeight="1">
      <c r="A347" s="54"/>
      <c r="E347" s="59"/>
    </row>
    <row r="348" ht="13.5" customHeight="1">
      <c r="A348" s="54"/>
      <c r="E348" s="59"/>
    </row>
    <row r="349" ht="13.5" customHeight="1">
      <c r="A349" s="54"/>
      <c r="E349" s="59"/>
    </row>
    <row r="350" ht="13.5" customHeight="1">
      <c r="A350" s="54"/>
      <c r="E350" s="59"/>
    </row>
    <row r="351" ht="13.5" customHeight="1">
      <c r="A351" s="54"/>
      <c r="E351" s="59"/>
    </row>
    <row r="352" ht="13.5" customHeight="1">
      <c r="A352" s="54"/>
      <c r="E352" s="59"/>
    </row>
    <row r="353" ht="13.5" customHeight="1">
      <c r="A353" s="54"/>
      <c r="E353" s="59"/>
    </row>
    <row r="354" ht="13.5" customHeight="1">
      <c r="A354" s="54"/>
      <c r="E354" s="59"/>
    </row>
    <row r="355" ht="13.5" customHeight="1">
      <c r="A355" s="54"/>
      <c r="E355" s="59"/>
    </row>
    <row r="356" ht="13.5" customHeight="1">
      <c r="A356" s="54"/>
      <c r="E356" s="59"/>
    </row>
    <row r="357" ht="13.5" customHeight="1">
      <c r="A357" s="54"/>
      <c r="E357" s="59"/>
    </row>
    <row r="358" ht="13.5" customHeight="1">
      <c r="A358" s="54"/>
      <c r="E358" s="59"/>
    </row>
    <row r="359" ht="13.5" customHeight="1">
      <c r="A359" s="54"/>
      <c r="E359" s="59"/>
    </row>
    <row r="360" ht="13.5" customHeight="1">
      <c r="A360" s="54"/>
      <c r="E360" s="59"/>
    </row>
    <row r="361" ht="13.5" customHeight="1">
      <c r="A361" s="54"/>
      <c r="E361" s="59"/>
    </row>
    <row r="362" ht="13.5" customHeight="1">
      <c r="A362" s="54"/>
      <c r="E362" s="59"/>
    </row>
    <row r="363" ht="13.5" customHeight="1">
      <c r="A363" s="54"/>
      <c r="E363" s="59"/>
    </row>
    <row r="364" ht="13.5" customHeight="1">
      <c r="A364" s="54"/>
      <c r="E364" s="59"/>
    </row>
    <row r="365" ht="13.5" customHeight="1">
      <c r="A365" s="54"/>
      <c r="E365" s="59"/>
    </row>
    <row r="366" ht="13.5" customHeight="1">
      <c r="A366" s="54"/>
      <c r="E366" s="59"/>
    </row>
    <row r="367" ht="13.5" customHeight="1">
      <c r="A367" s="54"/>
      <c r="E367" s="59"/>
    </row>
    <row r="368" ht="13.5" customHeight="1">
      <c r="A368" s="54"/>
      <c r="E368" s="59"/>
    </row>
    <row r="369" ht="13.5" customHeight="1">
      <c r="A369" s="54"/>
      <c r="E369" s="59"/>
    </row>
    <row r="370" ht="13.5" customHeight="1">
      <c r="A370" s="54"/>
      <c r="E370" s="59"/>
    </row>
    <row r="371" ht="13.5" customHeight="1">
      <c r="A371" s="54"/>
      <c r="E371" s="59"/>
    </row>
    <row r="372" ht="13.5" customHeight="1">
      <c r="A372" s="54"/>
      <c r="E372" s="59"/>
    </row>
    <row r="373" ht="13.5" customHeight="1">
      <c r="A373" s="54"/>
      <c r="E373" s="59"/>
    </row>
    <row r="374" ht="13.5" customHeight="1">
      <c r="A374" s="54"/>
      <c r="E374" s="59"/>
    </row>
    <row r="375" ht="13.5" customHeight="1">
      <c r="A375" s="54"/>
      <c r="E375" s="59"/>
    </row>
    <row r="376" ht="13.5" customHeight="1">
      <c r="A376" s="54"/>
      <c r="E376" s="59"/>
    </row>
    <row r="377" ht="13.5" customHeight="1">
      <c r="A377" s="54"/>
      <c r="E377" s="59"/>
    </row>
    <row r="378" ht="13.5" customHeight="1">
      <c r="A378" s="54"/>
      <c r="E378" s="59"/>
    </row>
    <row r="379" ht="13.5" customHeight="1">
      <c r="A379" s="54"/>
      <c r="E379" s="59"/>
    </row>
    <row r="380" ht="13.5" customHeight="1">
      <c r="A380" s="54"/>
      <c r="E380" s="59"/>
    </row>
    <row r="381" ht="13.5" customHeight="1">
      <c r="A381" s="54"/>
      <c r="E381" s="59"/>
    </row>
    <row r="382" ht="13.5" customHeight="1">
      <c r="A382" s="54"/>
      <c r="E382" s="59"/>
    </row>
    <row r="383" ht="13.5" customHeight="1">
      <c r="A383" s="54"/>
      <c r="E383" s="59"/>
    </row>
    <row r="384" ht="13.5" customHeight="1">
      <c r="A384" s="54"/>
      <c r="E384" s="59"/>
    </row>
    <row r="385" ht="13.5" customHeight="1">
      <c r="A385" s="54"/>
      <c r="E385" s="59"/>
    </row>
    <row r="386" ht="13.5" customHeight="1">
      <c r="A386" s="54"/>
      <c r="E386" s="59"/>
    </row>
    <row r="387" ht="13.5" customHeight="1">
      <c r="A387" s="54"/>
      <c r="E387" s="59"/>
    </row>
    <row r="388" ht="13.5" customHeight="1">
      <c r="A388" s="54"/>
      <c r="E388" s="59"/>
    </row>
    <row r="389" ht="13.5" customHeight="1">
      <c r="A389" s="54"/>
      <c r="E389" s="59"/>
    </row>
    <row r="390" ht="13.5" customHeight="1">
      <c r="A390" s="54"/>
      <c r="E390" s="59"/>
    </row>
    <row r="391" ht="13.5" customHeight="1">
      <c r="A391" s="54"/>
      <c r="E391" s="59"/>
    </row>
    <row r="392" ht="13.5" customHeight="1">
      <c r="A392" s="54"/>
      <c r="E392" s="59"/>
    </row>
    <row r="393" ht="13.5" customHeight="1">
      <c r="A393" s="54"/>
      <c r="E393" s="59"/>
    </row>
    <row r="394" ht="13.5" customHeight="1">
      <c r="A394" s="54"/>
      <c r="E394" s="59"/>
    </row>
    <row r="395" ht="13.5" customHeight="1">
      <c r="A395" s="54"/>
      <c r="E395" s="59"/>
    </row>
    <row r="396" ht="13.5" customHeight="1">
      <c r="A396" s="54"/>
      <c r="E396" s="59"/>
    </row>
    <row r="397" ht="13.5" customHeight="1">
      <c r="A397" s="54"/>
      <c r="E397" s="59"/>
    </row>
    <row r="398" ht="13.5" customHeight="1">
      <c r="A398" s="54"/>
      <c r="E398" s="59"/>
    </row>
    <row r="399" ht="13.5" customHeight="1">
      <c r="A399" s="54"/>
      <c r="E399" s="59"/>
    </row>
    <row r="400" ht="13.5" customHeight="1">
      <c r="A400" s="54"/>
      <c r="E400" s="59"/>
    </row>
    <row r="401" ht="13.5" customHeight="1">
      <c r="A401" s="54"/>
      <c r="E401" s="59"/>
    </row>
    <row r="402" ht="13.5" customHeight="1">
      <c r="A402" s="54"/>
      <c r="E402" s="59"/>
    </row>
    <row r="403" ht="13.5" customHeight="1">
      <c r="A403" s="54"/>
      <c r="E403" s="59"/>
    </row>
    <row r="404" ht="13.5" customHeight="1">
      <c r="A404" s="54"/>
      <c r="E404" s="59"/>
    </row>
    <row r="405" ht="13.5" customHeight="1">
      <c r="A405" s="54"/>
      <c r="E405" s="59"/>
    </row>
    <row r="406" ht="13.5" customHeight="1">
      <c r="A406" s="54"/>
      <c r="E406" s="59"/>
    </row>
    <row r="407" ht="13.5" customHeight="1">
      <c r="A407" s="54"/>
      <c r="E407" s="59"/>
    </row>
    <row r="408" ht="13.5" customHeight="1">
      <c r="A408" s="54"/>
      <c r="E408" s="59"/>
    </row>
    <row r="409" ht="13.5" customHeight="1">
      <c r="A409" s="54"/>
      <c r="E409" s="59"/>
    </row>
    <row r="410" ht="13.5" customHeight="1">
      <c r="A410" s="54"/>
      <c r="E410" s="59"/>
    </row>
    <row r="411" ht="13.5" customHeight="1">
      <c r="A411" s="54"/>
      <c r="E411" s="59"/>
    </row>
    <row r="412" ht="13.5" customHeight="1">
      <c r="A412" s="54"/>
      <c r="E412" s="59"/>
    </row>
    <row r="413" ht="13.5" customHeight="1">
      <c r="A413" s="54"/>
      <c r="E413" s="59"/>
    </row>
    <row r="414" ht="13.5" customHeight="1">
      <c r="A414" s="54"/>
      <c r="E414" s="59"/>
    </row>
    <row r="415" ht="13.5" customHeight="1">
      <c r="A415" s="54"/>
      <c r="E415" s="59"/>
    </row>
    <row r="416" ht="13.5" customHeight="1">
      <c r="A416" s="54"/>
      <c r="E416" s="59"/>
    </row>
    <row r="417" ht="13.5" customHeight="1">
      <c r="A417" s="54"/>
      <c r="E417" s="59"/>
    </row>
    <row r="418" ht="13.5" customHeight="1">
      <c r="A418" s="54"/>
      <c r="E418" s="59"/>
    </row>
    <row r="419" ht="13.5" customHeight="1">
      <c r="A419" s="54"/>
      <c r="E419" s="59"/>
    </row>
    <row r="420" ht="13.5" customHeight="1">
      <c r="A420" s="54"/>
      <c r="E420" s="59"/>
    </row>
    <row r="421" ht="13.5" customHeight="1">
      <c r="A421" s="54"/>
      <c r="E421" s="59"/>
    </row>
    <row r="422" ht="13.5" customHeight="1">
      <c r="A422" s="54"/>
      <c r="E422" s="59"/>
    </row>
    <row r="423" ht="13.5" customHeight="1">
      <c r="A423" s="54"/>
      <c r="E423" s="59"/>
    </row>
    <row r="424" ht="13.5" customHeight="1">
      <c r="A424" s="54"/>
      <c r="E424" s="59"/>
    </row>
    <row r="425" ht="13.5" customHeight="1">
      <c r="A425" s="54"/>
      <c r="E425" s="59"/>
    </row>
    <row r="426" ht="13.5" customHeight="1">
      <c r="A426" s="54"/>
      <c r="E426" s="59"/>
    </row>
    <row r="427" ht="13.5" customHeight="1">
      <c r="A427" s="54"/>
      <c r="E427" s="59"/>
    </row>
    <row r="428" ht="13.5" customHeight="1">
      <c r="A428" s="54"/>
      <c r="E428" s="59"/>
    </row>
    <row r="429" ht="13.5" customHeight="1">
      <c r="A429" s="54"/>
      <c r="E429" s="59"/>
    </row>
    <row r="430" ht="13.5" customHeight="1">
      <c r="A430" s="54"/>
      <c r="E430" s="59"/>
    </row>
    <row r="431" ht="13.5" customHeight="1">
      <c r="A431" s="54"/>
      <c r="E431" s="59"/>
    </row>
    <row r="432" ht="13.5" customHeight="1">
      <c r="A432" s="54"/>
      <c r="E432" s="59"/>
    </row>
    <row r="433" ht="13.5" customHeight="1">
      <c r="A433" s="54"/>
      <c r="E433" s="59"/>
    </row>
    <row r="434" ht="13.5" customHeight="1">
      <c r="A434" s="54"/>
      <c r="E434" s="59"/>
    </row>
    <row r="435" ht="13.5" customHeight="1">
      <c r="A435" s="54"/>
      <c r="E435" s="59"/>
    </row>
    <row r="436" ht="13.5" customHeight="1">
      <c r="A436" s="54"/>
      <c r="E436" s="59"/>
    </row>
    <row r="437" ht="13.5" customHeight="1">
      <c r="A437" s="54"/>
      <c r="E437" s="59"/>
    </row>
    <row r="438" ht="13.5" customHeight="1">
      <c r="A438" s="54"/>
      <c r="E438" s="59"/>
    </row>
    <row r="439" ht="13.5" customHeight="1">
      <c r="A439" s="54"/>
      <c r="E439" s="59"/>
    </row>
    <row r="440" ht="13.5" customHeight="1">
      <c r="A440" s="54"/>
      <c r="E440" s="59"/>
    </row>
    <row r="441" ht="13.5" customHeight="1">
      <c r="A441" s="54"/>
      <c r="E441" s="59"/>
    </row>
    <row r="442" ht="13.5" customHeight="1">
      <c r="A442" s="54"/>
      <c r="E442" s="59"/>
    </row>
    <row r="443" ht="13.5" customHeight="1">
      <c r="A443" s="54"/>
      <c r="E443" s="59"/>
    </row>
    <row r="444" ht="13.5" customHeight="1">
      <c r="A444" s="54"/>
      <c r="E444" s="59"/>
    </row>
    <row r="445" ht="13.5" customHeight="1">
      <c r="A445" s="54"/>
      <c r="E445" s="59"/>
    </row>
    <row r="446" ht="13.5" customHeight="1">
      <c r="A446" s="54"/>
      <c r="E446" s="59"/>
    </row>
    <row r="447" ht="13.5" customHeight="1">
      <c r="A447" s="54"/>
      <c r="E447" s="59"/>
    </row>
    <row r="448" ht="13.5" customHeight="1">
      <c r="A448" s="54"/>
      <c r="E448" s="59"/>
    </row>
    <row r="449" ht="13.5" customHeight="1">
      <c r="A449" s="54"/>
      <c r="E449" s="59"/>
    </row>
    <row r="450" ht="13.5" customHeight="1">
      <c r="A450" s="54"/>
      <c r="E450" s="59"/>
    </row>
    <row r="451" ht="13.5" customHeight="1">
      <c r="A451" s="54"/>
      <c r="E451" s="59"/>
    </row>
    <row r="452" ht="13.5" customHeight="1">
      <c r="A452" s="54"/>
      <c r="E452" s="59"/>
    </row>
    <row r="453" ht="13.5" customHeight="1">
      <c r="A453" s="54"/>
      <c r="E453" s="59"/>
    </row>
    <row r="454" ht="13.5" customHeight="1">
      <c r="A454" s="54"/>
      <c r="E454" s="59"/>
    </row>
    <row r="455" ht="13.5" customHeight="1">
      <c r="A455" s="54"/>
      <c r="E455" s="59"/>
    </row>
    <row r="456" ht="13.5" customHeight="1">
      <c r="A456" s="54"/>
      <c r="E456" s="59"/>
    </row>
    <row r="457" ht="13.5" customHeight="1">
      <c r="A457" s="54"/>
      <c r="E457" s="59"/>
    </row>
    <row r="458" ht="13.5" customHeight="1">
      <c r="A458" s="54"/>
      <c r="E458" s="59"/>
    </row>
    <row r="459" ht="13.5" customHeight="1">
      <c r="A459" s="54"/>
      <c r="E459" s="59"/>
    </row>
    <row r="460" ht="13.5" customHeight="1">
      <c r="A460" s="54"/>
      <c r="E460" s="59"/>
    </row>
    <row r="461" ht="13.5" customHeight="1">
      <c r="A461" s="54"/>
      <c r="E461" s="59"/>
    </row>
    <row r="462" ht="13.5" customHeight="1">
      <c r="A462" s="54"/>
      <c r="E462" s="59"/>
    </row>
    <row r="463" ht="13.5" customHeight="1">
      <c r="A463" s="54"/>
      <c r="E463" s="59"/>
    </row>
    <row r="464" ht="13.5" customHeight="1">
      <c r="A464" s="54"/>
      <c r="E464" s="59"/>
    </row>
    <row r="465" ht="13.5" customHeight="1">
      <c r="A465" s="54"/>
      <c r="E465" s="59"/>
    </row>
    <row r="466" ht="13.5" customHeight="1">
      <c r="A466" s="54"/>
      <c r="E466" s="59"/>
    </row>
    <row r="467" ht="13.5" customHeight="1">
      <c r="A467" s="54"/>
      <c r="E467" s="59"/>
    </row>
    <row r="468" ht="13.5" customHeight="1">
      <c r="A468" s="54"/>
      <c r="E468" s="59"/>
    </row>
    <row r="469" ht="13.5" customHeight="1">
      <c r="A469" s="54"/>
      <c r="E469" s="59"/>
    </row>
    <row r="470" ht="13.5" customHeight="1">
      <c r="A470" s="54"/>
      <c r="E470" s="59"/>
    </row>
    <row r="471" ht="13.5" customHeight="1">
      <c r="A471" s="54"/>
      <c r="E471" s="59"/>
    </row>
    <row r="472" ht="13.5" customHeight="1">
      <c r="A472" s="54"/>
      <c r="E472" s="59"/>
    </row>
    <row r="473" ht="13.5" customHeight="1">
      <c r="A473" s="54"/>
      <c r="E473" s="59"/>
    </row>
    <row r="474" ht="13.5" customHeight="1">
      <c r="A474" s="54"/>
      <c r="E474" s="59"/>
    </row>
    <row r="475" ht="13.5" customHeight="1">
      <c r="A475" s="54"/>
      <c r="E475" s="59"/>
    </row>
    <row r="476" ht="13.5" customHeight="1">
      <c r="A476" s="54"/>
      <c r="E476" s="59"/>
    </row>
    <row r="477" ht="13.5" customHeight="1">
      <c r="A477" s="54"/>
      <c r="E477" s="59"/>
    </row>
    <row r="478" ht="13.5" customHeight="1">
      <c r="A478" s="54"/>
      <c r="E478" s="59"/>
    </row>
    <row r="479" ht="13.5" customHeight="1">
      <c r="A479" s="54"/>
      <c r="E479" s="59"/>
    </row>
    <row r="480" ht="13.5" customHeight="1">
      <c r="A480" s="54"/>
      <c r="E480" s="59"/>
    </row>
    <row r="481" ht="13.5" customHeight="1">
      <c r="A481" s="54"/>
      <c r="E481" s="59"/>
    </row>
    <row r="482" ht="13.5" customHeight="1">
      <c r="A482" s="54"/>
      <c r="E482" s="59"/>
    </row>
    <row r="483" ht="13.5" customHeight="1">
      <c r="A483" s="54"/>
      <c r="E483" s="59"/>
    </row>
    <row r="484" ht="13.5" customHeight="1">
      <c r="A484" s="54"/>
      <c r="E484" s="59"/>
    </row>
    <row r="485" ht="13.5" customHeight="1">
      <c r="A485" s="54"/>
      <c r="E485" s="59"/>
    </row>
    <row r="486" ht="13.5" customHeight="1">
      <c r="A486" s="54"/>
      <c r="E486" s="59"/>
    </row>
    <row r="487" ht="13.5" customHeight="1">
      <c r="A487" s="54"/>
      <c r="E487" s="59"/>
    </row>
    <row r="488" ht="13.5" customHeight="1">
      <c r="A488" s="54"/>
      <c r="E488" s="59"/>
    </row>
    <row r="489" ht="13.5" customHeight="1">
      <c r="A489" s="54"/>
      <c r="E489" s="59"/>
    </row>
    <row r="490" ht="13.5" customHeight="1">
      <c r="A490" s="54"/>
      <c r="E490" s="59"/>
    </row>
    <row r="491" ht="13.5" customHeight="1">
      <c r="A491" s="54"/>
      <c r="E491" s="59"/>
    </row>
    <row r="492" ht="13.5" customHeight="1">
      <c r="A492" s="54"/>
      <c r="E492" s="59"/>
    </row>
    <row r="493" ht="13.5" customHeight="1">
      <c r="A493" s="54"/>
      <c r="E493" s="59"/>
    </row>
    <row r="494" ht="13.5" customHeight="1">
      <c r="A494" s="54"/>
      <c r="E494" s="59"/>
    </row>
    <row r="495" ht="13.5" customHeight="1">
      <c r="A495" s="54"/>
      <c r="E495" s="59"/>
    </row>
    <row r="496" ht="13.5" customHeight="1">
      <c r="A496" s="54"/>
      <c r="E496" s="59"/>
    </row>
    <row r="497" ht="13.5" customHeight="1">
      <c r="A497" s="54"/>
      <c r="E497" s="59"/>
    </row>
    <row r="498" ht="13.5" customHeight="1">
      <c r="A498" s="54"/>
      <c r="E498" s="59"/>
    </row>
    <row r="499" ht="13.5" customHeight="1">
      <c r="A499" s="54"/>
      <c r="E499" s="59"/>
    </row>
    <row r="500" ht="13.5" customHeight="1">
      <c r="A500" s="54"/>
      <c r="E500" s="59"/>
    </row>
    <row r="501" ht="13.5" customHeight="1">
      <c r="A501" s="54"/>
      <c r="E501" s="59"/>
    </row>
    <row r="502" ht="13.5" customHeight="1">
      <c r="A502" s="54"/>
      <c r="E502" s="59"/>
    </row>
    <row r="503" ht="13.5" customHeight="1">
      <c r="A503" s="54"/>
      <c r="E503" s="59"/>
    </row>
    <row r="504" ht="13.5" customHeight="1">
      <c r="A504" s="54"/>
      <c r="E504" s="59"/>
    </row>
    <row r="505" ht="13.5" customHeight="1">
      <c r="A505" s="54"/>
      <c r="E505" s="59"/>
    </row>
    <row r="506" ht="13.5" customHeight="1">
      <c r="A506" s="54"/>
      <c r="E506" s="59"/>
    </row>
    <row r="507" ht="13.5" customHeight="1">
      <c r="A507" s="54"/>
      <c r="E507" s="59"/>
    </row>
    <row r="508" ht="13.5" customHeight="1">
      <c r="A508" s="54"/>
      <c r="E508" s="59"/>
    </row>
    <row r="509" ht="13.5" customHeight="1">
      <c r="A509" s="54"/>
      <c r="E509" s="59"/>
    </row>
    <row r="510" ht="13.5" customHeight="1">
      <c r="A510" s="54"/>
      <c r="E510" s="59"/>
    </row>
    <row r="511" ht="13.5" customHeight="1">
      <c r="A511" s="54"/>
      <c r="E511" s="59"/>
    </row>
    <row r="512" ht="13.5" customHeight="1">
      <c r="A512" s="54"/>
      <c r="E512" s="59"/>
    </row>
    <row r="513" ht="13.5" customHeight="1">
      <c r="A513" s="54"/>
      <c r="E513" s="59"/>
    </row>
    <row r="514" ht="13.5" customHeight="1">
      <c r="A514" s="54"/>
      <c r="E514" s="59"/>
    </row>
    <row r="515" ht="13.5" customHeight="1">
      <c r="A515" s="54"/>
      <c r="E515" s="59"/>
    </row>
    <row r="516" ht="13.5" customHeight="1">
      <c r="A516" s="54"/>
      <c r="E516" s="59"/>
    </row>
    <row r="517" ht="13.5" customHeight="1">
      <c r="A517" s="54"/>
      <c r="E517" s="59"/>
    </row>
    <row r="518" ht="13.5" customHeight="1">
      <c r="A518" s="54"/>
      <c r="E518" s="59"/>
    </row>
    <row r="519" ht="13.5" customHeight="1">
      <c r="A519" s="54"/>
      <c r="E519" s="59"/>
    </row>
    <row r="520" ht="13.5" customHeight="1">
      <c r="A520" s="54"/>
      <c r="E520" s="59"/>
    </row>
    <row r="521" ht="13.5" customHeight="1">
      <c r="A521" s="54"/>
      <c r="E521" s="59"/>
    </row>
    <row r="522" ht="13.5" customHeight="1">
      <c r="A522" s="54"/>
      <c r="E522" s="59"/>
    </row>
    <row r="523" ht="13.5" customHeight="1">
      <c r="A523" s="54"/>
      <c r="E523" s="59"/>
    </row>
    <row r="524" ht="13.5" customHeight="1">
      <c r="A524" s="54"/>
      <c r="E524" s="59"/>
    </row>
    <row r="525" ht="13.5" customHeight="1">
      <c r="A525" s="54"/>
      <c r="E525" s="59"/>
    </row>
    <row r="526" ht="13.5" customHeight="1">
      <c r="A526" s="54"/>
      <c r="E526" s="59"/>
    </row>
    <row r="527" ht="13.5" customHeight="1">
      <c r="A527" s="54"/>
      <c r="E527" s="59"/>
    </row>
    <row r="528" ht="13.5" customHeight="1">
      <c r="A528" s="54"/>
      <c r="E528" s="59"/>
    </row>
    <row r="529" ht="13.5" customHeight="1">
      <c r="A529" s="54"/>
      <c r="E529" s="59"/>
    </row>
    <row r="530" ht="13.5" customHeight="1">
      <c r="A530" s="54"/>
      <c r="E530" s="59"/>
    </row>
    <row r="531" ht="13.5" customHeight="1">
      <c r="A531" s="54"/>
      <c r="E531" s="59"/>
    </row>
    <row r="532" ht="13.5" customHeight="1">
      <c r="A532" s="54"/>
      <c r="E532" s="59"/>
    </row>
    <row r="533" ht="13.5" customHeight="1">
      <c r="A533" s="54"/>
      <c r="E533" s="59"/>
    </row>
    <row r="534" ht="13.5" customHeight="1">
      <c r="A534" s="54"/>
      <c r="E534" s="59"/>
    </row>
    <row r="535" ht="13.5" customHeight="1">
      <c r="A535" s="54"/>
      <c r="E535" s="59"/>
    </row>
    <row r="536" ht="13.5" customHeight="1">
      <c r="A536" s="54"/>
      <c r="E536" s="59"/>
    </row>
    <row r="537" ht="13.5" customHeight="1">
      <c r="A537" s="54"/>
      <c r="E537" s="59"/>
    </row>
    <row r="538" ht="13.5" customHeight="1">
      <c r="A538" s="54"/>
      <c r="E538" s="59"/>
    </row>
    <row r="539" ht="13.5" customHeight="1">
      <c r="A539" s="54"/>
      <c r="E539" s="59"/>
    </row>
    <row r="540" ht="13.5" customHeight="1">
      <c r="A540" s="54"/>
      <c r="E540" s="59"/>
    </row>
    <row r="541" ht="13.5" customHeight="1">
      <c r="A541" s="54"/>
      <c r="E541" s="59"/>
    </row>
    <row r="542" ht="13.5" customHeight="1">
      <c r="A542" s="54"/>
      <c r="E542" s="59"/>
    </row>
    <row r="543" ht="13.5" customHeight="1">
      <c r="A543" s="54"/>
      <c r="E543" s="59"/>
    </row>
    <row r="544" ht="13.5" customHeight="1">
      <c r="A544" s="54"/>
      <c r="E544" s="59"/>
    </row>
    <row r="545" ht="13.5" customHeight="1">
      <c r="A545" s="54"/>
      <c r="E545" s="59"/>
    </row>
    <row r="546" ht="13.5" customHeight="1">
      <c r="A546" s="54"/>
      <c r="E546" s="59"/>
    </row>
    <row r="547" ht="13.5" customHeight="1">
      <c r="A547" s="54"/>
      <c r="E547" s="59"/>
    </row>
    <row r="548" ht="13.5" customHeight="1">
      <c r="A548" s="54"/>
      <c r="E548" s="59"/>
    </row>
    <row r="549" ht="13.5" customHeight="1">
      <c r="A549" s="54"/>
      <c r="E549" s="59"/>
    </row>
    <row r="550" ht="13.5" customHeight="1">
      <c r="A550" s="54"/>
      <c r="E550" s="59"/>
    </row>
    <row r="551" ht="13.5" customHeight="1">
      <c r="A551" s="54"/>
      <c r="E551" s="59"/>
    </row>
    <row r="552" ht="13.5" customHeight="1">
      <c r="A552" s="54"/>
      <c r="E552" s="59"/>
    </row>
    <row r="553" ht="13.5" customHeight="1">
      <c r="A553" s="54"/>
      <c r="E553" s="59"/>
    </row>
    <row r="554" ht="13.5" customHeight="1">
      <c r="A554" s="54"/>
      <c r="E554" s="59"/>
    </row>
    <row r="555" ht="13.5" customHeight="1">
      <c r="A555" s="54"/>
      <c r="E555" s="59"/>
    </row>
    <row r="556" ht="13.5" customHeight="1">
      <c r="A556" s="54"/>
      <c r="E556" s="59"/>
    </row>
    <row r="557" ht="13.5" customHeight="1">
      <c r="A557" s="54"/>
      <c r="E557" s="59"/>
    </row>
    <row r="558" ht="13.5" customHeight="1">
      <c r="A558" s="54"/>
      <c r="E558" s="59"/>
    </row>
    <row r="559" ht="13.5" customHeight="1">
      <c r="A559" s="54"/>
      <c r="E559" s="59"/>
    </row>
    <row r="560" ht="13.5" customHeight="1">
      <c r="A560" s="54"/>
      <c r="E560" s="59"/>
    </row>
    <row r="561" ht="13.5" customHeight="1">
      <c r="A561" s="54"/>
      <c r="E561" s="59"/>
    </row>
    <row r="562" ht="13.5" customHeight="1">
      <c r="A562" s="54"/>
      <c r="E562" s="59"/>
    </row>
    <row r="563" ht="13.5" customHeight="1">
      <c r="A563" s="54"/>
      <c r="E563" s="59"/>
    </row>
    <row r="564" ht="13.5" customHeight="1">
      <c r="A564" s="54"/>
      <c r="E564" s="59"/>
    </row>
    <row r="565" ht="13.5" customHeight="1">
      <c r="A565" s="54"/>
      <c r="E565" s="59"/>
    </row>
    <row r="566" ht="13.5" customHeight="1">
      <c r="A566" s="54"/>
      <c r="E566" s="59"/>
    </row>
    <row r="567" ht="13.5" customHeight="1">
      <c r="A567" s="54"/>
      <c r="E567" s="59"/>
    </row>
    <row r="568" ht="13.5" customHeight="1">
      <c r="A568" s="54"/>
      <c r="E568" s="59"/>
    </row>
    <row r="569" ht="13.5" customHeight="1">
      <c r="A569" s="54"/>
      <c r="E569" s="59"/>
    </row>
    <row r="570" ht="13.5" customHeight="1">
      <c r="A570" s="54"/>
      <c r="E570" s="59"/>
    </row>
    <row r="571" ht="13.5" customHeight="1">
      <c r="A571" s="54"/>
      <c r="E571" s="59"/>
    </row>
    <row r="572" ht="13.5" customHeight="1">
      <c r="A572" s="54"/>
      <c r="E572" s="59"/>
    </row>
    <row r="573" ht="13.5" customHeight="1">
      <c r="A573" s="54"/>
      <c r="E573" s="59"/>
    </row>
    <row r="574" ht="13.5" customHeight="1">
      <c r="A574" s="54"/>
      <c r="E574" s="59"/>
    </row>
    <row r="575" ht="13.5" customHeight="1">
      <c r="A575" s="54"/>
      <c r="E575" s="59"/>
    </row>
    <row r="576" ht="13.5" customHeight="1">
      <c r="A576" s="54"/>
      <c r="E576" s="59"/>
    </row>
    <row r="577" ht="13.5" customHeight="1">
      <c r="A577" s="54"/>
      <c r="E577" s="59"/>
    </row>
    <row r="578" ht="13.5" customHeight="1">
      <c r="A578" s="54"/>
      <c r="E578" s="59"/>
    </row>
    <row r="579" ht="13.5" customHeight="1">
      <c r="A579" s="54"/>
      <c r="E579" s="59"/>
    </row>
    <row r="580" ht="13.5" customHeight="1">
      <c r="A580" s="54"/>
      <c r="E580" s="59"/>
    </row>
    <row r="581" ht="13.5" customHeight="1">
      <c r="A581" s="54"/>
      <c r="E581" s="59"/>
    </row>
    <row r="582" ht="13.5" customHeight="1">
      <c r="A582" s="54"/>
      <c r="E582" s="59"/>
    </row>
    <row r="583" ht="13.5" customHeight="1">
      <c r="A583" s="54"/>
      <c r="E583" s="59"/>
    </row>
    <row r="584" ht="13.5" customHeight="1">
      <c r="A584" s="54"/>
      <c r="E584" s="59"/>
    </row>
    <row r="585" ht="13.5" customHeight="1">
      <c r="A585" s="54"/>
      <c r="E585" s="59"/>
    </row>
    <row r="586" ht="13.5" customHeight="1">
      <c r="A586" s="54"/>
      <c r="E586" s="59"/>
    </row>
    <row r="587" ht="13.5" customHeight="1">
      <c r="A587" s="54"/>
      <c r="E587" s="59"/>
    </row>
    <row r="588" ht="13.5" customHeight="1">
      <c r="A588" s="54"/>
      <c r="E588" s="59"/>
    </row>
    <row r="589" ht="13.5" customHeight="1">
      <c r="A589" s="54"/>
      <c r="E589" s="59"/>
    </row>
    <row r="590" ht="13.5" customHeight="1">
      <c r="A590" s="54"/>
      <c r="E590" s="59"/>
    </row>
    <row r="591" ht="13.5" customHeight="1">
      <c r="A591" s="54"/>
      <c r="E591" s="59"/>
    </row>
    <row r="592" ht="13.5" customHeight="1">
      <c r="A592" s="54"/>
      <c r="E592" s="59"/>
    </row>
    <row r="593" ht="13.5" customHeight="1">
      <c r="A593" s="54"/>
      <c r="E593" s="59"/>
    </row>
    <row r="594" ht="13.5" customHeight="1">
      <c r="A594" s="54"/>
      <c r="E594" s="59"/>
    </row>
    <row r="595" ht="13.5" customHeight="1">
      <c r="A595" s="54"/>
      <c r="E595" s="59"/>
    </row>
    <row r="596" ht="13.5" customHeight="1">
      <c r="A596" s="54"/>
      <c r="E596" s="59"/>
    </row>
    <row r="597" ht="13.5" customHeight="1">
      <c r="A597" s="54"/>
      <c r="E597" s="59"/>
    </row>
    <row r="598" ht="13.5" customHeight="1">
      <c r="A598" s="54"/>
      <c r="E598" s="59"/>
    </row>
    <row r="599" ht="13.5" customHeight="1">
      <c r="A599" s="54"/>
      <c r="E599" s="59"/>
    </row>
    <row r="600" ht="13.5" customHeight="1">
      <c r="A600" s="54"/>
      <c r="E600" s="59"/>
    </row>
    <row r="601" ht="13.5" customHeight="1">
      <c r="A601" s="54"/>
      <c r="E601" s="59"/>
    </row>
    <row r="602" ht="13.5" customHeight="1">
      <c r="A602" s="54"/>
      <c r="E602" s="59"/>
    </row>
    <row r="603" ht="13.5" customHeight="1">
      <c r="A603" s="54"/>
      <c r="E603" s="59"/>
    </row>
    <row r="604" ht="13.5" customHeight="1">
      <c r="A604" s="54"/>
      <c r="E604" s="59"/>
    </row>
    <row r="605" ht="13.5" customHeight="1">
      <c r="A605" s="54"/>
      <c r="E605" s="59"/>
    </row>
    <row r="606" ht="13.5" customHeight="1">
      <c r="A606" s="54"/>
      <c r="E606" s="59"/>
    </row>
    <row r="607" ht="13.5" customHeight="1">
      <c r="A607" s="54"/>
      <c r="E607" s="59"/>
    </row>
    <row r="608" ht="13.5" customHeight="1">
      <c r="A608" s="54"/>
      <c r="E608" s="59"/>
    </row>
    <row r="609" ht="13.5" customHeight="1">
      <c r="A609" s="54"/>
      <c r="E609" s="59"/>
    </row>
    <row r="610" ht="13.5" customHeight="1">
      <c r="A610" s="54"/>
      <c r="E610" s="59"/>
    </row>
    <row r="611" ht="13.5" customHeight="1">
      <c r="A611" s="54"/>
      <c r="E611" s="59"/>
    </row>
    <row r="612" ht="13.5" customHeight="1">
      <c r="A612" s="54"/>
      <c r="E612" s="59"/>
    </row>
    <row r="613" ht="13.5" customHeight="1">
      <c r="A613" s="54"/>
      <c r="E613" s="59"/>
    </row>
    <row r="614" ht="13.5" customHeight="1">
      <c r="A614" s="54"/>
      <c r="E614" s="59"/>
    </row>
    <row r="615" ht="13.5" customHeight="1">
      <c r="A615" s="54"/>
      <c r="E615" s="59"/>
    </row>
    <row r="616" ht="13.5" customHeight="1">
      <c r="A616" s="54"/>
      <c r="E616" s="59"/>
    </row>
    <row r="617" ht="13.5" customHeight="1">
      <c r="A617" s="54"/>
      <c r="E617" s="59"/>
    </row>
    <row r="618" ht="13.5" customHeight="1">
      <c r="A618" s="54"/>
      <c r="E618" s="59"/>
    </row>
    <row r="619" ht="13.5" customHeight="1">
      <c r="A619" s="54"/>
      <c r="E619" s="59"/>
    </row>
    <row r="620" ht="13.5" customHeight="1">
      <c r="A620" s="54"/>
      <c r="E620" s="59"/>
    </row>
    <row r="621" ht="13.5" customHeight="1">
      <c r="A621" s="54"/>
      <c r="E621" s="59"/>
    </row>
    <row r="622" ht="13.5" customHeight="1">
      <c r="A622" s="54"/>
      <c r="E622" s="59"/>
    </row>
    <row r="623" ht="13.5" customHeight="1">
      <c r="A623" s="54"/>
      <c r="E623" s="59"/>
    </row>
    <row r="624" ht="13.5" customHeight="1">
      <c r="A624" s="54"/>
      <c r="E624" s="59"/>
    </row>
    <row r="625" ht="13.5" customHeight="1">
      <c r="A625" s="54"/>
      <c r="E625" s="59"/>
    </row>
    <row r="626" ht="13.5" customHeight="1">
      <c r="A626" s="54"/>
      <c r="E626" s="59"/>
    </row>
    <row r="627" ht="13.5" customHeight="1">
      <c r="A627" s="54"/>
      <c r="E627" s="59"/>
    </row>
    <row r="628" ht="13.5" customHeight="1">
      <c r="A628" s="54"/>
      <c r="E628" s="59"/>
    </row>
    <row r="629" ht="13.5" customHeight="1">
      <c r="A629" s="54"/>
      <c r="E629" s="59"/>
    </row>
    <row r="630" ht="13.5" customHeight="1">
      <c r="A630" s="54"/>
      <c r="E630" s="59"/>
    </row>
    <row r="631" ht="13.5" customHeight="1">
      <c r="A631" s="54"/>
      <c r="E631" s="59"/>
    </row>
    <row r="632" ht="13.5" customHeight="1">
      <c r="A632" s="54"/>
      <c r="E632" s="59"/>
    </row>
    <row r="633" ht="13.5" customHeight="1">
      <c r="A633" s="54"/>
      <c r="E633" s="59"/>
    </row>
    <row r="634" ht="13.5" customHeight="1">
      <c r="A634" s="54"/>
      <c r="E634" s="59"/>
    </row>
    <row r="635" ht="13.5" customHeight="1">
      <c r="A635" s="54"/>
      <c r="E635" s="59"/>
    </row>
    <row r="636" ht="13.5" customHeight="1">
      <c r="A636" s="54"/>
      <c r="E636" s="59"/>
    </row>
    <row r="637" ht="13.5" customHeight="1">
      <c r="A637" s="54"/>
      <c r="E637" s="59"/>
    </row>
    <row r="638" ht="13.5" customHeight="1">
      <c r="A638" s="54"/>
      <c r="E638" s="59"/>
    </row>
    <row r="639" ht="13.5" customHeight="1">
      <c r="A639" s="54"/>
      <c r="E639" s="59"/>
    </row>
    <row r="640" ht="13.5" customHeight="1">
      <c r="A640" s="54"/>
      <c r="E640" s="59"/>
    </row>
    <row r="641" ht="13.5" customHeight="1">
      <c r="A641" s="54"/>
      <c r="E641" s="59"/>
    </row>
    <row r="642" ht="13.5" customHeight="1">
      <c r="A642" s="54"/>
      <c r="E642" s="59"/>
    </row>
    <row r="643" ht="13.5" customHeight="1">
      <c r="A643" s="54"/>
      <c r="E643" s="59"/>
    </row>
    <row r="644" ht="13.5" customHeight="1">
      <c r="A644" s="54"/>
      <c r="E644" s="59"/>
    </row>
    <row r="645" ht="13.5" customHeight="1">
      <c r="A645" s="54"/>
      <c r="E645" s="59"/>
    </row>
    <row r="646" ht="13.5" customHeight="1">
      <c r="A646" s="54"/>
      <c r="E646" s="59"/>
    </row>
    <row r="647" ht="13.5" customHeight="1">
      <c r="A647" s="54"/>
      <c r="E647" s="59"/>
    </row>
    <row r="648" ht="13.5" customHeight="1">
      <c r="A648" s="54"/>
      <c r="E648" s="59"/>
    </row>
    <row r="649" ht="13.5" customHeight="1">
      <c r="A649" s="54"/>
      <c r="E649" s="59"/>
    </row>
    <row r="650" ht="13.5" customHeight="1">
      <c r="A650" s="54"/>
      <c r="E650" s="59"/>
    </row>
    <row r="651" ht="13.5" customHeight="1">
      <c r="A651" s="54"/>
      <c r="E651" s="59"/>
    </row>
    <row r="652" ht="13.5" customHeight="1">
      <c r="A652" s="54"/>
      <c r="E652" s="59"/>
    </row>
    <row r="653" ht="13.5" customHeight="1">
      <c r="A653" s="54"/>
      <c r="E653" s="59"/>
    </row>
    <row r="654" ht="13.5" customHeight="1">
      <c r="A654" s="54"/>
      <c r="E654" s="59"/>
    </row>
    <row r="655" ht="13.5" customHeight="1">
      <c r="A655" s="54"/>
      <c r="E655" s="59"/>
    </row>
    <row r="656" ht="13.5" customHeight="1">
      <c r="A656" s="54"/>
      <c r="E656" s="59"/>
    </row>
    <row r="657" ht="13.5" customHeight="1">
      <c r="A657" s="54"/>
      <c r="E657" s="59"/>
    </row>
    <row r="658" ht="13.5" customHeight="1">
      <c r="A658" s="54"/>
      <c r="E658" s="59"/>
    </row>
    <row r="659" ht="13.5" customHeight="1">
      <c r="A659" s="54"/>
      <c r="E659" s="59"/>
    </row>
    <row r="660" ht="13.5" customHeight="1">
      <c r="A660" s="54"/>
      <c r="E660" s="59"/>
    </row>
    <row r="661" ht="13.5" customHeight="1">
      <c r="A661" s="54"/>
      <c r="E661" s="59"/>
    </row>
    <row r="662" ht="13.5" customHeight="1">
      <c r="A662" s="54"/>
      <c r="E662" s="59"/>
    </row>
    <row r="663" ht="13.5" customHeight="1">
      <c r="A663" s="54"/>
      <c r="E663" s="59"/>
    </row>
    <row r="664" ht="13.5" customHeight="1">
      <c r="A664" s="54"/>
      <c r="E664" s="59"/>
    </row>
    <row r="665" ht="13.5" customHeight="1">
      <c r="A665" s="54"/>
      <c r="E665" s="59"/>
    </row>
    <row r="666" ht="13.5" customHeight="1">
      <c r="A666" s="54"/>
      <c r="E666" s="59"/>
    </row>
    <row r="667" ht="13.5" customHeight="1">
      <c r="A667" s="54"/>
      <c r="E667" s="59"/>
    </row>
    <row r="668" ht="13.5" customHeight="1">
      <c r="A668" s="54"/>
      <c r="E668" s="59"/>
    </row>
    <row r="669" ht="13.5" customHeight="1">
      <c r="A669" s="54"/>
      <c r="E669" s="59"/>
    </row>
    <row r="670" ht="13.5" customHeight="1">
      <c r="A670" s="54"/>
      <c r="E670" s="59"/>
    </row>
    <row r="671" ht="13.5" customHeight="1">
      <c r="A671" s="54"/>
      <c r="E671" s="59"/>
    </row>
    <row r="672" ht="13.5" customHeight="1">
      <c r="A672" s="54"/>
      <c r="E672" s="59"/>
    </row>
    <row r="673" ht="13.5" customHeight="1">
      <c r="A673" s="54"/>
      <c r="E673" s="59"/>
    </row>
    <row r="674" ht="13.5" customHeight="1">
      <c r="A674" s="54"/>
      <c r="E674" s="59"/>
    </row>
    <row r="675" ht="13.5" customHeight="1">
      <c r="A675" s="54"/>
      <c r="E675" s="59"/>
    </row>
    <row r="676" ht="13.5" customHeight="1">
      <c r="A676" s="54"/>
      <c r="E676" s="59"/>
    </row>
    <row r="677" ht="13.5" customHeight="1">
      <c r="A677" s="54"/>
      <c r="E677" s="59"/>
    </row>
    <row r="678" ht="13.5" customHeight="1">
      <c r="A678" s="54"/>
      <c r="E678" s="59"/>
    </row>
    <row r="679" ht="13.5" customHeight="1">
      <c r="A679" s="54"/>
      <c r="E679" s="59"/>
    </row>
    <row r="680" ht="13.5" customHeight="1">
      <c r="A680" s="54"/>
      <c r="E680" s="59"/>
    </row>
    <row r="681" ht="13.5" customHeight="1">
      <c r="A681" s="54"/>
      <c r="E681" s="59"/>
    </row>
    <row r="682" ht="13.5" customHeight="1">
      <c r="A682" s="54"/>
      <c r="E682" s="59"/>
    </row>
    <row r="683" ht="13.5" customHeight="1">
      <c r="A683" s="54"/>
      <c r="E683" s="59"/>
    </row>
    <row r="684" ht="13.5" customHeight="1">
      <c r="A684" s="54"/>
      <c r="E684" s="59"/>
    </row>
    <row r="685" ht="13.5" customHeight="1">
      <c r="A685" s="54"/>
      <c r="E685" s="59"/>
    </row>
    <row r="686" ht="13.5" customHeight="1">
      <c r="A686" s="54"/>
      <c r="E686" s="59"/>
    </row>
    <row r="687" ht="13.5" customHeight="1">
      <c r="A687" s="54"/>
      <c r="E687" s="59"/>
    </row>
    <row r="688" ht="13.5" customHeight="1">
      <c r="A688" s="54"/>
      <c r="E688" s="59"/>
    </row>
    <row r="689" ht="13.5" customHeight="1">
      <c r="A689" s="54"/>
      <c r="E689" s="59"/>
    </row>
    <row r="690" ht="13.5" customHeight="1">
      <c r="A690" s="54"/>
      <c r="E690" s="59"/>
    </row>
    <row r="691" ht="13.5" customHeight="1">
      <c r="A691" s="54"/>
      <c r="E691" s="59"/>
    </row>
    <row r="692" ht="13.5" customHeight="1">
      <c r="A692" s="54"/>
      <c r="E692" s="59"/>
    </row>
    <row r="693" ht="13.5" customHeight="1">
      <c r="A693" s="54"/>
      <c r="E693" s="59"/>
    </row>
    <row r="694" ht="13.5" customHeight="1">
      <c r="A694" s="54"/>
      <c r="E694" s="59"/>
    </row>
    <row r="695" ht="13.5" customHeight="1">
      <c r="A695" s="54"/>
      <c r="E695" s="59"/>
    </row>
    <row r="696" ht="13.5" customHeight="1">
      <c r="A696" s="54"/>
      <c r="E696" s="59"/>
    </row>
    <row r="697" ht="13.5" customHeight="1">
      <c r="A697" s="54"/>
      <c r="E697" s="59"/>
    </row>
    <row r="698" ht="13.5" customHeight="1">
      <c r="A698" s="54"/>
      <c r="E698" s="59"/>
    </row>
    <row r="699" ht="13.5" customHeight="1">
      <c r="A699" s="54"/>
      <c r="E699" s="59"/>
    </row>
    <row r="700" ht="13.5" customHeight="1">
      <c r="A700" s="54"/>
      <c r="E700" s="59"/>
    </row>
    <row r="701" ht="13.5" customHeight="1">
      <c r="A701" s="54"/>
      <c r="E701" s="59"/>
    </row>
    <row r="702" ht="13.5" customHeight="1">
      <c r="A702" s="54"/>
      <c r="E702" s="59"/>
    </row>
    <row r="703" ht="13.5" customHeight="1">
      <c r="A703" s="54"/>
      <c r="E703" s="59"/>
    </row>
    <row r="704" ht="13.5" customHeight="1">
      <c r="A704" s="54"/>
      <c r="E704" s="59"/>
    </row>
    <row r="705" ht="13.5" customHeight="1">
      <c r="A705" s="54"/>
      <c r="E705" s="59"/>
    </row>
    <row r="706" ht="13.5" customHeight="1">
      <c r="A706" s="54"/>
      <c r="E706" s="59"/>
    </row>
    <row r="707" ht="13.5" customHeight="1">
      <c r="A707" s="54"/>
      <c r="E707" s="59"/>
    </row>
    <row r="708" ht="13.5" customHeight="1">
      <c r="A708" s="54"/>
      <c r="E708" s="59"/>
    </row>
    <row r="709" ht="13.5" customHeight="1">
      <c r="A709" s="54"/>
      <c r="E709" s="59"/>
    </row>
    <row r="710" ht="13.5" customHeight="1">
      <c r="A710" s="54"/>
      <c r="E710" s="59"/>
    </row>
    <row r="711" ht="13.5" customHeight="1">
      <c r="A711" s="54"/>
      <c r="E711" s="59"/>
    </row>
    <row r="712" ht="13.5" customHeight="1">
      <c r="A712" s="54"/>
      <c r="E712" s="59"/>
    </row>
    <row r="713" ht="13.5" customHeight="1">
      <c r="A713" s="54"/>
      <c r="E713" s="59"/>
    </row>
    <row r="714" ht="13.5" customHeight="1">
      <c r="A714" s="54"/>
      <c r="E714" s="59"/>
    </row>
    <row r="715" ht="13.5" customHeight="1">
      <c r="A715" s="54"/>
      <c r="E715" s="59"/>
    </row>
    <row r="716" ht="13.5" customHeight="1">
      <c r="A716" s="54"/>
      <c r="E716" s="59"/>
    </row>
    <row r="717" ht="13.5" customHeight="1">
      <c r="A717" s="54"/>
      <c r="E717" s="59"/>
    </row>
    <row r="718" ht="13.5" customHeight="1">
      <c r="A718" s="54"/>
      <c r="E718" s="59"/>
    </row>
    <row r="719" ht="13.5" customHeight="1">
      <c r="A719" s="54"/>
      <c r="E719" s="59"/>
    </row>
    <row r="720" ht="13.5" customHeight="1">
      <c r="A720" s="54"/>
      <c r="E720" s="59"/>
    </row>
    <row r="721" ht="13.5" customHeight="1">
      <c r="A721" s="54"/>
      <c r="E721" s="59"/>
    </row>
    <row r="722" ht="13.5" customHeight="1">
      <c r="A722" s="54"/>
      <c r="E722" s="59"/>
    </row>
    <row r="723" ht="13.5" customHeight="1">
      <c r="A723" s="54"/>
      <c r="E723" s="59"/>
    </row>
    <row r="724" ht="13.5" customHeight="1">
      <c r="A724" s="54"/>
      <c r="E724" s="59"/>
    </row>
    <row r="725" ht="13.5" customHeight="1">
      <c r="A725" s="54"/>
      <c r="E725" s="59"/>
    </row>
    <row r="726" ht="13.5" customHeight="1">
      <c r="A726" s="54"/>
      <c r="E726" s="59"/>
    </row>
    <row r="727" ht="13.5" customHeight="1">
      <c r="A727" s="54"/>
      <c r="E727" s="59"/>
    </row>
    <row r="728" ht="13.5" customHeight="1">
      <c r="A728" s="54"/>
      <c r="E728" s="59"/>
    </row>
    <row r="729" ht="13.5" customHeight="1">
      <c r="A729" s="54"/>
      <c r="E729" s="59"/>
    </row>
    <row r="730" ht="13.5" customHeight="1">
      <c r="A730" s="54"/>
      <c r="E730" s="59"/>
    </row>
    <row r="731" ht="13.5" customHeight="1">
      <c r="A731" s="54"/>
      <c r="E731" s="59"/>
    </row>
    <row r="732" ht="13.5" customHeight="1">
      <c r="A732" s="54"/>
      <c r="E732" s="59"/>
    </row>
    <row r="733" ht="13.5" customHeight="1">
      <c r="A733" s="54"/>
      <c r="E733" s="59"/>
    </row>
    <row r="734" ht="13.5" customHeight="1">
      <c r="A734" s="54"/>
      <c r="E734" s="59"/>
    </row>
    <row r="735" ht="13.5" customHeight="1">
      <c r="A735" s="54"/>
      <c r="E735" s="59"/>
    </row>
    <row r="736" ht="13.5" customHeight="1">
      <c r="A736" s="54"/>
      <c r="E736" s="59"/>
    </row>
    <row r="737" ht="13.5" customHeight="1">
      <c r="A737" s="54"/>
      <c r="E737" s="59"/>
    </row>
    <row r="738" ht="13.5" customHeight="1">
      <c r="A738" s="54"/>
      <c r="E738" s="59"/>
    </row>
    <row r="739" ht="13.5" customHeight="1">
      <c r="A739" s="54"/>
      <c r="E739" s="59"/>
    </row>
    <row r="740" ht="13.5" customHeight="1">
      <c r="A740" s="54"/>
      <c r="E740" s="59"/>
    </row>
    <row r="741" ht="13.5" customHeight="1">
      <c r="A741" s="54"/>
      <c r="E741" s="59"/>
    </row>
    <row r="742" ht="13.5" customHeight="1">
      <c r="A742" s="54"/>
      <c r="E742" s="59"/>
    </row>
    <row r="743" ht="13.5" customHeight="1">
      <c r="A743" s="54"/>
      <c r="E743" s="59"/>
    </row>
    <row r="744" ht="13.5" customHeight="1">
      <c r="A744" s="54"/>
      <c r="E744" s="59"/>
    </row>
    <row r="745" ht="13.5" customHeight="1">
      <c r="A745" s="54"/>
      <c r="E745" s="59"/>
    </row>
    <row r="746" ht="13.5" customHeight="1">
      <c r="A746" s="54"/>
      <c r="E746" s="59"/>
    </row>
    <row r="747" ht="13.5" customHeight="1">
      <c r="A747" s="54"/>
      <c r="E747" s="59"/>
    </row>
    <row r="748" ht="13.5" customHeight="1">
      <c r="A748" s="54"/>
      <c r="E748" s="59"/>
    </row>
    <row r="749" ht="13.5" customHeight="1">
      <c r="A749" s="54"/>
      <c r="E749" s="59"/>
    </row>
    <row r="750" ht="13.5" customHeight="1">
      <c r="A750" s="54"/>
      <c r="E750" s="59"/>
    </row>
    <row r="751" ht="13.5" customHeight="1">
      <c r="A751" s="54"/>
      <c r="E751" s="59"/>
    </row>
    <row r="752" ht="13.5" customHeight="1">
      <c r="A752" s="54"/>
      <c r="E752" s="59"/>
    </row>
    <row r="753" ht="13.5" customHeight="1">
      <c r="A753" s="54"/>
      <c r="E753" s="59"/>
    </row>
    <row r="754" ht="13.5" customHeight="1">
      <c r="A754" s="54"/>
      <c r="E754" s="59"/>
    </row>
    <row r="755" ht="13.5" customHeight="1">
      <c r="A755" s="54"/>
      <c r="E755" s="59"/>
    </row>
    <row r="756" ht="13.5" customHeight="1">
      <c r="A756" s="54"/>
      <c r="E756" s="59"/>
    </row>
    <row r="757" ht="13.5" customHeight="1">
      <c r="A757" s="54"/>
      <c r="E757" s="59"/>
    </row>
    <row r="758" ht="13.5" customHeight="1">
      <c r="A758" s="54"/>
      <c r="E758" s="59"/>
    </row>
    <row r="759" ht="13.5" customHeight="1">
      <c r="A759" s="54"/>
      <c r="E759" s="59"/>
    </row>
    <row r="760" ht="13.5" customHeight="1">
      <c r="A760" s="54"/>
      <c r="E760" s="59"/>
    </row>
    <row r="761" ht="13.5" customHeight="1">
      <c r="A761" s="54"/>
      <c r="E761" s="59"/>
    </row>
    <row r="762" ht="13.5" customHeight="1">
      <c r="A762" s="54"/>
      <c r="E762" s="59"/>
    </row>
    <row r="763" ht="13.5" customHeight="1">
      <c r="A763" s="54"/>
      <c r="E763" s="59"/>
    </row>
    <row r="764" ht="13.5" customHeight="1">
      <c r="A764" s="54"/>
      <c r="E764" s="59"/>
    </row>
    <row r="765" ht="13.5" customHeight="1">
      <c r="A765" s="54"/>
      <c r="E765" s="59"/>
    </row>
    <row r="766" ht="13.5" customHeight="1">
      <c r="A766" s="54"/>
      <c r="E766" s="59"/>
    </row>
    <row r="767" ht="13.5" customHeight="1">
      <c r="A767" s="54"/>
      <c r="E767" s="59"/>
    </row>
    <row r="768" ht="13.5" customHeight="1">
      <c r="A768" s="54"/>
      <c r="E768" s="59"/>
    </row>
    <row r="769" ht="13.5" customHeight="1">
      <c r="A769" s="54"/>
      <c r="E769" s="59"/>
    </row>
    <row r="770" ht="13.5" customHeight="1">
      <c r="A770" s="54"/>
      <c r="E770" s="59"/>
    </row>
    <row r="771" ht="13.5" customHeight="1">
      <c r="A771" s="54"/>
      <c r="E771" s="59"/>
    </row>
    <row r="772" ht="13.5" customHeight="1">
      <c r="A772" s="54"/>
      <c r="E772" s="59"/>
    </row>
    <row r="773" ht="13.5" customHeight="1">
      <c r="A773" s="54"/>
      <c r="E773" s="59"/>
    </row>
    <row r="774" ht="13.5" customHeight="1">
      <c r="A774" s="54"/>
      <c r="E774" s="59"/>
    </row>
    <row r="775" ht="13.5" customHeight="1">
      <c r="A775" s="54"/>
      <c r="E775" s="59"/>
    </row>
    <row r="776" ht="13.5" customHeight="1">
      <c r="A776" s="54"/>
      <c r="E776" s="59"/>
    </row>
    <row r="777" ht="13.5" customHeight="1">
      <c r="A777" s="54"/>
      <c r="E777" s="59"/>
    </row>
    <row r="778" ht="13.5" customHeight="1">
      <c r="A778" s="54"/>
      <c r="E778" s="59"/>
    </row>
    <row r="779" ht="13.5" customHeight="1">
      <c r="A779" s="54"/>
      <c r="E779" s="59"/>
    </row>
    <row r="780" ht="13.5" customHeight="1">
      <c r="A780" s="54"/>
      <c r="E780" s="59"/>
    </row>
    <row r="781" ht="13.5" customHeight="1">
      <c r="A781" s="54"/>
      <c r="E781" s="59"/>
    </row>
    <row r="782" ht="13.5" customHeight="1">
      <c r="A782" s="54"/>
      <c r="E782" s="59"/>
    </row>
    <row r="783" ht="13.5" customHeight="1">
      <c r="A783" s="54"/>
      <c r="E783" s="59"/>
    </row>
    <row r="784" ht="13.5" customHeight="1">
      <c r="A784" s="54"/>
      <c r="E784" s="59"/>
    </row>
    <row r="785" ht="13.5" customHeight="1">
      <c r="A785" s="54"/>
      <c r="E785" s="59"/>
    </row>
    <row r="786" ht="13.5" customHeight="1">
      <c r="A786" s="54"/>
      <c r="E786" s="59"/>
    </row>
    <row r="787" ht="13.5" customHeight="1">
      <c r="A787" s="54"/>
      <c r="E787" s="59"/>
    </row>
    <row r="788" ht="13.5" customHeight="1">
      <c r="A788" s="54"/>
      <c r="E788" s="59"/>
    </row>
    <row r="789" ht="13.5" customHeight="1">
      <c r="A789" s="54"/>
      <c r="E789" s="59"/>
    </row>
    <row r="790" ht="13.5" customHeight="1">
      <c r="A790" s="54"/>
      <c r="E790" s="59"/>
    </row>
    <row r="791" ht="13.5" customHeight="1">
      <c r="A791" s="54"/>
      <c r="E791" s="59"/>
    </row>
    <row r="792" ht="13.5" customHeight="1">
      <c r="A792" s="54"/>
      <c r="E792" s="59"/>
    </row>
    <row r="793" ht="13.5" customHeight="1">
      <c r="A793" s="54"/>
      <c r="E793" s="59"/>
    </row>
    <row r="794" ht="13.5" customHeight="1">
      <c r="A794" s="54"/>
      <c r="E794" s="59"/>
    </row>
    <row r="795" ht="13.5" customHeight="1">
      <c r="A795" s="54"/>
      <c r="E795" s="59"/>
    </row>
    <row r="796" ht="13.5" customHeight="1">
      <c r="A796" s="54"/>
      <c r="E796" s="59"/>
    </row>
    <row r="797" ht="13.5" customHeight="1">
      <c r="A797" s="54"/>
      <c r="E797" s="59"/>
    </row>
    <row r="798" ht="13.5" customHeight="1">
      <c r="A798" s="54"/>
      <c r="E798" s="59"/>
    </row>
    <row r="799" ht="13.5" customHeight="1">
      <c r="A799" s="54"/>
      <c r="E799" s="59"/>
    </row>
    <row r="800" ht="13.5" customHeight="1">
      <c r="A800" s="54"/>
      <c r="E800" s="59"/>
    </row>
    <row r="801" ht="13.5" customHeight="1">
      <c r="A801" s="54"/>
      <c r="E801" s="59"/>
    </row>
    <row r="802" ht="13.5" customHeight="1">
      <c r="A802" s="54"/>
      <c r="E802" s="59"/>
    </row>
    <row r="803" ht="13.5" customHeight="1">
      <c r="A803" s="54"/>
      <c r="E803" s="59"/>
    </row>
    <row r="804" ht="13.5" customHeight="1">
      <c r="A804" s="54"/>
      <c r="E804" s="59"/>
    </row>
    <row r="805" ht="13.5" customHeight="1">
      <c r="A805" s="54"/>
      <c r="E805" s="59"/>
    </row>
    <row r="806" ht="13.5" customHeight="1">
      <c r="A806" s="54"/>
      <c r="E806" s="59"/>
    </row>
    <row r="807" ht="13.5" customHeight="1">
      <c r="A807" s="54"/>
      <c r="E807" s="59"/>
    </row>
    <row r="808" ht="13.5" customHeight="1">
      <c r="A808" s="54"/>
      <c r="E808" s="59"/>
    </row>
    <row r="809" ht="13.5" customHeight="1">
      <c r="A809" s="54"/>
      <c r="E809" s="59"/>
    </row>
    <row r="810" ht="13.5" customHeight="1">
      <c r="A810" s="54"/>
      <c r="E810" s="59"/>
    </row>
    <row r="811" ht="13.5" customHeight="1">
      <c r="A811" s="54"/>
      <c r="E811" s="59"/>
    </row>
    <row r="812" ht="13.5" customHeight="1">
      <c r="A812" s="54"/>
      <c r="E812" s="59"/>
    </row>
    <row r="813" ht="13.5" customHeight="1">
      <c r="A813" s="54"/>
      <c r="E813" s="59"/>
    </row>
    <row r="814" ht="13.5" customHeight="1">
      <c r="A814" s="54"/>
      <c r="E814" s="59"/>
    </row>
    <row r="815" ht="13.5" customHeight="1">
      <c r="A815" s="54"/>
      <c r="E815" s="59"/>
    </row>
    <row r="816" ht="13.5" customHeight="1">
      <c r="A816" s="54"/>
      <c r="E816" s="59"/>
    </row>
    <row r="817" ht="13.5" customHeight="1">
      <c r="A817" s="54"/>
      <c r="E817" s="59"/>
    </row>
    <row r="818" ht="13.5" customHeight="1">
      <c r="A818" s="54"/>
      <c r="E818" s="59"/>
    </row>
    <row r="819" ht="13.5" customHeight="1">
      <c r="A819" s="54"/>
      <c r="E819" s="59"/>
    </row>
    <row r="820" ht="13.5" customHeight="1">
      <c r="A820" s="54"/>
      <c r="E820" s="59"/>
    </row>
    <row r="821" ht="13.5" customHeight="1">
      <c r="A821" s="54"/>
      <c r="E821" s="59"/>
    </row>
    <row r="822" ht="13.5" customHeight="1">
      <c r="A822" s="54"/>
      <c r="E822" s="59"/>
    </row>
    <row r="823" ht="13.5" customHeight="1">
      <c r="A823" s="54"/>
      <c r="E823" s="59"/>
    </row>
    <row r="824" ht="13.5" customHeight="1">
      <c r="A824" s="54"/>
      <c r="E824" s="59"/>
    </row>
    <row r="825" ht="13.5" customHeight="1">
      <c r="A825" s="54"/>
      <c r="E825" s="59"/>
    </row>
    <row r="826" ht="13.5" customHeight="1">
      <c r="A826" s="54"/>
      <c r="E826" s="59"/>
    </row>
    <row r="827" ht="13.5" customHeight="1">
      <c r="A827" s="54"/>
      <c r="E827" s="59"/>
    </row>
    <row r="828" ht="13.5" customHeight="1">
      <c r="A828" s="54"/>
      <c r="E828" s="59"/>
    </row>
    <row r="829" ht="13.5" customHeight="1">
      <c r="A829" s="54"/>
      <c r="E829" s="59"/>
    </row>
    <row r="830" ht="13.5" customHeight="1">
      <c r="A830" s="54"/>
      <c r="E830" s="59"/>
    </row>
    <row r="831" ht="13.5" customHeight="1">
      <c r="A831" s="54"/>
      <c r="E831" s="59"/>
    </row>
    <row r="832" ht="13.5" customHeight="1">
      <c r="A832" s="54"/>
      <c r="E832" s="59"/>
    </row>
    <row r="833" ht="13.5" customHeight="1">
      <c r="A833" s="54"/>
      <c r="E833" s="59"/>
    </row>
    <row r="834" ht="13.5" customHeight="1">
      <c r="A834" s="54"/>
      <c r="E834" s="59"/>
    </row>
    <row r="835" ht="13.5" customHeight="1">
      <c r="A835" s="54"/>
      <c r="E835" s="59"/>
    </row>
    <row r="836" ht="13.5" customHeight="1">
      <c r="A836" s="54"/>
      <c r="E836" s="59"/>
    </row>
    <row r="837" ht="13.5" customHeight="1">
      <c r="A837" s="54"/>
      <c r="E837" s="59"/>
    </row>
    <row r="838" ht="13.5" customHeight="1">
      <c r="A838" s="54"/>
      <c r="E838" s="59"/>
    </row>
    <row r="839" ht="13.5" customHeight="1">
      <c r="A839" s="54"/>
      <c r="E839" s="59"/>
    </row>
    <row r="840" ht="13.5" customHeight="1">
      <c r="A840" s="54"/>
      <c r="E840" s="59"/>
    </row>
    <row r="841" ht="13.5" customHeight="1">
      <c r="A841" s="54"/>
      <c r="E841" s="59"/>
    </row>
    <row r="842" ht="13.5" customHeight="1">
      <c r="A842" s="54"/>
      <c r="E842" s="59"/>
    </row>
    <row r="843" ht="13.5" customHeight="1">
      <c r="A843" s="54"/>
      <c r="E843" s="59"/>
    </row>
    <row r="844" ht="13.5" customHeight="1">
      <c r="A844" s="54"/>
      <c r="E844" s="59"/>
    </row>
    <row r="845" ht="13.5" customHeight="1">
      <c r="A845" s="54"/>
      <c r="E845" s="59"/>
    </row>
    <row r="846" ht="13.5" customHeight="1">
      <c r="A846" s="54"/>
      <c r="E846" s="59"/>
    </row>
    <row r="847" ht="13.5" customHeight="1">
      <c r="A847" s="54"/>
      <c r="E847" s="59"/>
    </row>
    <row r="848" ht="13.5" customHeight="1">
      <c r="A848" s="54"/>
      <c r="E848" s="59"/>
    </row>
    <row r="849" ht="13.5" customHeight="1">
      <c r="A849" s="54"/>
      <c r="E849" s="59"/>
    </row>
    <row r="850" ht="13.5" customHeight="1">
      <c r="A850" s="54"/>
      <c r="E850" s="59"/>
    </row>
    <row r="851" ht="13.5" customHeight="1">
      <c r="A851" s="54"/>
      <c r="E851" s="59"/>
    </row>
    <row r="852" ht="13.5" customHeight="1">
      <c r="A852" s="54"/>
      <c r="E852" s="59"/>
    </row>
    <row r="853" ht="13.5" customHeight="1">
      <c r="A853" s="54"/>
      <c r="E853" s="59"/>
    </row>
    <row r="854" ht="13.5" customHeight="1">
      <c r="A854" s="54"/>
      <c r="E854" s="59"/>
    </row>
    <row r="855" ht="13.5" customHeight="1">
      <c r="A855" s="54"/>
      <c r="E855" s="59"/>
    </row>
    <row r="856" ht="13.5" customHeight="1">
      <c r="A856" s="54"/>
      <c r="E856" s="59"/>
    </row>
    <row r="857" ht="13.5" customHeight="1">
      <c r="A857" s="54"/>
      <c r="E857" s="59"/>
    </row>
    <row r="858" ht="13.5" customHeight="1">
      <c r="A858" s="54"/>
      <c r="E858" s="59"/>
    </row>
    <row r="859" ht="13.5" customHeight="1">
      <c r="A859" s="54"/>
      <c r="E859" s="59"/>
    </row>
    <row r="860" ht="13.5" customHeight="1">
      <c r="A860" s="54"/>
      <c r="E860" s="59"/>
    </row>
    <row r="861" ht="13.5" customHeight="1">
      <c r="A861" s="54"/>
      <c r="E861" s="59"/>
    </row>
    <row r="862" ht="13.5" customHeight="1">
      <c r="A862" s="54"/>
      <c r="E862" s="59"/>
    </row>
    <row r="863" ht="13.5" customHeight="1">
      <c r="A863" s="54"/>
      <c r="E863" s="59"/>
    </row>
    <row r="864" ht="13.5" customHeight="1">
      <c r="A864" s="54"/>
      <c r="E864" s="59"/>
    </row>
    <row r="865" ht="13.5" customHeight="1">
      <c r="A865" s="54"/>
      <c r="E865" s="59"/>
    </row>
    <row r="866" ht="13.5" customHeight="1">
      <c r="A866" s="54"/>
      <c r="E866" s="59"/>
    </row>
    <row r="867" ht="13.5" customHeight="1">
      <c r="A867" s="54"/>
      <c r="E867" s="59"/>
    </row>
    <row r="868" ht="13.5" customHeight="1">
      <c r="A868" s="54"/>
      <c r="E868" s="59"/>
    </row>
    <row r="869" ht="13.5" customHeight="1">
      <c r="A869" s="54"/>
      <c r="E869" s="59"/>
    </row>
    <row r="870" ht="13.5" customHeight="1">
      <c r="A870" s="54"/>
      <c r="E870" s="59"/>
    </row>
    <row r="871" ht="13.5" customHeight="1">
      <c r="A871" s="54"/>
      <c r="E871" s="59"/>
    </row>
    <row r="872" ht="13.5" customHeight="1">
      <c r="A872" s="54"/>
      <c r="E872" s="59"/>
    </row>
    <row r="873" ht="13.5" customHeight="1">
      <c r="A873" s="54"/>
      <c r="E873" s="59"/>
    </row>
    <row r="874" ht="13.5" customHeight="1">
      <c r="A874" s="54"/>
      <c r="E874" s="59"/>
    </row>
    <row r="875" ht="13.5" customHeight="1">
      <c r="A875" s="54"/>
      <c r="E875" s="59"/>
    </row>
    <row r="876" ht="13.5" customHeight="1">
      <c r="A876" s="54"/>
      <c r="E876" s="59"/>
    </row>
    <row r="877" ht="13.5" customHeight="1">
      <c r="A877" s="54"/>
      <c r="E877" s="59"/>
    </row>
    <row r="878" ht="13.5" customHeight="1">
      <c r="A878" s="54"/>
      <c r="E878" s="59"/>
    </row>
    <row r="879" ht="13.5" customHeight="1">
      <c r="A879" s="54"/>
      <c r="E879" s="59"/>
    </row>
    <row r="880" ht="13.5" customHeight="1">
      <c r="A880" s="54"/>
      <c r="E880" s="59"/>
    </row>
    <row r="881" ht="13.5" customHeight="1">
      <c r="A881" s="54"/>
      <c r="E881" s="59"/>
    </row>
    <row r="882" ht="13.5" customHeight="1">
      <c r="A882" s="54"/>
      <c r="E882" s="59"/>
    </row>
    <row r="883" ht="13.5" customHeight="1">
      <c r="A883" s="54"/>
      <c r="E883" s="59"/>
    </row>
    <row r="884" ht="13.5" customHeight="1">
      <c r="A884" s="54"/>
      <c r="E884" s="59"/>
    </row>
    <row r="885" ht="13.5" customHeight="1">
      <c r="A885" s="54"/>
      <c r="E885" s="59"/>
    </row>
    <row r="886" ht="13.5" customHeight="1">
      <c r="A886" s="54"/>
      <c r="E886" s="59"/>
    </row>
    <row r="887" ht="13.5" customHeight="1">
      <c r="A887" s="54"/>
      <c r="E887" s="59"/>
    </row>
    <row r="888" ht="13.5" customHeight="1">
      <c r="A888" s="54"/>
      <c r="E888" s="59"/>
    </row>
    <row r="889" ht="13.5" customHeight="1">
      <c r="A889" s="54"/>
      <c r="E889" s="59"/>
    </row>
    <row r="890" ht="13.5" customHeight="1">
      <c r="A890" s="54"/>
      <c r="E890" s="59"/>
    </row>
    <row r="891" ht="13.5" customHeight="1">
      <c r="A891" s="54"/>
      <c r="E891" s="59"/>
    </row>
    <row r="892" ht="13.5" customHeight="1">
      <c r="A892" s="54"/>
      <c r="E892" s="59"/>
    </row>
    <row r="893" ht="13.5" customHeight="1">
      <c r="A893" s="54"/>
      <c r="E893" s="59"/>
    </row>
    <row r="894" ht="13.5" customHeight="1">
      <c r="A894" s="54"/>
      <c r="E894" s="59"/>
    </row>
    <row r="895" ht="13.5" customHeight="1">
      <c r="A895" s="54"/>
      <c r="E895" s="59"/>
    </row>
    <row r="896" ht="13.5" customHeight="1">
      <c r="A896" s="54"/>
      <c r="E896" s="59"/>
    </row>
    <row r="897" ht="13.5" customHeight="1">
      <c r="A897" s="54"/>
      <c r="E897" s="59"/>
    </row>
    <row r="898" ht="13.5" customHeight="1">
      <c r="A898" s="54"/>
      <c r="E898" s="59"/>
    </row>
    <row r="899" ht="13.5" customHeight="1">
      <c r="A899" s="54"/>
      <c r="E899" s="59"/>
    </row>
    <row r="900" ht="13.5" customHeight="1">
      <c r="A900" s="54"/>
      <c r="E900" s="59"/>
    </row>
    <row r="901" ht="13.5" customHeight="1">
      <c r="A901" s="54"/>
      <c r="E901" s="59"/>
    </row>
    <row r="902" ht="13.5" customHeight="1">
      <c r="A902" s="54"/>
      <c r="E902" s="59"/>
    </row>
    <row r="903" ht="13.5" customHeight="1">
      <c r="A903" s="54"/>
      <c r="E903" s="59"/>
    </row>
    <row r="904" ht="13.5" customHeight="1">
      <c r="A904" s="54"/>
      <c r="E904" s="59"/>
    </row>
    <row r="905" ht="13.5" customHeight="1">
      <c r="A905" s="54"/>
      <c r="E905" s="59"/>
    </row>
    <row r="906" ht="13.5" customHeight="1">
      <c r="A906" s="54"/>
      <c r="E906" s="59"/>
    </row>
    <row r="907" ht="13.5" customHeight="1">
      <c r="A907" s="54"/>
      <c r="E907" s="59"/>
    </row>
    <row r="908" ht="13.5" customHeight="1">
      <c r="A908" s="54"/>
      <c r="E908" s="59"/>
    </row>
    <row r="909" ht="13.5" customHeight="1">
      <c r="A909" s="54"/>
      <c r="E909" s="59"/>
    </row>
    <row r="910" ht="13.5" customHeight="1">
      <c r="A910" s="54"/>
      <c r="E910" s="59"/>
    </row>
    <row r="911" ht="13.5" customHeight="1">
      <c r="A911" s="54"/>
      <c r="E911" s="59"/>
    </row>
    <row r="912" ht="13.5" customHeight="1">
      <c r="A912" s="54"/>
      <c r="E912" s="59"/>
    </row>
    <row r="913" ht="13.5" customHeight="1">
      <c r="A913" s="54"/>
      <c r="E913" s="59"/>
    </row>
    <row r="914" ht="13.5" customHeight="1">
      <c r="A914" s="54"/>
      <c r="E914" s="59"/>
    </row>
    <row r="915" ht="13.5" customHeight="1">
      <c r="A915" s="54"/>
      <c r="E915" s="59"/>
    </row>
    <row r="916" ht="13.5" customHeight="1">
      <c r="A916" s="54"/>
      <c r="E916" s="59"/>
    </row>
    <row r="917" ht="13.5" customHeight="1">
      <c r="A917" s="54"/>
      <c r="E917" s="59"/>
    </row>
    <row r="918" ht="13.5" customHeight="1">
      <c r="A918" s="54"/>
      <c r="E918" s="59"/>
    </row>
    <row r="919" ht="13.5" customHeight="1">
      <c r="A919" s="54"/>
      <c r="E919" s="59"/>
    </row>
    <row r="920" ht="13.5" customHeight="1">
      <c r="A920" s="54"/>
      <c r="E920" s="59"/>
    </row>
    <row r="921" ht="13.5" customHeight="1">
      <c r="A921" s="54"/>
      <c r="E921" s="59"/>
    </row>
    <row r="922" ht="13.5" customHeight="1">
      <c r="A922" s="54"/>
      <c r="E922" s="59"/>
    </row>
    <row r="923" ht="13.5" customHeight="1">
      <c r="A923" s="54"/>
      <c r="E923" s="59"/>
    </row>
    <row r="924" ht="13.5" customHeight="1">
      <c r="A924" s="54"/>
      <c r="E924" s="59"/>
    </row>
    <row r="925" ht="13.5" customHeight="1">
      <c r="A925" s="54"/>
      <c r="E925" s="59"/>
    </row>
    <row r="926" ht="13.5" customHeight="1">
      <c r="A926" s="54"/>
      <c r="E926" s="59"/>
    </row>
    <row r="927" ht="13.5" customHeight="1">
      <c r="A927" s="54"/>
      <c r="E927" s="59"/>
    </row>
    <row r="928" ht="13.5" customHeight="1">
      <c r="A928" s="54"/>
      <c r="E928" s="59"/>
    </row>
    <row r="929" ht="13.5" customHeight="1">
      <c r="A929" s="54"/>
      <c r="E929" s="59"/>
    </row>
    <row r="930" ht="13.5" customHeight="1">
      <c r="A930" s="54"/>
      <c r="E930" s="59"/>
    </row>
    <row r="931" ht="13.5" customHeight="1">
      <c r="A931" s="54"/>
      <c r="E931" s="59"/>
    </row>
    <row r="932" ht="13.5" customHeight="1">
      <c r="A932" s="54"/>
      <c r="E932" s="59"/>
    </row>
    <row r="933" ht="13.5" customHeight="1">
      <c r="A933" s="54"/>
      <c r="E933" s="59"/>
    </row>
    <row r="934" ht="13.5" customHeight="1">
      <c r="A934" s="54"/>
      <c r="E934" s="59"/>
    </row>
    <row r="935" ht="13.5" customHeight="1">
      <c r="A935" s="54"/>
      <c r="E935" s="59"/>
    </row>
    <row r="936" ht="13.5" customHeight="1">
      <c r="A936" s="54"/>
      <c r="E936" s="59"/>
    </row>
    <row r="937" ht="13.5" customHeight="1">
      <c r="A937" s="54"/>
      <c r="E937" s="59"/>
    </row>
    <row r="938" ht="13.5" customHeight="1">
      <c r="A938" s="54"/>
      <c r="E938" s="59"/>
    </row>
    <row r="939" ht="13.5" customHeight="1">
      <c r="A939" s="54"/>
      <c r="E939" s="59"/>
    </row>
    <row r="940" ht="13.5" customHeight="1">
      <c r="A940" s="54"/>
      <c r="E940" s="59"/>
    </row>
    <row r="941" ht="13.5" customHeight="1">
      <c r="A941" s="54"/>
      <c r="E941" s="59"/>
    </row>
    <row r="942" ht="13.5" customHeight="1">
      <c r="A942" s="54"/>
      <c r="E942" s="59"/>
    </row>
    <row r="943" ht="13.5" customHeight="1">
      <c r="A943" s="54"/>
      <c r="E943" s="59"/>
    </row>
    <row r="944" ht="13.5" customHeight="1">
      <c r="A944" s="54"/>
      <c r="E944" s="59"/>
    </row>
    <row r="945" ht="13.5" customHeight="1">
      <c r="A945" s="54"/>
      <c r="E945" s="59"/>
    </row>
    <row r="946" ht="13.5" customHeight="1">
      <c r="A946" s="54"/>
      <c r="E946" s="59"/>
    </row>
    <row r="947" ht="13.5" customHeight="1">
      <c r="A947" s="54"/>
      <c r="E947" s="59"/>
    </row>
    <row r="948" ht="13.5" customHeight="1">
      <c r="A948" s="54"/>
      <c r="E948" s="59"/>
    </row>
    <row r="949" ht="13.5" customHeight="1">
      <c r="A949" s="54"/>
      <c r="E949" s="59"/>
    </row>
    <row r="950" ht="13.5" customHeight="1">
      <c r="A950" s="54"/>
      <c r="E950" s="59"/>
    </row>
    <row r="951" ht="13.5" customHeight="1">
      <c r="A951" s="54"/>
      <c r="E951" s="59"/>
    </row>
    <row r="952" ht="13.5" customHeight="1">
      <c r="A952" s="54"/>
      <c r="E952" s="59"/>
    </row>
    <row r="953" ht="13.5" customHeight="1">
      <c r="A953" s="54"/>
      <c r="E953" s="59"/>
    </row>
    <row r="954" ht="13.5" customHeight="1">
      <c r="A954" s="54"/>
      <c r="E954" s="59"/>
    </row>
    <row r="955" ht="13.5" customHeight="1">
      <c r="A955" s="54"/>
      <c r="E955" s="59"/>
    </row>
    <row r="956" ht="13.5" customHeight="1">
      <c r="A956" s="54"/>
      <c r="E956" s="59"/>
    </row>
    <row r="957" ht="13.5" customHeight="1">
      <c r="A957" s="54"/>
      <c r="E957" s="59"/>
    </row>
    <row r="958" ht="13.5" customHeight="1">
      <c r="A958" s="54"/>
      <c r="E958" s="59"/>
    </row>
    <row r="959" ht="13.5" customHeight="1">
      <c r="A959" s="54"/>
      <c r="E959" s="59"/>
    </row>
    <row r="960" ht="13.5" customHeight="1">
      <c r="A960" s="54"/>
      <c r="E960" s="59"/>
    </row>
    <row r="961" ht="13.5" customHeight="1">
      <c r="A961" s="54"/>
      <c r="E961" s="59"/>
    </row>
    <row r="962" ht="13.5" customHeight="1">
      <c r="A962" s="54"/>
      <c r="E962" s="59"/>
    </row>
    <row r="963" ht="13.5" customHeight="1">
      <c r="A963" s="54"/>
      <c r="E963" s="59"/>
    </row>
    <row r="964" ht="13.5" customHeight="1">
      <c r="A964" s="54"/>
      <c r="E964" s="59"/>
    </row>
    <row r="965" ht="13.5" customHeight="1">
      <c r="A965" s="54"/>
      <c r="E965" s="59"/>
    </row>
    <row r="966" ht="13.5" customHeight="1">
      <c r="A966" s="54"/>
      <c r="E966" s="59"/>
    </row>
    <row r="967" ht="13.5" customHeight="1">
      <c r="A967" s="54"/>
      <c r="E967" s="59"/>
    </row>
    <row r="968" ht="13.5" customHeight="1">
      <c r="A968" s="54"/>
      <c r="E968" s="59"/>
    </row>
    <row r="969" ht="13.5" customHeight="1">
      <c r="A969" s="54"/>
      <c r="E969" s="59"/>
    </row>
    <row r="970" ht="13.5" customHeight="1">
      <c r="A970" s="54"/>
      <c r="E970" s="59"/>
    </row>
    <row r="971" ht="13.5" customHeight="1">
      <c r="A971" s="54"/>
      <c r="E971" s="59"/>
    </row>
    <row r="972" ht="13.5" customHeight="1">
      <c r="A972" s="54"/>
      <c r="E972" s="59"/>
    </row>
    <row r="973" ht="13.5" customHeight="1">
      <c r="A973" s="54"/>
      <c r="E973" s="59"/>
    </row>
    <row r="974" ht="13.5" customHeight="1">
      <c r="A974" s="54"/>
      <c r="E974" s="59"/>
    </row>
    <row r="975" ht="13.5" customHeight="1">
      <c r="A975" s="54"/>
      <c r="E975" s="59"/>
    </row>
    <row r="976" ht="13.5" customHeight="1">
      <c r="A976" s="54"/>
      <c r="E976" s="59"/>
    </row>
    <row r="977" ht="13.5" customHeight="1">
      <c r="A977" s="54"/>
      <c r="E977" s="59"/>
    </row>
    <row r="978" ht="13.5" customHeight="1">
      <c r="A978" s="54"/>
      <c r="E978" s="59"/>
    </row>
    <row r="979" ht="13.5" customHeight="1">
      <c r="A979" s="54"/>
      <c r="E979" s="59"/>
    </row>
    <row r="980" ht="13.5" customHeight="1">
      <c r="A980" s="54"/>
      <c r="E980" s="59"/>
    </row>
    <row r="981" ht="13.5" customHeight="1">
      <c r="A981" s="54"/>
      <c r="E981" s="59"/>
    </row>
    <row r="982" ht="13.5" customHeight="1">
      <c r="A982" s="54"/>
      <c r="E982" s="59"/>
    </row>
    <row r="983" ht="13.5" customHeight="1">
      <c r="A983" s="54"/>
      <c r="E983" s="59"/>
    </row>
    <row r="984" ht="13.5" customHeight="1">
      <c r="A984" s="54"/>
      <c r="E984" s="59"/>
    </row>
    <row r="985" ht="13.5" customHeight="1">
      <c r="A985" s="54"/>
      <c r="E985" s="59"/>
    </row>
    <row r="986" ht="13.5" customHeight="1">
      <c r="A986" s="54"/>
      <c r="E986" s="59"/>
    </row>
    <row r="987" ht="13.5" customHeight="1">
      <c r="A987" s="54"/>
      <c r="E987" s="59"/>
    </row>
    <row r="988" ht="13.5" customHeight="1">
      <c r="A988" s="54"/>
      <c r="E988" s="59"/>
    </row>
    <row r="989" ht="13.5" customHeight="1">
      <c r="A989" s="54"/>
      <c r="E989" s="59"/>
    </row>
    <row r="990" ht="13.5" customHeight="1">
      <c r="A990" s="54"/>
      <c r="E990" s="59"/>
    </row>
    <row r="991" ht="13.5" customHeight="1">
      <c r="A991" s="54"/>
      <c r="E991" s="59"/>
    </row>
    <row r="992" ht="13.5" customHeight="1">
      <c r="A992" s="54"/>
      <c r="E992" s="59"/>
    </row>
    <row r="993" ht="13.5" customHeight="1">
      <c r="A993" s="54"/>
      <c r="E993" s="59"/>
    </row>
    <row r="994" ht="13.5" customHeight="1">
      <c r="A994" s="54"/>
      <c r="E994" s="59"/>
    </row>
    <row r="995" ht="13.5" customHeight="1">
      <c r="A995" s="54"/>
      <c r="E995" s="59"/>
    </row>
    <row r="996" ht="13.5" customHeight="1">
      <c r="A996" s="54"/>
      <c r="E996" s="59"/>
    </row>
    <row r="997" ht="13.5" customHeight="1">
      <c r="A997" s="54"/>
      <c r="E997" s="59"/>
    </row>
    <row r="998" ht="13.5" customHeight="1">
      <c r="A998" s="54"/>
      <c r="E998" s="59"/>
    </row>
    <row r="999" ht="13.5" customHeight="1">
      <c r="A999" s="54"/>
      <c r="E999" s="59"/>
    </row>
    <row r="1000" ht="13.5" customHeight="1">
      <c r="A1000" s="54"/>
      <c r="E1000" s="59"/>
    </row>
  </sheetData>
  <conditionalFormatting sqref="E1">
    <cfRule type="expression" dxfId="1" priority="1">
      <formula>ABS(SUM($E$2:$E$999)-1)&gt;0.0000001</formula>
    </cfRule>
  </conditionalFormatting>
  <conditionalFormatting sqref="H10">
    <cfRule type="notContainsBlanks" dxfId="2" priority="2">
      <formula>LEN(TRIM(H10))&gt;0</formula>
    </cfRule>
  </conditionalFormatting>
  <dataValidations>
    <dataValidation type="custom" allowBlank="1" showDropDown="1" showInputMessage="1" prompt="Suma wag musi wynosić 1" sqref="E1">
      <formula1>ROUND(SUM(E2:E1000), 2)=1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2" t="s">
        <v>33</v>
      </c>
      <c r="B1" s="92" t="s">
        <v>193</v>
      </c>
      <c r="C1" s="92" t="s">
        <v>210</v>
      </c>
      <c r="D1" s="92" t="s">
        <v>211</v>
      </c>
      <c r="E1" s="92" t="s">
        <v>212</v>
      </c>
      <c r="F1" s="92" t="s">
        <v>213</v>
      </c>
    </row>
    <row r="2">
      <c r="A2" s="93">
        <v>1.0</v>
      </c>
      <c r="B2" s="93">
        <v>1.0</v>
      </c>
      <c r="C2" s="94">
        <v>10.0</v>
      </c>
      <c r="D2" s="95">
        <v>10.0</v>
      </c>
      <c r="E2" s="94">
        <v>1.0</v>
      </c>
      <c r="F2" s="95">
        <v>1.0</v>
      </c>
    </row>
    <row r="3">
      <c r="A3" s="93">
        <v>1.0</v>
      </c>
      <c r="B3" s="93">
        <v>2.0</v>
      </c>
      <c r="C3" s="95">
        <v>5.0</v>
      </c>
      <c r="D3" s="95">
        <v>5.0</v>
      </c>
      <c r="E3" s="94">
        <v>1.0</v>
      </c>
      <c r="F3" s="94">
        <v>1.0</v>
      </c>
    </row>
    <row r="4">
      <c r="A4" s="93">
        <v>1.0</v>
      </c>
      <c r="B4" s="93">
        <v>3.0</v>
      </c>
      <c r="C4" s="94">
        <v>10.0</v>
      </c>
      <c r="D4" s="94">
        <v>10.0</v>
      </c>
      <c r="E4" s="96">
        <v>1.0</v>
      </c>
      <c r="F4" s="94">
        <v>1.0</v>
      </c>
    </row>
    <row r="5">
      <c r="A5" s="93">
        <v>1.0</v>
      </c>
      <c r="B5" s="93">
        <v>4.0</v>
      </c>
      <c r="C5" s="94">
        <v>5.0</v>
      </c>
      <c r="D5" s="94">
        <v>5.0</v>
      </c>
      <c r="E5" s="95">
        <v>1.0</v>
      </c>
      <c r="F5" s="95">
        <v>1.0</v>
      </c>
    </row>
    <row r="6">
      <c r="A6" s="97">
        <v>2.0</v>
      </c>
      <c r="B6" s="97">
        <v>1.0</v>
      </c>
      <c r="C6" s="95">
        <v>5.0</v>
      </c>
      <c r="D6" s="95">
        <v>8.0</v>
      </c>
      <c r="E6" s="95">
        <v>1.0</v>
      </c>
      <c r="F6" s="95">
        <v>1.0</v>
      </c>
    </row>
    <row r="7">
      <c r="A7" s="97">
        <v>2.0</v>
      </c>
      <c r="B7" s="97">
        <v>2.0</v>
      </c>
      <c r="C7" s="95">
        <v>15.0</v>
      </c>
      <c r="D7" s="95">
        <v>15.0</v>
      </c>
      <c r="E7" s="95">
        <v>1.0</v>
      </c>
      <c r="F7" s="95">
        <v>1.0</v>
      </c>
    </row>
    <row r="8">
      <c r="A8" s="97">
        <v>2.0</v>
      </c>
      <c r="B8" s="97">
        <v>3.0</v>
      </c>
      <c r="C8" s="95">
        <v>8.0</v>
      </c>
      <c r="D8" s="95">
        <v>12.0</v>
      </c>
      <c r="E8" s="95">
        <v>1.0</v>
      </c>
      <c r="F8" s="95">
        <v>1.0</v>
      </c>
    </row>
    <row r="9">
      <c r="A9" s="97">
        <v>2.0</v>
      </c>
      <c r="B9" s="97">
        <v>4.0</v>
      </c>
      <c r="C9" s="95">
        <v>15.0</v>
      </c>
      <c r="D9" s="95">
        <v>15.0</v>
      </c>
      <c r="E9" s="95">
        <v>1.0</v>
      </c>
      <c r="F9" s="95">
        <v>1.0</v>
      </c>
    </row>
    <row r="10">
      <c r="A10" s="97">
        <v>3.0</v>
      </c>
      <c r="B10" s="97">
        <v>1.0</v>
      </c>
      <c r="C10" s="95">
        <v>8.0</v>
      </c>
      <c r="D10" s="95">
        <v>10.0</v>
      </c>
      <c r="E10" s="95">
        <v>1.0</v>
      </c>
      <c r="F10" s="95">
        <v>1.0</v>
      </c>
    </row>
    <row r="11">
      <c r="A11" s="97">
        <v>3.0</v>
      </c>
      <c r="B11" s="97">
        <v>2.0</v>
      </c>
      <c r="C11" s="95">
        <v>10.0</v>
      </c>
      <c r="D11" s="95">
        <v>12.0</v>
      </c>
      <c r="E11" s="95">
        <v>1.0</v>
      </c>
      <c r="F11" s="95">
        <v>1.0</v>
      </c>
    </row>
    <row r="12">
      <c r="A12" s="97">
        <v>3.0</v>
      </c>
      <c r="B12" s="97">
        <v>3.0</v>
      </c>
      <c r="C12" s="95">
        <v>8.0</v>
      </c>
      <c r="D12" s="95">
        <v>10.0</v>
      </c>
      <c r="E12" s="95">
        <v>1.0</v>
      </c>
      <c r="F12" s="95">
        <v>1.0</v>
      </c>
    </row>
    <row r="13">
      <c r="A13" s="97">
        <v>3.0</v>
      </c>
      <c r="B13" s="97">
        <v>4.0</v>
      </c>
      <c r="C13" s="95">
        <v>12.0</v>
      </c>
      <c r="D13" s="95">
        <v>15.0</v>
      </c>
      <c r="E13" s="95">
        <v>1.0</v>
      </c>
      <c r="F13" s="95">
        <v>1.0</v>
      </c>
    </row>
    <row r="14">
      <c r="A14" s="97">
        <v>4.0</v>
      </c>
      <c r="B14" s="97">
        <v>1.0</v>
      </c>
      <c r="C14" s="95">
        <v>5.0</v>
      </c>
      <c r="D14" s="95">
        <v>5.0</v>
      </c>
      <c r="E14" s="95">
        <v>1.0</v>
      </c>
      <c r="F14" s="95">
        <v>1.0</v>
      </c>
    </row>
    <row r="15">
      <c r="A15" s="97">
        <v>4.0</v>
      </c>
      <c r="B15" s="97">
        <v>2.0</v>
      </c>
      <c r="C15" s="95">
        <v>10.0</v>
      </c>
      <c r="D15" s="95">
        <v>10.0</v>
      </c>
      <c r="E15" s="95">
        <v>1.0</v>
      </c>
      <c r="F15" s="95">
        <v>1.0</v>
      </c>
    </row>
    <row r="16">
      <c r="A16" s="97">
        <v>4.0</v>
      </c>
      <c r="B16" s="97">
        <v>3.0</v>
      </c>
      <c r="C16" s="95">
        <v>15.0</v>
      </c>
      <c r="D16" s="95">
        <v>15.0</v>
      </c>
      <c r="E16" s="95">
        <v>1.0</v>
      </c>
      <c r="F16" s="95">
        <v>1.0</v>
      </c>
    </row>
    <row r="17">
      <c r="A17" s="97">
        <v>4.0</v>
      </c>
      <c r="B17" s="97">
        <v>4.0</v>
      </c>
      <c r="C17" s="95">
        <v>5.0</v>
      </c>
      <c r="D17" s="95">
        <v>5.0</v>
      </c>
      <c r="E17" s="95">
        <v>1.0</v>
      </c>
      <c r="F17" s="95">
        <v>1.0</v>
      </c>
    </row>
    <row r="18">
      <c r="A18" s="97">
        <v>5.0</v>
      </c>
      <c r="B18" s="97">
        <v>1.0</v>
      </c>
      <c r="C18" s="95">
        <v>10.0</v>
      </c>
      <c r="D18" s="95">
        <v>8.0</v>
      </c>
      <c r="E18" s="95">
        <v>1.0</v>
      </c>
      <c r="F18" s="95">
        <v>1.0</v>
      </c>
    </row>
    <row r="19">
      <c r="A19" s="97">
        <v>5.0</v>
      </c>
      <c r="B19" s="97">
        <v>2.0</v>
      </c>
      <c r="C19" s="95">
        <v>5.0</v>
      </c>
      <c r="D19" s="95">
        <v>5.0</v>
      </c>
      <c r="E19" s="95">
        <v>1.0</v>
      </c>
      <c r="F19" s="95">
        <v>1.0</v>
      </c>
    </row>
    <row r="20">
      <c r="A20" s="97">
        <v>5.0</v>
      </c>
      <c r="B20" s="97">
        <v>3.0</v>
      </c>
      <c r="C20" s="95">
        <v>5.0</v>
      </c>
      <c r="D20" s="95">
        <v>5.0</v>
      </c>
      <c r="E20" s="95">
        <v>1.0</v>
      </c>
      <c r="F20" s="95">
        <v>1.0</v>
      </c>
    </row>
    <row r="21">
      <c r="A21" s="97">
        <v>5.0</v>
      </c>
      <c r="B21" s="97">
        <v>4.0</v>
      </c>
      <c r="C21" s="95">
        <v>10.0</v>
      </c>
      <c r="D21" s="95">
        <v>12.0</v>
      </c>
      <c r="E21" s="95">
        <v>1.0</v>
      </c>
      <c r="F21" s="95">
        <v>1.0</v>
      </c>
    </row>
    <row r="22">
      <c r="A22" s="97">
        <v>6.0</v>
      </c>
      <c r="B22" s="97">
        <v>1.0</v>
      </c>
      <c r="C22" s="95">
        <v>5.0</v>
      </c>
      <c r="D22" s="95">
        <v>5.0</v>
      </c>
      <c r="E22" s="95">
        <v>1.0</v>
      </c>
      <c r="F22" s="95">
        <v>1.0</v>
      </c>
    </row>
    <row r="23">
      <c r="A23" s="97">
        <v>6.0</v>
      </c>
      <c r="B23" s="97">
        <v>2.0</v>
      </c>
      <c r="C23" s="95">
        <v>10.0</v>
      </c>
      <c r="D23" s="95">
        <v>12.0</v>
      </c>
      <c r="E23" s="95">
        <v>1.0</v>
      </c>
      <c r="F23" s="95">
        <v>1.0</v>
      </c>
    </row>
    <row r="24">
      <c r="A24" s="97">
        <v>6.0</v>
      </c>
      <c r="B24" s="97">
        <v>3.0</v>
      </c>
      <c r="C24" s="95">
        <v>5.0</v>
      </c>
      <c r="D24" s="95">
        <v>8.0</v>
      </c>
      <c r="E24" s="95">
        <v>1.0</v>
      </c>
      <c r="F24" s="95">
        <v>1.0</v>
      </c>
    </row>
    <row r="25">
      <c r="A25" s="97">
        <v>6.0</v>
      </c>
      <c r="B25" s="97">
        <v>4.0</v>
      </c>
      <c r="C25" s="95">
        <v>12.0</v>
      </c>
      <c r="D25" s="95">
        <v>15.0</v>
      </c>
      <c r="E25" s="95">
        <v>1.0</v>
      </c>
      <c r="F25" s="95">
        <v>1.0</v>
      </c>
    </row>
    <row r="26">
      <c r="A26" s="97">
        <v>7.0</v>
      </c>
      <c r="B26" s="97">
        <v>1.0</v>
      </c>
      <c r="C26" s="95">
        <v>15.0</v>
      </c>
      <c r="D26" s="95">
        <v>18.0</v>
      </c>
      <c r="E26" s="95">
        <v>1.0</v>
      </c>
      <c r="F26" s="95">
        <v>1.0</v>
      </c>
    </row>
    <row r="27">
      <c r="A27" s="97">
        <v>7.0</v>
      </c>
      <c r="B27" s="97">
        <v>2.0</v>
      </c>
      <c r="C27" s="95">
        <v>3.0</v>
      </c>
      <c r="D27" s="95">
        <v>3.0</v>
      </c>
      <c r="E27" s="95">
        <v>1.0</v>
      </c>
      <c r="F27" s="95">
        <v>1.0</v>
      </c>
    </row>
    <row r="28">
      <c r="A28" s="97">
        <v>7.0</v>
      </c>
      <c r="B28" s="97">
        <v>3.0</v>
      </c>
      <c r="C28" s="95">
        <v>5.0</v>
      </c>
      <c r="D28" s="95">
        <v>5.0</v>
      </c>
      <c r="E28" s="95">
        <v>1.0</v>
      </c>
      <c r="F28" s="95">
        <v>1.0</v>
      </c>
    </row>
    <row r="29">
      <c r="A29" s="97">
        <v>7.0</v>
      </c>
      <c r="B29" s="97">
        <v>4.0</v>
      </c>
      <c r="C29" s="95">
        <v>5.0</v>
      </c>
      <c r="D29" s="95">
        <v>5.0</v>
      </c>
      <c r="E29" s="95">
        <v>1.0</v>
      </c>
      <c r="F29" s="95">
        <v>1.0</v>
      </c>
    </row>
    <row r="30">
      <c r="A30" s="97">
        <v>8.0</v>
      </c>
      <c r="B30" s="97">
        <v>1.0</v>
      </c>
      <c r="C30" s="95">
        <v>10.0</v>
      </c>
      <c r="D30" s="95">
        <v>12.0</v>
      </c>
      <c r="E30" s="95">
        <v>1.0</v>
      </c>
      <c r="F30" s="95">
        <v>1.0</v>
      </c>
    </row>
    <row r="31">
      <c r="A31" s="97">
        <v>8.0</v>
      </c>
      <c r="B31" s="97">
        <v>2.0</v>
      </c>
      <c r="C31" s="95">
        <v>3.0</v>
      </c>
      <c r="D31" s="95">
        <v>3.0</v>
      </c>
      <c r="E31" s="95">
        <v>1.0</v>
      </c>
      <c r="F31" s="95">
        <v>1.0</v>
      </c>
    </row>
    <row r="32">
      <c r="A32" s="97">
        <v>8.0</v>
      </c>
      <c r="B32" s="97">
        <v>3.0</v>
      </c>
      <c r="C32" s="95">
        <v>5.0</v>
      </c>
      <c r="D32" s="95">
        <v>8.0</v>
      </c>
      <c r="E32" s="95">
        <v>1.0</v>
      </c>
      <c r="F32" s="95">
        <v>1.0</v>
      </c>
    </row>
    <row r="33">
      <c r="A33" s="97">
        <v>8.0</v>
      </c>
      <c r="B33" s="97">
        <v>4.0</v>
      </c>
      <c r="C33" s="95">
        <v>8.0</v>
      </c>
      <c r="D33" s="95">
        <v>10.0</v>
      </c>
      <c r="E33" s="95">
        <v>1.0</v>
      </c>
      <c r="F33" s="95">
        <v>1.0</v>
      </c>
    </row>
    <row r="34">
      <c r="A34" s="97">
        <v>9.0</v>
      </c>
      <c r="B34" s="97">
        <v>1.0</v>
      </c>
      <c r="C34" s="95">
        <v>12.0</v>
      </c>
      <c r="D34" s="95">
        <v>15.0</v>
      </c>
      <c r="E34" s="95">
        <v>1.0</v>
      </c>
      <c r="F34" s="95">
        <v>1.0</v>
      </c>
    </row>
    <row r="35">
      <c r="A35" s="97">
        <v>9.0</v>
      </c>
      <c r="B35" s="97">
        <v>2.0</v>
      </c>
      <c r="C35" s="95">
        <v>3.0</v>
      </c>
      <c r="D35" s="95">
        <v>3.0</v>
      </c>
      <c r="E35" s="95">
        <v>1.0</v>
      </c>
      <c r="F35" s="95">
        <v>1.0</v>
      </c>
    </row>
    <row r="36">
      <c r="A36" s="97">
        <v>9.0</v>
      </c>
      <c r="B36" s="97">
        <v>3.0</v>
      </c>
      <c r="C36" s="95">
        <v>5.0</v>
      </c>
      <c r="D36" s="95">
        <v>5.0</v>
      </c>
      <c r="E36" s="95">
        <v>1.0</v>
      </c>
      <c r="F36" s="95">
        <v>1.0</v>
      </c>
    </row>
    <row r="37">
      <c r="A37" s="97">
        <v>9.0</v>
      </c>
      <c r="B37" s="97">
        <v>4.0</v>
      </c>
      <c r="C37" s="95">
        <v>5.0</v>
      </c>
      <c r="D37" s="95">
        <v>8.0</v>
      </c>
      <c r="E37" s="95">
        <v>1.0</v>
      </c>
      <c r="F37" s="95">
        <v>1.0</v>
      </c>
    </row>
    <row r="38">
      <c r="A38" s="97">
        <v>10.0</v>
      </c>
      <c r="B38" s="97">
        <v>1.0</v>
      </c>
      <c r="C38" s="95">
        <v>5.0</v>
      </c>
      <c r="D38" s="95">
        <v>8.0</v>
      </c>
      <c r="E38" s="95">
        <v>1.0</v>
      </c>
      <c r="F38" s="95">
        <v>1.0</v>
      </c>
    </row>
    <row r="39">
      <c r="A39" s="97">
        <v>10.0</v>
      </c>
      <c r="B39" s="97">
        <v>2.0</v>
      </c>
      <c r="C39" s="95">
        <v>15.0</v>
      </c>
      <c r="D39" s="95">
        <v>15.0</v>
      </c>
      <c r="E39" s="95">
        <v>1.0</v>
      </c>
      <c r="F39" s="95">
        <v>1.0</v>
      </c>
    </row>
    <row r="40">
      <c r="A40" s="97">
        <v>10.0</v>
      </c>
      <c r="B40" s="97">
        <v>3.0</v>
      </c>
      <c r="C40" s="95">
        <v>10.0</v>
      </c>
      <c r="D40" s="95">
        <v>12.0</v>
      </c>
      <c r="E40" s="95">
        <v>1.0</v>
      </c>
      <c r="F40" s="95">
        <v>1.0</v>
      </c>
    </row>
    <row r="41">
      <c r="A41" s="97">
        <v>10.0</v>
      </c>
      <c r="B41" s="97">
        <v>4.0</v>
      </c>
      <c r="C41" s="95">
        <v>3.0</v>
      </c>
      <c r="D41" s="95">
        <v>3.0</v>
      </c>
      <c r="E41" s="95">
        <v>1.0</v>
      </c>
      <c r="F41" s="95">
        <v>1.0</v>
      </c>
    </row>
    <row r="42">
      <c r="A42" s="97">
        <v>11.0</v>
      </c>
      <c r="B42" s="97">
        <v>1.0</v>
      </c>
      <c r="C42" s="95">
        <v>3.0</v>
      </c>
      <c r="D42" s="95">
        <v>3.0</v>
      </c>
      <c r="E42" s="95">
        <v>1.0</v>
      </c>
      <c r="F42" s="95">
        <v>1.0</v>
      </c>
    </row>
    <row r="43">
      <c r="A43" s="97">
        <v>11.0</v>
      </c>
      <c r="B43" s="97">
        <v>2.0</v>
      </c>
      <c r="C43" s="95">
        <v>3.0</v>
      </c>
      <c r="D43" s="95">
        <v>3.0</v>
      </c>
      <c r="E43" s="95">
        <v>1.0</v>
      </c>
      <c r="F43" s="95">
        <v>1.0</v>
      </c>
    </row>
    <row r="44">
      <c r="A44" s="97">
        <v>11.0</v>
      </c>
      <c r="B44" s="97">
        <v>3.0</v>
      </c>
      <c r="C44" s="95">
        <v>3.0</v>
      </c>
      <c r="D44" s="95">
        <v>3.0</v>
      </c>
      <c r="E44" s="95">
        <v>1.0</v>
      </c>
      <c r="F44" s="95">
        <v>1.0</v>
      </c>
    </row>
    <row r="45">
      <c r="A45" s="97">
        <v>11.0</v>
      </c>
      <c r="B45" s="97">
        <v>4.0</v>
      </c>
      <c r="C45" s="95">
        <v>15.0</v>
      </c>
      <c r="D45" s="95">
        <v>18.0</v>
      </c>
      <c r="E45" s="95">
        <v>1.0</v>
      </c>
      <c r="F45" s="95">
        <v>1.0</v>
      </c>
    </row>
    <row r="46">
      <c r="A46" s="97">
        <v>12.0</v>
      </c>
      <c r="B46" s="97">
        <v>1.0</v>
      </c>
      <c r="C46" s="95">
        <v>3.0</v>
      </c>
      <c r="D46" s="95">
        <v>3.0</v>
      </c>
      <c r="E46" s="95">
        <v>1.0</v>
      </c>
      <c r="F46" s="95">
        <v>1.0</v>
      </c>
    </row>
    <row r="47">
      <c r="A47" s="97">
        <v>12.0</v>
      </c>
      <c r="B47" s="97">
        <v>2.0</v>
      </c>
      <c r="C47" s="95">
        <v>5.0</v>
      </c>
      <c r="D47" s="95">
        <v>8.0</v>
      </c>
      <c r="E47" s="95">
        <v>1.0</v>
      </c>
      <c r="F47" s="95">
        <v>1.0</v>
      </c>
    </row>
    <row r="48">
      <c r="A48" s="97">
        <v>12.0</v>
      </c>
      <c r="B48" s="97">
        <v>3.0</v>
      </c>
      <c r="C48" s="95">
        <v>12.0</v>
      </c>
      <c r="D48" s="95">
        <v>15.0</v>
      </c>
      <c r="E48" s="95">
        <v>1.0</v>
      </c>
      <c r="F48" s="95">
        <v>1.0</v>
      </c>
    </row>
    <row r="49">
      <c r="A49" s="97">
        <v>12.0</v>
      </c>
      <c r="B49" s="97">
        <v>4.0</v>
      </c>
      <c r="C49" s="95">
        <v>10.0</v>
      </c>
      <c r="D49" s="95">
        <v>12.0</v>
      </c>
      <c r="E49" s="95">
        <v>1.0</v>
      </c>
      <c r="F49" s="95">
        <v>1.0</v>
      </c>
    </row>
    <row r="50">
      <c r="A50" s="97">
        <v>13.0</v>
      </c>
      <c r="B50" s="97">
        <v>1.0</v>
      </c>
      <c r="C50" s="95">
        <v>5.0</v>
      </c>
      <c r="D50" s="95">
        <v>5.0</v>
      </c>
      <c r="E50" s="95">
        <v>1.0</v>
      </c>
      <c r="F50" s="95">
        <v>1.0</v>
      </c>
    </row>
    <row r="51">
      <c r="A51" s="97">
        <v>13.0</v>
      </c>
      <c r="B51" s="97">
        <v>2.0</v>
      </c>
      <c r="C51" s="95">
        <v>3.0</v>
      </c>
      <c r="D51" s="95">
        <v>3.0</v>
      </c>
      <c r="E51" s="95">
        <v>1.0</v>
      </c>
      <c r="F51" s="95">
        <v>1.0</v>
      </c>
    </row>
    <row r="52">
      <c r="A52" s="97">
        <v>13.0</v>
      </c>
      <c r="B52" s="97">
        <v>3.0</v>
      </c>
      <c r="C52" s="95">
        <v>5.0</v>
      </c>
      <c r="D52" s="95">
        <v>5.0</v>
      </c>
      <c r="E52" s="95">
        <v>1.0</v>
      </c>
      <c r="F52" s="95">
        <v>1.0</v>
      </c>
    </row>
    <row r="53">
      <c r="A53" s="97">
        <v>13.0</v>
      </c>
      <c r="B53" s="97">
        <v>4.0</v>
      </c>
      <c r="C53" s="95">
        <v>5.0</v>
      </c>
      <c r="D53" s="95">
        <v>8.0</v>
      </c>
      <c r="E53" s="95">
        <v>1.0</v>
      </c>
      <c r="F53" s="95">
        <v>1.0</v>
      </c>
    </row>
    <row r="54">
      <c r="A54" s="97">
        <v>14.0</v>
      </c>
      <c r="B54" s="97">
        <v>1.0</v>
      </c>
      <c r="C54" s="95">
        <v>3.0</v>
      </c>
      <c r="D54" s="95">
        <v>3.0</v>
      </c>
      <c r="E54" s="95">
        <v>1.0</v>
      </c>
      <c r="F54" s="95">
        <v>1.0</v>
      </c>
    </row>
    <row r="55">
      <c r="A55" s="97">
        <v>14.0</v>
      </c>
      <c r="B55" s="97">
        <v>2.0</v>
      </c>
      <c r="C55" s="95">
        <v>18.0</v>
      </c>
      <c r="D55" s="95">
        <v>20.0</v>
      </c>
      <c r="E55" s="95">
        <v>1.0</v>
      </c>
      <c r="F55" s="95">
        <v>1.0</v>
      </c>
    </row>
    <row r="56">
      <c r="A56" s="97">
        <v>14.0</v>
      </c>
      <c r="B56" s="97">
        <v>3.0</v>
      </c>
      <c r="C56" s="95">
        <v>8.0</v>
      </c>
      <c r="D56" s="95">
        <v>10.0</v>
      </c>
      <c r="E56" s="95">
        <v>1.0</v>
      </c>
      <c r="F56" s="95">
        <v>1.0</v>
      </c>
    </row>
    <row r="57">
      <c r="A57" s="97">
        <v>14.0</v>
      </c>
      <c r="B57" s="97">
        <v>4.0</v>
      </c>
      <c r="C57" s="95">
        <v>10.0</v>
      </c>
      <c r="D57" s="95">
        <v>12.0</v>
      </c>
      <c r="E57" s="95">
        <v>1.0</v>
      </c>
      <c r="F57" s="95">
        <v>1.0</v>
      </c>
    </row>
    <row r="58">
      <c r="A58" s="97">
        <v>15.0</v>
      </c>
      <c r="B58" s="97">
        <v>1.0</v>
      </c>
      <c r="C58" s="95">
        <v>3.0</v>
      </c>
      <c r="D58" s="95">
        <v>3.0</v>
      </c>
      <c r="E58" s="95">
        <v>1.0</v>
      </c>
      <c r="F58" s="95">
        <v>1.0</v>
      </c>
    </row>
    <row r="59">
      <c r="A59" s="97">
        <v>15.0</v>
      </c>
      <c r="B59" s="97">
        <v>2.0</v>
      </c>
      <c r="C59" s="95">
        <v>5.0</v>
      </c>
      <c r="D59" s="95">
        <v>5.0</v>
      </c>
      <c r="E59" s="95">
        <v>1.0</v>
      </c>
      <c r="F59" s="95">
        <v>1.0</v>
      </c>
    </row>
    <row r="60">
      <c r="A60" s="97">
        <v>15.0</v>
      </c>
      <c r="B60" s="97">
        <v>3.0</v>
      </c>
      <c r="C60" s="95">
        <v>5.0</v>
      </c>
      <c r="D60" s="95">
        <v>5.0</v>
      </c>
      <c r="E60" s="95">
        <v>1.0</v>
      </c>
      <c r="F60" s="95">
        <v>1.0</v>
      </c>
    </row>
    <row r="61">
      <c r="A61" s="97">
        <v>15.0</v>
      </c>
      <c r="B61" s="97">
        <v>4.0</v>
      </c>
      <c r="C61" s="95">
        <v>18.0</v>
      </c>
      <c r="D61" s="95">
        <v>20.0</v>
      </c>
      <c r="E61" s="95">
        <v>1.0</v>
      </c>
      <c r="F61" s="95">
        <v>1.0</v>
      </c>
    </row>
    <row r="62">
      <c r="A62" s="97">
        <v>16.0</v>
      </c>
      <c r="B62" s="97">
        <v>1.0</v>
      </c>
      <c r="C62" s="95">
        <v>10.0</v>
      </c>
      <c r="D62" s="95">
        <v>12.0</v>
      </c>
      <c r="E62" s="95">
        <v>1.0</v>
      </c>
      <c r="F62" s="95">
        <v>1.0</v>
      </c>
    </row>
    <row r="63">
      <c r="A63" s="97">
        <v>16.0</v>
      </c>
      <c r="B63" s="97">
        <v>2.0</v>
      </c>
      <c r="C63" s="95">
        <v>5.0</v>
      </c>
      <c r="D63" s="95">
        <v>5.0</v>
      </c>
      <c r="E63" s="95">
        <v>1.0</v>
      </c>
      <c r="F63" s="95">
        <v>1.0</v>
      </c>
    </row>
    <row r="64">
      <c r="A64" s="97">
        <v>16.0</v>
      </c>
      <c r="B64" s="97">
        <v>3.0</v>
      </c>
      <c r="C64" s="95">
        <v>5.0</v>
      </c>
      <c r="D64" s="95">
        <v>8.0</v>
      </c>
      <c r="E64" s="95">
        <v>1.0</v>
      </c>
      <c r="F64" s="95">
        <v>1.0</v>
      </c>
    </row>
    <row r="65">
      <c r="A65" s="97">
        <v>16.0</v>
      </c>
      <c r="B65" s="97">
        <v>4.0</v>
      </c>
      <c r="C65" s="95">
        <v>8.0</v>
      </c>
      <c r="D65" s="95">
        <v>10.0</v>
      </c>
      <c r="E65" s="95">
        <v>1.0</v>
      </c>
      <c r="F65" s="95">
        <v>1.0</v>
      </c>
    </row>
    <row r="66">
      <c r="A66" s="97">
        <v>17.0</v>
      </c>
      <c r="B66" s="97">
        <v>1.0</v>
      </c>
      <c r="C66" s="95">
        <v>5.0</v>
      </c>
      <c r="D66" s="95">
        <v>5.0</v>
      </c>
      <c r="E66" s="95">
        <v>1.0</v>
      </c>
      <c r="F66" s="95">
        <v>1.0</v>
      </c>
    </row>
    <row r="67">
      <c r="A67" s="97">
        <v>17.0</v>
      </c>
      <c r="B67" s="97">
        <v>2.0</v>
      </c>
      <c r="C67" s="95">
        <v>3.0</v>
      </c>
      <c r="D67" s="95">
        <v>3.0</v>
      </c>
      <c r="E67" s="95">
        <v>1.0</v>
      </c>
      <c r="F67" s="95">
        <v>1.0</v>
      </c>
    </row>
    <row r="68">
      <c r="A68" s="97">
        <v>17.0</v>
      </c>
      <c r="B68" s="97">
        <v>3.0</v>
      </c>
      <c r="C68" s="95">
        <v>3.0</v>
      </c>
      <c r="D68" s="95">
        <v>3.0</v>
      </c>
      <c r="E68" s="95">
        <v>1.0</v>
      </c>
      <c r="F68" s="95">
        <v>1.0</v>
      </c>
    </row>
    <row r="69">
      <c r="A69" s="97">
        <v>17.0</v>
      </c>
      <c r="B69" s="97">
        <v>4.0</v>
      </c>
      <c r="C69" s="95">
        <v>10.0</v>
      </c>
      <c r="D69" s="95">
        <v>12.0</v>
      </c>
      <c r="E69" s="95">
        <v>1.0</v>
      </c>
      <c r="F69" s="95">
        <v>1.0</v>
      </c>
    </row>
    <row r="70">
      <c r="A70" s="97">
        <v>18.0</v>
      </c>
      <c r="B70" s="97">
        <v>1.0</v>
      </c>
      <c r="C70" s="95">
        <v>5.0</v>
      </c>
      <c r="D70" s="95">
        <v>5.0</v>
      </c>
      <c r="E70" s="95">
        <v>1.0</v>
      </c>
      <c r="F70" s="95">
        <v>1.0</v>
      </c>
    </row>
    <row r="71">
      <c r="A71" s="97">
        <v>18.0</v>
      </c>
      <c r="B71" s="97">
        <v>2.0</v>
      </c>
      <c r="C71" s="95">
        <v>5.0</v>
      </c>
      <c r="D71" s="95">
        <v>5.0</v>
      </c>
      <c r="E71" s="95">
        <v>1.0</v>
      </c>
      <c r="F71" s="95">
        <v>1.0</v>
      </c>
    </row>
    <row r="72">
      <c r="A72" s="97">
        <v>18.0</v>
      </c>
      <c r="B72" s="97">
        <v>3.0</v>
      </c>
      <c r="C72" s="95">
        <v>8.0</v>
      </c>
      <c r="D72" s="95">
        <v>8.0</v>
      </c>
      <c r="E72" s="95">
        <v>1.0</v>
      </c>
      <c r="F72" s="95">
        <v>1.0</v>
      </c>
    </row>
    <row r="73">
      <c r="A73" s="97">
        <v>18.0</v>
      </c>
      <c r="B73" s="97">
        <v>4.0</v>
      </c>
      <c r="C73" s="95">
        <v>5.0</v>
      </c>
      <c r="D73" s="95">
        <v>8.0</v>
      </c>
      <c r="E73" s="95">
        <v>1.0</v>
      </c>
      <c r="F73" s="95">
        <v>1.0</v>
      </c>
    </row>
    <row r="74">
      <c r="A74" s="97">
        <v>19.0</v>
      </c>
      <c r="B74" s="97">
        <v>1.0</v>
      </c>
      <c r="C74" s="95">
        <v>3.0</v>
      </c>
      <c r="D74" s="95">
        <v>3.0</v>
      </c>
      <c r="E74" s="95">
        <v>1.0</v>
      </c>
      <c r="F74" s="95">
        <v>1.0</v>
      </c>
    </row>
    <row r="75">
      <c r="A75" s="97">
        <v>19.0</v>
      </c>
      <c r="B75" s="97">
        <v>2.0</v>
      </c>
      <c r="C75" s="95">
        <v>15.0</v>
      </c>
      <c r="D75" s="95">
        <v>18.0</v>
      </c>
      <c r="E75" s="95">
        <v>1.0</v>
      </c>
      <c r="F75" s="95">
        <v>1.0</v>
      </c>
    </row>
    <row r="76">
      <c r="A76" s="97">
        <v>19.0</v>
      </c>
      <c r="B76" s="97">
        <v>3.0</v>
      </c>
      <c r="C76" s="95">
        <v>5.0</v>
      </c>
      <c r="D76" s="95">
        <v>5.0</v>
      </c>
      <c r="E76" s="95">
        <v>1.0</v>
      </c>
      <c r="F76" s="95">
        <v>1.0</v>
      </c>
    </row>
    <row r="77">
      <c r="A77" s="97">
        <v>19.0</v>
      </c>
      <c r="B77" s="97">
        <v>4.0</v>
      </c>
      <c r="C77" s="95">
        <v>8.0</v>
      </c>
      <c r="D77" s="95">
        <v>10.0</v>
      </c>
      <c r="E77" s="95">
        <v>1.0</v>
      </c>
      <c r="F77" s="95">
        <v>1.0</v>
      </c>
    </row>
    <row r="78">
      <c r="A78" s="97">
        <v>20.0</v>
      </c>
      <c r="B78" s="97">
        <v>1.0</v>
      </c>
      <c r="C78" s="95">
        <v>15.0</v>
      </c>
      <c r="D78" s="95">
        <v>18.0</v>
      </c>
      <c r="E78" s="95">
        <v>1.0</v>
      </c>
      <c r="F78" s="95">
        <v>1.0</v>
      </c>
    </row>
    <row r="79">
      <c r="A79" s="97">
        <v>20.0</v>
      </c>
      <c r="B79" s="97">
        <v>2.0</v>
      </c>
      <c r="C79" s="95">
        <v>5.0</v>
      </c>
      <c r="D79" s="95">
        <v>5.0</v>
      </c>
      <c r="E79" s="95">
        <v>1.0</v>
      </c>
      <c r="F79" s="95">
        <v>1.0</v>
      </c>
    </row>
    <row r="80">
      <c r="A80" s="97">
        <v>20.0</v>
      </c>
      <c r="B80" s="97">
        <v>3.0</v>
      </c>
      <c r="C80" s="95">
        <v>5.0</v>
      </c>
      <c r="D80" s="95">
        <v>5.0</v>
      </c>
      <c r="E80" s="95">
        <v>1.0</v>
      </c>
      <c r="F80" s="95">
        <v>1.0</v>
      </c>
    </row>
    <row r="81">
      <c r="A81" s="97">
        <v>20.0</v>
      </c>
      <c r="B81" s="97">
        <v>4.0</v>
      </c>
      <c r="C81" s="95">
        <v>3.0</v>
      </c>
      <c r="D81" s="95">
        <v>3.0</v>
      </c>
      <c r="E81" s="95">
        <v>1.0</v>
      </c>
      <c r="F81" s="95">
        <v>1.0</v>
      </c>
    </row>
    <row r="82">
      <c r="A82" s="97">
        <v>21.0</v>
      </c>
      <c r="B82" s="97">
        <v>1.0</v>
      </c>
      <c r="C82" s="95">
        <v>5.0</v>
      </c>
      <c r="D82" s="95">
        <v>5.0</v>
      </c>
      <c r="E82" s="95">
        <v>1.0</v>
      </c>
      <c r="F82" s="95">
        <v>1.0</v>
      </c>
    </row>
    <row r="83">
      <c r="A83" s="97">
        <v>21.0</v>
      </c>
      <c r="B83" s="97">
        <v>2.0</v>
      </c>
      <c r="C83" s="95">
        <v>8.0</v>
      </c>
      <c r="D83" s="95">
        <v>10.0</v>
      </c>
      <c r="E83" s="95">
        <v>1.0</v>
      </c>
      <c r="F83" s="95">
        <v>1.0</v>
      </c>
    </row>
    <row r="84">
      <c r="A84" s="97">
        <v>21.0</v>
      </c>
      <c r="B84" s="97">
        <v>3.0</v>
      </c>
      <c r="C84" s="95">
        <v>8.0</v>
      </c>
      <c r="D84" s="95">
        <v>10.0</v>
      </c>
      <c r="E84" s="95">
        <v>1.0</v>
      </c>
      <c r="F84" s="95">
        <v>1.0</v>
      </c>
    </row>
    <row r="85">
      <c r="A85" s="97">
        <v>21.0</v>
      </c>
      <c r="B85" s="97">
        <v>4.0</v>
      </c>
      <c r="C85" s="95">
        <v>12.0</v>
      </c>
      <c r="D85" s="95">
        <v>15.0</v>
      </c>
      <c r="E85" s="95">
        <v>1.0</v>
      </c>
      <c r="F85" s="95">
        <v>1.0</v>
      </c>
    </row>
    <row r="86">
      <c r="A86" s="97">
        <v>22.0</v>
      </c>
      <c r="B86" s="97">
        <v>1.0</v>
      </c>
      <c r="C86" s="95">
        <v>3.0</v>
      </c>
      <c r="D86" s="95">
        <v>3.0</v>
      </c>
      <c r="E86" s="95">
        <v>1.0</v>
      </c>
      <c r="F86" s="95">
        <v>1.0</v>
      </c>
    </row>
    <row r="87">
      <c r="A87" s="97">
        <v>22.0</v>
      </c>
      <c r="B87" s="97">
        <v>2.0</v>
      </c>
      <c r="C87" s="95">
        <v>5.0</v>
      </c>
      <c r="D87" s="95">
        <v>5.0</v>
      </c>
      <c r="E87" s="95">
        <v>1.0</v>
      </c>
      <c r="F87" s="95">
        <v>1.0</v>
      </c>
    </row>
    <row r="88">
      <c r="A88" s="97">
        <v>22.0</v>
      </c>
      <c r="B88" s="97">
        <v>3.0</v>
      </c>
      <c r="C88" s="95">
        <v>5.0</v>
      </c>
      <c r="D88" s="95">
        <v>5.0</v>
      </c>
      <c r="E88" s="95">
        <v>1.0</v>
      </c>
      <c r="F88" s="95">
        <v>1.0</v>
      </c>
    </row>
    <row r="89">
      <c r="A89" s="97">
        <v>22.0</v>
      </c>
      <c r="B89" s="97">
        <v>4.0</v>
      </c>
      <c r="C89" s="95">
        <v>15.0</v>
      </c>
      <c r="D89" s="95">
        <v>18.0</v>
      </c>
      <c r="E89" s="95">
        <v>1.0</v>
      </c>
      <c r="F89" s="95">
        <v>1.0</v>
      </c>
    </row>
    <row r="90">
      <c r="A90" s="98">
        <v>23.0</v>
      </c>
      <c r="B90" s="98">
        <v>1.0</v>
      </c>
      <c r="C90" s="99">
        <v>25.0</v>
      </c>
      <c r="D90" s="99">
        <v>25.0</v>
      </c>
      <c r="E90" s="99">
        <v>1.0</v>
      </c>
      <c r="F90" s="99">
        <v>1.0</v>
      </c>
    </row>
    <row r="91">
      <c r="A91" s="98">
        <v>23.0</v>
      </c>
      <c r="B91" s="98">
        <v>2.0</v>
      </c>
      <c r="C91" s="99">
        <v>25.0</v>
      </c>
      <c r="D91" s="99">
        <v>25.0</v>
      </c>
      <c r="E91" s="99">
        <v>1.0</v>
      </c>
      <c r="F91" s="99">
        <v>1.0</v>
      </c>
    </row>
    <row r="92">
      <c r="A92" s="98">
        <v>23.0</v>
      </c>
      <c r="B92" s="98">
        <v>3.0</v>
      </c>
      <c r="C92" s="99">
        <v>25.0</v>
      </c>
      <c r="D92" s="99">
        <v>25.0</v>
      </c>
      <c r="E92" s="99">
        <v>1.0</v>
      </c>
      <c r="F92" s="99">
        <v>1.0</v>
      </c>
    </row>
    <row r="93">
      <c r="A93" s="98">
        <v>23.0</v>
      </c>
      <c r="B93" s="98">
        <v>4.0</v>
      </c>
      <c r="C93" s="99">
        <v>25.0</v>
      </c>
      <c r="D93" s="99">
        <v>25.0</v>
      </c>
      <c r="E93" s="99">
        <v>1.0</v>
      </c>
      <c r="F93" s="99">
        <v>1.0</v>
      </c>
    </row>
    <row r="94">
      <c r="A94" s="100">
        <v>24.0</v>
      </c>
      <c r="B94" s="100">
        <v>1.0</v>
      </c>
      <c r="C94" s="101">
        <v>3.0</v>
      </c>
      <c r="D94" s="101">
        <v>3.0</v>
      </c>
      <c r="E94" s="101">
        <v>1.0</v>
      </c>
      <c r="F94" s="101">
        <v>1.0</v>
      </c>
    </row>
    <row r="95">
      <c r="A95" s="100">
        <v>24.0</v>
      </c>
      <c r="B95" s="100">
        <v>2.0</v>
      </c>
      <c r="C95" s="101">
        <v>50.0</v>
      </c>
      <c r="D95" s="101">
        <v>55.0</v>
      </c>
      <c r="E95" s="101">
        <v>1.0</v>
      </c>
      <c r="F95" s="101">
        <v>1.0</v>
      </c>
    </row>
    <row r="96">
      <c r="A96" s="100">
        <v>24.0</v>
      </c>
      <c r="B96" s="100">
        <v>3.0</v>
      </c>
      <c r="C96" s="101">
        <v>8.0</v>
      </c>
      <c r="D96" s="101">
        <v>8.0</v>
      </c>
      <c r="E96" s="101">
        <v>1.0</v>
      </c>
      <c r="F96" s="101">
        <v>1.0</v>
      </c>
    </row>
    <row r="97">
      <c r="A97" s="100">
        <v>24.0</v>
      </c>
      <c r="B97" s="100">
        <v>4.0</v>
      </c>
      <c r="C97" s="101">
        <v>10.0</v>
      </c>
      <c r="D97" s="101">
        <v>12.0</v>
      </c>
      <c r="E97" s="101">
        <v>1.0</v>
      </c>
      <c r="F97" s="101">
        <v>1.0</v>
      </c>
    </row>
    <row r="98">
      <c r="A98" s="100">
        <v>25.0</v>
      </c>
      <c r="B98" s="100">
        <v>1.0</v>
      </c>
      <c r="C98" s="101">
        <v>5.0</v>
      </c>
      <c r="D98" s="101">
        <v>5.0</v>
      </c>
      <c r="E98" s="101">
        <v>1.0</v>
      </c>
      <c r="F98" s="101">
        <v>1.0</v>
      </c>
    </row>
    <row r="99">
      <c r="A99" s="100">
        <v>25.0</v>
      </c>
      <c r="B99" s="100">
        <v>2.0</v>
      </c>
      <c r="C99" s="101">
        <v>45.0</v>
      </c>
      <c r="D99" s="101">
        <v>50.0</v>
      </c>
      <c r="E99" s="101">
        <v>1.0</v>
      </c>
      <c r="F99" s="101">
        <v>1.0</v>
      </c>
    </row>
    <row r="100">
      <c r="A100" s="100">
        <v>25.0</v>
      </c>
      <c r="B100" s="100">
        <v>3.0</v>
      </c>
      <c r="C100" s="101">
        <v>5.0</v>
      </c>
      <c r="D100" s="101">
        <v>8.0</v>
      </c>
      <c r="E100" s="101">
        <v>1.0</v>
      </c>
      <c r="F100" s="101">
        <v>1.0</v>
      </c>
    </row>
    <row r="101">
      <c r="A101" s="100">
        <v>25.0</v>
      </c>
      <c r="B101" s="100">
        <v>4.0</v>
      </c>
      <c r="C101" s="101">
        <v>25.0</v>
      </c>
      <c r="D101" s="101">
        <v>30.0</v>
      </c>
      <c r="E101" s="101">
        <v>1.0</v>
      </c>
      <c r="F101" s="101">
        <v>1.0</v>
      </c>
    </row>
    <row r="102">
      <c r="A102" s="100">
        <v>26.0</v>
      </c>
      <c r="B102" s="100">
        <v>1.0</v>
      </c>
      <c r="C102" s="101">
        <v>3.0</v>
      </c>
      <c r="D102" s="101">
        <v>3.0</v>
      </c>
      <c r="E102" s="101">
        <v>1.0</v>
      </c>
      <c r="F102" s="101">
        <v>1.0</v>
      </c>
    </row>
    <row r="103">
      <c r="A103" s="100">
        <v>26.0</v>
      </c>
      <c r="B103" s="100">
        <v>2.0</v>
      </c>
      <c r="C103" s="101">
        <v>40.0</v>
      </c>
      <c r="D103" s="101">
        <v>45.0</v>
      </c>
      <c r="E103" s="101">
        <v>1.0</v>
      </c>
      <c r="F103" s="101">
        <v>1.0</v>
      </c>
    </row>
    <row r="104">
      <c r="A104" s="100">
        <v>26.0</v>
      </c>
      <c r="B104" s="100">
        <v>3.0</v>
      </c>
      <c r="C104" s="101">
        <v>10.0</v>
      </c>
      <c r="D104" s="101">
        <v>12.0</v>
      </c>
      <c r="E104" s="101">
        <v>1.0</v>
      </c>
      <c r="F104" s="101">
        <v>1.0</v>
      </c>
    </row>
    <row r="105">
      <c r="A105" s="100">
        <v>26.0</v>
      </c>
      <c r="B105" s="100">
        <v>4.0</v>
      </c>
      <c r="C105" s="101">
        <v>10.0</v>
      </c>
      <c r="D105" s="101">
        <v>12.0</v>
      </c>
      <c r="E105" s="101">
        <v>1.0</v>
      </c>
      <c r="F105" s="101">
        <v>1.0</v>
      </c>
    </row>
    <row r="106">
      <c r="A106" s="100">
        <v>27.0</v>
      </c>
      <c r="B106" s="100">
        <v>1.0</v>
      </c>
      <c r="C106" s="101">
        <v>3.0</v>
      </c>
      <c r="D106" s="101">
        <v>3.0</v>
      </c>
      <c r="E106" s="101">
        <v>1.0</v>
      </c>
      <c r="F106" s="101">
        <v>1.0</v>
      </c>
    </row>
    <row r="107">
      <c r="A107" s="100">
        <v>27.0</v>
      </c>
      <c r="B107" s="100">
        <v>2.0</v>
      </c>
      <c r="C107" s="101">
        <v>30.0</v>
      </c>
      <c r="D107" s="101">
        <v>35.0</v>
      </c>
      <c r="E107" s="101">
        <v>1.0</v>
      </c>
      <c r="F107" s="101">
        <v>1.0</v>
      </c>
    </row>
    <row r="108">
      <c r="A108" s="100">
        <v>27.0</v>
      </c>
      <c r="B108" s="100">
        <v>3.0</v>
      </c>
      <c r="C108" s="101">
        <v>8.0</v>
      </c>
      <c r="D108" s="101">
        <v>10.0</v>
      </c>
      <c r="E108" s="101">
        <v>1.0</v>
      </c>
      <c r="F108" s="101">
        <v>1.0</v>
      </c>
    </row>
    <row r="109">
      <c r="A109" s="100">
        <v>27.0</v>
      </c>
      <c r="B109" s="100">
        <v>4.0</v>
      </c>
      <c r="C109" s="101">
        <v>20.0</v>
      </c>
      <c r="D109" s="101">
        <v>25.0</v>
      </c>
      <c r="E109" s="101">
        <v>1.0</v>
      </c>
      <c r="F109" s="101">
        <v>1.0</v>
      </c>
    </row>
    <row r="110">
      <c r="A110" s="100">
        <v>28.0</v>
      </c>
      <c r="B110" s="100">
        <v>1.0</v>
      </c>
      <c r="C110" s="101">
        <v>8.0</v>
      </c>
      <c r="D110" s="101">
        <v>10.0</v>
      </c>
      <c r="E110" s="101">
        <v>1.0</v>
      </c>
      <c r="F110" s="101">
        <v>1.0</v>
      </c>
    </row>
    <row r="111">
      <c r="A111" s="100">
        <v>28.0</v>
      </c>
      <c r="B111" s="100">
        <v>2.0</v>
      </c>
      <c r="C111" s="101">
        <v>5.0</v>
      </c>
      <c r="D111" s="101">
        <v>8.0</v>
      </c>
      <c r="E111" s="101">
        <v>1.0</v>
      </c>
      <c r="F111" s="101">
        <v>1.0</v>
      </c>
    </row>
    <row r="112">
      <c r="A112" s="100">
        <v>28.0</v>
      </c>
      <c r="B112" s="100">
        <v>3.0</v>
      </c>
      <c r="C112" s="101">
        <v>12.0</v>
      </c>
      <c r="D112" s="101">
        <v>15.0</v>
      </c>
      <c r="E112" s="101">
        <v>1.0</v>
      </c>
      <c r="F112" s="101">
        <v>1.0</v>
      </c>
    </row>
    <row r="113">
      <c r="A113" s="100">
        <v>28.0</v>
      </c>
      <c r="B113" s="100">
        <v>4.0</v>
      </c>
      <c r="C113" s="101">
        <v>40.0</v>
      </c>
      <c r="D113" s="101">
        <v>45.0</v>
      </c>
      <c r="E113" s="101">
        <v>1.0</v>
      </c>
      <c r="F113" s="101">
        <v>1.0</v>
      </c>
    </row>
    <row r="114">
      <c r="A114" s="100">
        <v>29.0</v>
      </c>
      <c r="B114" s="100">
        <v>1.0</v>
      </c>
      <c r="C114" s="101">
        <v>5.0</v>
      </c>
      <c r="D114" s="101">
        <v>8.0</v>
      </c>
      <c r="E114" s="101">
        <v>1.0</v>
      </c>
      <c r="F114" s="101">
        <v>1.0</v>
      </c>
    </row>
    <row r="115">
      <c r="A115" s="100">
        <v>29.0</v>
      </c>
      <c r="B115" s="100">
        <v>2.0</v>
      </c>
      <c r="C115" s="101">
        <v>5.0</v>
      </c>
      <c r="D115" s="101">
        <v>5.0</v>
      </c>
      <c r="E115" s="101">
        <v>1.0</v>
      </c>
      <c r="F115" s="101">
        <v>1.0</v>
      </c>
    </row>
    <row r="116">
      <c r="A116" s="100">
        <v>29.0</v>
      </c>
      <c r="B116" s="100">
        <v>3.0</v>
      </c>
      <c r="C116" s="101">
        <v>5.0</v>
      </c>
      <c r="D116" s="101">
        <v>5.0</v>
      </c>
      <c r="E116" s="101">
        <v>1.0</v>
      </c>
      <c r="F116" s="101">
        <v>1.0</v>
      </c>
    </row>
    <row r="117">
      <c r="A117" s="100">
        <v>29.0</v>
      </c>
      <c r="B117" s="100">
        <v>4.0</v>
      </c>
      <c r="C117" s="101">
        <v>45.0</v>
      </c>
      <c r="D117" s="101">
        <v>50.0</v>
      </c>
      <c r="E117" s="101">
        <v>1.0</v>
      </c>
      <c r="F117" s="101">
        <v>1.0</v>
      </c>
    </row>
    <row r="118">
      <c r="A118" s="100">
        <v>30.0</v>
      </c>
      <c r="B118" s="100">
        <v>1.0</v>
      </c>
      <c r="C118" s="101">
        <v>5.0</v>
      </c>
      <c r="D118" s="101">
        <v>5.0</v>
      </c>
      <c r="E118" s="101">
        <v>1.0</v>
      </c>
      <c r="F118" s="101">
        <v>1.0</v>
      </c>
    </row>
    <row r="119">
      <c r="A119" s="100">
        <v>30.0</v>
      </c>
      <c r="B119" s="100">
        <v>2.0</v>
      </c>
      <c r="C119" s="101">
        <v>3.0</v>
      </c>
      <c r="D119" s="101">
        <v>3.0</v>
      </c>
      <c r="E119" s="101">
        <v>1.0</v>
      </c>
      <c r="F119" s="101">
        <v>1.0</v>
      </c>
    </row>
    <row r="120">
      <c r="A120" s="100">
        <v>30.0</v>
      </c>
      <c r="B120" s="100">
        <v>3.0</v>
      </c>
      <c r="C120" s="101">
        <v>3.0</v>
      </c>
      <c r="D120" s="101">
        <v>3.0</v>
      </c>
      <c r="E120" s="101">
        <v>1.0</v>
      </c>
      <c r="F120" s="101">
        <v>1.0</v>
      </c>
    </row>
    <row r="121">
      <c r="A121" s="100">
        <v>30.0</v>
      </c>
      <c r="B121" s="100">
        <v>4.0</v>
      </c>
      <c r="C121" s="101">
        <v>35.0</v>
      </c>
      <c r="D121" s="101">
        <v>40.0</v>
      </c>
      <c r="E121" s="101">
        <v>1.0</v>
      </c>
      <c r="F121" s="101">
        <v>1.0</v>
      </c>
    </row>
    <row r="122">
      <c r="A122" s="100">
        <v>31.0</v>
      </c>
      <c r="B122" s="100">
        <v>1.0</v>
      </c>
      <c r="C122" s="101">
        <v>10.0</v>
      </c>
      <c r="D122" s="101">
        <v>12.0</v>
      </c>
      <c r="E122" s="101">
        <v>1.0</v>
      </c>
      <c r="F122" s="101">
        <v>1.0</v>
      </c>
    </row>
    <row r="123">
      <c r="A123" s="100">
        <v>31.0</v>
      </c>
      <c r="B123" s="100">
        <v>2.0</v>
      </c>
      <c r="C123" s="101">
        <v>8.0</v>
      </c>
      <c r="D123" s="101">
        <v>10.0</v>
      </c>
      <c r="E123" s="101">
        <v>1.0</v>
      </c>
      <c r="F123" s="101">
        <v>1.0</v>
      </c>
    </row>
    <row r="124">
      <c r="A124" s="100">
        <v>31.0</v>
      </c>
      <c r="B124" s="100">
        <v>3.0</v>
      </c>
      <c r="C124" s="101">
        <v>45.0</v>
      </c>
      <c r="D124" s="101">
        <v>50.0</v>
      </c>
      <c r="E124" s="101">
        <v>1.0</v>
      </c>
      <c r="F124" s="101">
        <v>1.0</v>
      </c>
    </row>
    <row r="125">
      <c r="A125" s="100">
        <v>31.0</v>
      </c>
      <c r="B125" s="100">
        <v>4.0</v>
      </c>
      <c r="C125" s="101">
        <v>12.0</v>
      </c>
      <c r="D125" s="101">
        <v>15.0</v>
      </c>
      <c r="E125" s="101">
        <v>1.0</v>
      </c>
      <c r="F125" s="101">
        <v>1.0</v>
      </c>
    </row>
    <row r="126">
      <c r="A126" s="100">
        <v>32.0</v>
      </c>
      <c r="B126" s="100">
        <v>1.0</v>
      </c>
      <c r="C126" s="101">
        <v>8.0</v>
      </c>
      <c r="D126" s="101">
        <v>10.0</v>
      </c>
      <c r="E126" s="101">
        <v>1.0</v>
      </c>
      <c r="F126" s="101">
        <v>1.0</v>
      </c>
    </row>
    <row r="127">
      <c r="A127" s="100">
        <v>32.0</v>
      </c>
      <c r="B127" s="100">
        <v>2.0</v>
      </c>
      <c r="C127" s="101">
        <v>25.0</v>
      </c>
      <c r="D127" s="101">
        <v>30.0</v>
      </c>
      <c r="E127" s="101">
        <v>1.0</v>
      </c>
      <c r="F127" s="101">
        <v>1.0</v>
      </c>
    </row>
    <row r="128">
      <c r="A128" s="100">
        <v>32.0</v>
      </c>
      <c r="B128" s="100">
        <v>3.0</v>
      </c>
      <c r="C128" s="101">
        <v>40.0</v>
      </c>
      <c r="D128" s="101">
        <v>45.0</v>
      </c>
      <c r="E128" s="101">
        <v>1.0</v>
      </c>
      <c r="F128" s="101">
        <v>1.0</v>
      </c>
    </row>
    <row r="129">
      <c r="A129" s="100">
        <v>32.0</v>
      </c>
      <c r="B129" s="100">
        <v>4.0</v>
      </c>
      <c r="C129" s="101">
        <v>5.0</v>
      </c>
      <c r="D129" s="101">
        <v>8.0</v>
      </c>
      <c r="E129" s="101">
        <v>1.0</v>
      </c>
      <c r="F129" s="101">
        <v>1.0</v>
      </c>
    </row>
    <row r="130">
      <c r="A130" s="100">
        <v>33.0</v>
      </c>
      <c r="B130" s="100">
        <v>1.0</v>
      </c>
      <c r="C130" s="101">
        <v>3.0</v>
      </c>
      <c r="D130" s="101">
        <v>3.0</v>
      </c>
      <c r="E130" s="101">
        <v>1.0</v>
      </c>
      <c r="F130" s="101">
        <v>1.0</v>
      </c>
    </row>
    <row r="131">
      <c r="A131" s="100">
        <v>33.0</v>
      </c>
      <c r="B131" s="100">
        <v>2.0</v>
      </c>
      <c r="C131" s="101">
        <v>35.0</v>
      </c>
      <c r="D131" s="101">
        <v>40.0</v>
      </c>
      <c r="E131" s="101">
        <v>1.0</v>
      </c>
      <c r="F131" s="101">
        <v>1.0</v>
      </c>
    </row>
    <row r="132">
      <c r="A132" s="100">
        <v>33.0</v>
      </c>
      <c r="B132" s="100">
        <v>3.0</v>
      </c>
      <c r="C132" s="101">
        <v>15.0</v>
      </c>
      <c r="D132" s="101">
        <v>18.0</v>
      </c>
      <c r="E132" s="101">
        <v>1.0</v>
      </c>
      <c r="F132" s="101">
        <v>1.0</v>
      </c>
    </row>
    <row r="133">
      <c r="A133" s="100">
        <v>33.0</v>
      </c>
      <c r="B133" s="100">
        <v>4.0</v>
      </c>
      <c r="C133" s="101">
        <v>15.0</v>
      </c>
      <c r="D133" s="101">
        <v>18.0</v>
      </c>
      <c r="E133" s="101">
        <v>1.0</v>
      </c>
      <c r="F133" s="101">
        <v>1.0</v>
      </c>
    </row>
    <row r="134">
      <c r="A134" s="100">
        <v>34.0</v>
      </c>
      <c r="B134" s="100">
        <v>1.0</v>
      </c>
      <c r="C134" s="101">
        <v>5.0</v>
      </c>
      <c r="D134" s="101">
        <v>5.0</v>
      </c>
      <c r="E134" s="101">
        <v>1.0</v>
      </c>
      <c r="F134" s="101">
        <v>1.0</v>
      </c>
    </row>
    <row r="135">
      <c r="A135" s="100">
        <v>34.0</v>
      </c>
      <c r="B135" s="100">
        <v>2.0</v>
      </c>
      <c r="C135" s="101">
        <v>20.0</v>
      </c>
      <c r="D135" s="101">
        <v>25.0</v>
      </c>
      <c r="E135" s="101">
        <v>1.0</v>
      </c>
      <c r="F135" s="101">
        <v>1.0</v>
      </c>
    </row>
    <row r="136">
      <c r="A136" s="100">
        <v>34.0</v>
      </c>
      <c r="B136" s="100">
        <v>3.0</v>
      </c>
      <c r="C136" s="101">
        <v>8.0</v>
      </c>
      <c r="D136" s="101">
        <v>10.0</v>
      </c>
      <c r="E136" s="101">
        <v>1.0</v>
      </c>
      <c r="F136" s="101">
        <v>1.0</v>
      </c>
    </row>
    <row r="137">
      <c r="A137" s="100">
        <v>34.0</v>
      </c>
      <c r="B137" s="100">
        <v>4.0</v>
      </c>
      <c r="C137" s="101">
        <v>35.0</v>
      </c>
      <c r="D137" s="101">
        <v>40.0</v>
      </c>
      <c r="E137" s="101">
        <v>1.0</v>
      </c>
      <c r="F137" s="101">
        <v>1.0</v>
      </c>
    </row>
    <row r="138">
      <c r="A138" s="100">
        <v>35.0</v>
      </c>
      <c r="B138" s="100">
        <v>1.0</v>
      </c>
      <c r="C138" s="101">
        <v>40.0</v>
      </c>
      <c r="D138" s="101">
        <v>45.0</v>
      </c>
      <c r="E138" s="101">
        <v>1.0</v>
      </c>
      <c r="F138" s="101">
        <v>1.0</v>
      </c>
    </row>
    <row r="139">
      <c r="A139" s="100">
        <v>35.0</v>
      </c>
      <c r="B139" s="100">
        <v>2.0</v>
      </c>
      <c r="C139" s="101">
        <v>3.0</v>
      </c>
      <c r="D139" s="101">
        <v>3.0</v>
      </c>
      <c r="E139" s="101">
        <v>1.0</v>
      </c>
      <c r="F139" s="101">
        <v>1.0</v>
      </c>
    </row>
    <row r="140">
      <c r="A140" s="100">
        <v>35.0</v>
      </c>
      <c r="B140" s="100">
        <v>3.0</v>
      </c>
      <c r="C140" s="101">
        <v>5.0</v>
      </c>
      <c r="D140" s="101">
        <v>8.0</v>
      </c>
      <c r="E140" s="101">
        <v>1.0</v>
      </c>
      <c r="F140" s="101">
        <v>1.0</v>
      </c>
    </row>
    <row r="141">
      <c r="A141" s="100">
        <v>35.0</v>
      </c>
      <c r="B141" s="100">
        <v>4.0</v>
      </c>
      <c r="C141" s="101">
        <v>10.0</v>
      </c>
      <c r="D141" s="101">
        <v>12.0</v>
      </c>
      <c r="E141" s="101">
        <v>1.0</v>
      </c>
      <c r="F141" s="101">
        <v>1.0</v>
      </c>
    </row>
    <row r="142">
      <c r="A142" s="100">
        <v>36.0</v>
      </c>
      <c r="B142" s="100">
        <v>1.0</v>
      </c>
      <c r="C142" s="101">
        <v>50.0</v>
      </c>
      <c r="D142" s="101">
        <v>55.0</v>
      </c>
      <c r="E142" s="101">
        <v>1.0</v>
      </c>
      <c r="F142" s="101">
        <v>1.0</v>
      </c>
    </row>
    <row r="143">
      <c r="A143" s="100">
        <v>36.0</v>
      </c>
      <c r="B143" s="100">
        <v>2.0</v>
      </c>
      <c r="C143" s="101">
        <v>5.0</v>
      </c>
      <c r="D143" s="101">
        <v>5.0</v>
      </c>
      <c r="E143" s="101">
        <v>1.0</v>
      </c>
      <c r="F143" s="101">
        <v>1.0</v>
      </c>
    </row>
    <row r="144">
      <c r="A144" s="100">
        <v>36.0</v>
      </c>
      <c r="B144" s="100">
        <v>3.0</v>
      </c>
      <c r="C144" s="101">
        <v>15.0</v>
      </c>
      <c r="D144" s="101">
        <v>18.0</v>
      </c>
      <c r="E144" s="101">
        <v>1.0</v>
      </c>
      <c r="F144" s="101">
        <v>1.0</v>
      </c>
    </row>
    <row r="145">
      <c r="A145" s="100">
        <v>36.0</v>
      </c>
      <c r="B145" s="100">
        <v>4.0</v>
      </c>
      <c r="C145" s="101">
        <v>8.0</v>
      </c>
      <c r="D145" s="101">
        <v>10.0</v>
      </c>
      <c r="E145" s="101">
        <v>1.0</v>
      </c>
      <c r="F145" s="101">
        <v>1.0</v>
      </c>
    </row>
    <row r="146">
      <c r="A146" s="100">
        <v>37.0</v>
      </c>
      <c r="B146" s="100">
        <v>1.0</v>
      </c>
      <c r="C146" s="101">
        <v>35.0</v>
      </c>
      <c r="D146" s="101">
        <v>40.0</v>
      </c>
      <c r="E146" s="101">
        <v>1.0</v>
      </c>
      <c r="F146" s="101">
        <v>1.0</v>
      </c>
    </row>
    <row r="147">
      <c r="A147" s="100">
        <v>37.0</v>
      </c>
      <c r="B147" s="100">
        <v>2.0</v>
      </c>
      <c r="C147" s="101">
        <v>3.0</v>
      </c>
      <c r="D147" s="101">
        <v>3.0</v>
      </c>
      <c r="E147" s="101">
        <v>1.0</v>
      </c>
      <c r="F147" s="101">
        <v>1.0</v>
      </c>
    </row>
    <row r="148">
      <c r="A148" s="100">
        <v>37.0</v>
      </c>
      <c r="B148" s="100">
        <v>3.0</v>
      </c>
      <c r="C148" s="101">
        <v>3.0</v>
      </c>
      <c r="D148" s="101">
        <v>3.0</v>
      </c>
      <c r="E148" s="101">
        <v>1.0</v>
      </c>
      <c r="F148" s="101">
        <v>1.0</v>
      </c>
    </row>
    <row r="149">
      <c r="A149" s="100">
        <v>37.0</v>
      </c>
      <c r="B149" s="100">
        <v>4.0</v>
      </c>
      <c r="C149" s="101">
        <v>3.0</v>
      </c>
      <c r="D149" s="101">
        <v>3.0</v>
      </c>
      <c r="E149" s="101">
        <v>1.0</v>
      </c>
      <c r="F149" s="101">
        <v>1.0</v>
      </c>
    </row>
    <row r="150">
      <c r="A150" s="100">
        <v>38.0</v>
      </c>
      <c r="B150" s="100">
        <v>1.0</v>
      </c>
      <c r="C150" s="101">
        <v>5.0</v>
      </c>
      <c r="D150" s="101">
        <v>5.0</v>
      </c>
      <c r="E150" s="101">
        <v>1.0</v>
      </c>
      <c r="F150" s="101">
        <v>1.0</v>
      </c>
    </row>
    <row r="151">
      <c r="A151" s="100">
        <v>38.0</v>
      </c>
      <c r="B151" s="100">
        <v>2.0</v>
      </c>
      <c r="C151" s="101">
        <v>10.0</v>
      </c>
      <c r="D151" s="101">
        <v>12.0</v>
      </c>
      <c r="E151" s="101">
        <v>1.0</v>
      </c>
      <c r="F151" s="101">
        <v>1.0</v>
      </c>
    </row>
    <row r="152">
      <c r="A152" s="100">
        <v>38.0</v>
      </c>
      <c r="B152" s="100">
        <v>3.0</v>
      </c>
      <c r="C152" s="101">
        <v>20.0</v>
      </c>
      <c r="D152" s="101">
        <v>25.0</v>
      </c>
      <c r="E152" s="101">
        <v>1.0</v>
      </c>
      <c r="F152" s="101">
        <v>1.0</v>
      </c>
    </row>
    <row r="153">
      <c r="A153" s="100">
        <v>38.0</v>
      </c>
      <c r="B153" s="100">
        <v>4.0</v>
      </c>
      <c r="C153" s="101">
        <v>25.0</v>
      </c>
      <c r="D153" s="101">
        <v>30.0</v>
      </c>
      <c r="E153" s="101">
        <v>1.0</v>
      </c>
      <c r="F153" s="101">
        <v>1.0</v>
      </c>
    </row>
    <row r="154">
      <c r="A154" s="100">
        <v>39.0</v>
      </c>
      <c r="B154" s="100">
        <v>1.0</v>
      </c>
      <c r="C154" s="101">
        <v>10.0</v>
      </c>
      <c r="D154" s="101">
        <v>12.0</v>
      </c>
      <c r="E154" s="101">
        <v>1.0</v>
      </c>
      <c r="F154" s="101">
        <v>1.0</v>
      </c>
    </row>
    <row r="155">
      <c r="A155" s="100">
        <v>39.0</v>
      </c>
      <c r="B155" s="100">
        <v>2.0</v>
      </c>
      <c r="C155" s="101">
        <v>20.0</v>
      </c>
      <c r="D155" s="101">
        <v>25.0</v>
      </c>
      <c r="E155" s="101">
        <v>1.0</v>
      </c>
      <c r="F155" s="101">
        <v>1.0</v>
      </c>
    </row>
    <row r="156">
      <c r="A156" s="100">
        <v>39.0</v>
      </c>
      <c r="B156" s="100">
        <v>3.0</v>
      </c>
      <c r="C156" s="101">
        <v>45.0</v>
      </c>
      <c r="D156" s="101">
        <v>50.0</v>
      </c>
      <c r="E156" s="101">
        <v>1.0</v>
      </c>
      <c r="F156" s="101">
        <v>1.0</v>
      </c>
    </row>
    <row r="157">
      <c r="A157" s="100">
        <v>39.0</v>
      </c>
      <c r="B157" s="100">
        <v>4.0</v>
      </c>
      <c r="C157" s="101">
        <v>5.0</v>
      </c>
      <c r="D157" s="101">
        <v>8.0</v>
      </c>
      <c r="E157" s="101">
        <v>1.0</v>
      </c>
      <c r="F157" s="101">
        <v>1.0</v>
      </c>
    </row>
    <row r="158">
      <c r="A158" s="100">
        <v>40.0</v>
      </c>
      <c r="B158" s="100">
        <v>1.0</v>
      </c>
      <c r="C158" s="101">
        <v>15.0</v>
      </c>
      <c r="D158" s="101">
        <v>18.0</v>
      </c>
      <c r="E158" s="101">
        <v>1.0</v>
      </c>
      <c r="F158" s="101">
        <v>1.0</v>
      </c>
    </row>
    <row r="159">
      <c r="A159" s="100">
        <v>40.0</v>
      </c>
      <c r="B159" s="100">
        <v>2.0</v>
      </c>
      <c r="C159" s="101">
        <v>25.0</v>
      </c>
      <c r="D159" s="101">
        <v>30.0</v>
      </c>
      <c r="E159" s="101">
        <v>1.0</v>
      </c>
      <c r="F159" s="101">
        <v>1.0</v>
      </c>
    </row>
    <row r="160">
      <c r="A160" s="100">
        <v>40.0</v>
      </c>
      <c r="B160" s="100">
        <v>3.0</v>
      </c>
      <c r="C160" s="101">
        <v>20.0</v>
      </c>
      <c r="D160" s="101">
        <v>25.0</v>
      </c>
      <c r="E160" s="101">
        <v>1.0</v>
      </c>
      <c r="F160" s="101">
        <v>1.0</v>
      </c>
    </row>
    <row r="161">
      <c r="A161" s="100">
        <v>40.0</v>
      </c>
      <c r="B161" s="100">
        <v>4.0</v>
      </c>
      <c r="C161" s="101">
        <v>8.0</v>
      </c>
      <c r="D161" s="101">
        <v>10.0</v>
      </c>
      <c r="E161" s="101">
        <v>1.0</v>
      </c>
      <c r="F161" s="101">
        <v>1.0</v>
      </c>
    </row>
    <row r="162">
      <c r="A162" s="100">
        <v>41.0</v>
      </c>
      <c r="B162" s="100">
        <v>1.0</v>
      </c>
      <c r="C162" s="101">
        <v>20.0</v>
      </c>
      <c r="D162" s="101">
        <v>25.0</v>
      </c>
      <c r="E162" s="101">
        <v>1.0</v>
      </c>
      <c r="F162" s="101">
        <v>1.0</v>
      </c>
    </row>
    <row r="163">
      <c r="A163" s="100">
        <v>41.0</v>
      </c>
      <c r="B163" s="100">
        <v>2.0</v>
      </c>
      <c r="C163" s="101">
        <v>5.0</v>
      </c>
      <c r="D163" s="101">
        <v>8.0</v>
      </c>
      <c r="E163" s="101">
        <v>1.0</v>
      </c>
      <c r="F163" s="101">
        <v>1.0</v>
      </c>
    </row>
    <row r="164">
      <c r="A164" s="100">
        <v>41.0</v>
      </c>
      <c r="B164" s="100">
        <v>3.0</v>
      </c>
      <c r="C164" s="101">
        <v>15.0</v>
      </c>
      <c r="D164" s="101">
        <v>18.0</v>
      </c>
      <c r="E164" s="101">
        <v>1.0</v>
      </c>
      <c r="F164" s="101">
        <v>1.0</v>
      </c>
    </row>
    <row r="165">
      <c r="A165" s="100">
        <v>41.0</v>
      </c>
      <c r="B165" s="100">
        <v>4.0</v>
      </c>
      <c r="C165" s="101">
        <v>10.0</v>
      </c>
      <c r="D165" s="101">
        <v>12.0</v>
      </c>
      <c r="E165" s="101">
        <v>1.0</v>
      </c>
      <c r="F165" s="101">
        <v>1.0</v>
      </c>
    </row>
    <row r="166">
      <c r="A166" s="100">
        <v>42.0</v>
      </c>
      <c r="B166" s="100">
        <v>1.0</v>
      </c>
      <c r="C166" s="101">
        <v>20.0</v>
      </c>
      <c r="D166" s="101">
        <v>25.0</v>
      </c>
      <c r="E166" s="101">
        <v>1.0</v>
      </c>
      <c r="F166" s="101">
        <v>1.0</v>
      </c>
    </row>
    <row r="167">
      <c r="A167" s="100">
        <v>42.0</v>
      </c>
      <c r="B167" s="100">
        <v>2.0</v>
      </c>
      <c r="C167" s="101">
        <v>15.0</v>
      </c>
      <c r="D167" s="101">
        <v>18.0</v>
      </c>
      <c r="E167" s="101">
        <v>1.0</v>
      </c>
      <c r="F167" s="101">
        <v>1.0</v>
      </c>
    </row>
    <row r="168">
      <c r="A168" s="100">
        <v>42.0</v>
      </c>
      <c r="B168" s="100">
        <v>3.0</v>
      </c>
      <c r="C168" s="101">
        <v>5.0</v>
      </c>
      <c r="D168" s="101">
        <v>8.0</v>
      </c>
      <c r="E168" s="101">
        <v>1.0</v>
      </c>
      <c r="F168" s="101">
        <v>1.0</v>
      </c>
    </row>
    <row r="169">
      <c r="A169" s="100">
        <v>42.0</v>
      </c>
      <c r="B169" s="100">
        <v>4.0</v>
      </c>
      <c r="C169" s="101">
        <v>12.0</v>
      </c>
      <c r="D169" s="101">
        <v>15.0</v>
      </c>
      <c r="E169" s="101">
        <v>1.0</v>
      </c>
      <c r="F169" s="101">
        <v>1.0</v>
      </c>
    </row>
    <row r="170">
      <c r="A170" s="100">
        <v>43.0</v>
      </c>
      <c r="B170" s="100">
        <v>1.0</v>
      </c>
      <c r="C170" s="101">
        <v>5.0</v>
      </c>
      <c r="D170" s="101">
        <v>8.0</v>
      </c>
      <c r="E170" s="101">
        <v>1.0</v>
      </c>
      <c r="F170" s="101">
        <v>1.0</v>
      </c>
    </row>
    <row r="171">
      <c r="A171" s="100">
        <v>43.0</v>
      </c>
      <c r="B171" s="100">
        <v>2.0</v>
      </c>
      <c r="C171" s="101">
        <v>20.0</v>
      </c>
      <c r="D171" s="101">
        <v>25.0</v>
      </c>
      <c r="E171" s="101">
        <v>1.0</v>
      </c>
      <c r="F171" s="101">
        <v>1.0</v>
      </c>
    </row>
    <row r="172">
      <c r="A172" s="100">
        <v>43.0</v>
      </c>
      <c r="B172" s="100">
        <v>3.0</v>
      </c>
      <c r="C172" s="101">
        <v>10.0</v>
      </c>
      <c r="D172" s="101">
        <v>12.0</v>
      </c>
      <c r="E172" s="101">
        <v>1.0</v>
      </c>
      <c r="F172" s="101">
        <v>1.0</v>
      </c>
    </row>
    <row r="173">
      <c r="A173" s="100">
        <v>43.0</v>
      </c>
      <c r="B173" s="100">
        <v>4.0</v>
      </c>
      <c r="C173" s="101">
        <v>20.0</v>
      </c>
      <c r="D173" s="101">
        <v>25.0</v>
      </c>
      <c r="E173" s="101">
        <v>1.0</v>
      </c>
      <c r="F173" s="10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57"/>
    <col customWidth="1" min="2" max="2" width="28.0"/>
    <col customWidth="1" min="3" max="5" width="20.0"/>
    <col customWidth="1" min="6" max="6" width="22.0"/>
    <col customWidth="1" min="7" max="26" width="8.71"/>
  </cols>
  <sheetData>
    <row r="1" ht="21.75" customHeight="1">
      <c r="A1" s="102" t="s">
        <v>214</v>
      </c>
      <c r="B1" s="103"/>
      <c r="C1" s="103"/>
      <c r="D1" s="103"/>
      <c r="E1" s="103"/>
      <c r="F1" s="104"/>
    </row>
    <row r="2" ht="19.5" customHeight="1">
      <c r="A2" s="105" t="s">
        <v>215</v>
      </c>
      <c r="B2" s="103"/>
      <c r="C2" s="103"/>
      <c r="D2" s="103"/>
      <c r="E2" s="103"/>
      <c r="F2" s="104"/>
    </row>
    <row r="3" ht="13.5" customHeight="1"/>
    <row r="4" ht="19.5" customHeight="1">
      <c r="A4" s="106" t="s">
        <v>216</v>
      </c>
      <c r="B4" s="103"/>
      <c r="C4" s="103"/>
      <c r="D4" s="103"/>
      <c r="E4" s="103"/>
      <c r="F4" s="104"/>
    </row>
    <row r="5" ht="30.0" customHeight="1">
      <c r="A5" s="107" t="s">
        <v>217</v>
      </c>
      <c r="B5" s="108" t="s">
        <v>218</v>
      </c>
      <c r="C5" s="109" t="s">
        <v>219</v>
      </c>
      <c r="D5" s="103"/>
      <c r="E5" s="103"/>
      <c r="F5" s="104"/>
    </row>
    <row r="6" ht="30.0" customHeight="1">
      <c r="A6" s="107" t="s">
        <v>220</v>
      </c>
      <c r="B6" s="108" t="s">
        <v>221</v>
      </c>
      <c r="C6" s="109" t="s">
        <v>222</v>
      </c>
      <c r="D6" s="103"/>
      <c r="E6" s="103"/>
      <c r="F6" s="104"/>
    </row>
    <row r="7" ht="30.0" customHeight="1">
      <c r="A7" s="107" t="s">
        <v>223</v>
      </c>
      <c r="B7" s="108" t="s">
        <v>224</v>
      </c>
      <c r="C7" s="109" t="s">
        <v>225</v>
      </c>
      <c r="D7" s="103"/>
      <c r="E7" s="103"/>
      <c r="F7" s="104"/>
    </row>
    <row r="8" ht="30.0" customHeight="1">
      <c r="A8" s="107" t="s">
        <v>226</v>
      </c>
      <c r="B8" s="108" t="s">
        <v>227</v>
      </c>
      <c r="C8" s="109" t="s">
        <v>228</v>
      </c>
      <c r="D8" s="103"/>
      <c r="E8" s="103"/>
      <c r="F8" s="104"/>
    </row>
    <row r="9" ht="30.0" customHeight="1">
      <c r="A9" s="107" t="s">
        <v>229</v>
      </c>
      <c r="B9" s="108" t="s">
        <v>230</v>
      </c>
      <c r="C9" s="109" t="s">
        <v>231</v>
      </c>
      <c r="D9" s="103"/>
      <c r="E9" s="103"/>
      <c r="F9" s="104"/>
    </row>
    <row r="10" ht="13.5" customHeight="1"/>
    <row r="11" ht="19.5" customHeight="1">
      <c r="A11" s="110" t="s">
        <v>232</v>
      </c>
      <c r="B11" s="103"/>
      <c r="C11" s="103"/>
      <c r="D11" s="103"/>
      <c r="E11" s="103"/>
      <c r="F11" s="104"/>
    </row>
    <row r="12" ht="31.5" customHeight="1">
      <c r="A12" s="111" t="s">
        <v>233</v>
      </c>
      <c r="B12" s="112" t="s">
        <v>234</v>
      </c>
      <c r="C12" s="113" t="s">
        <v>235</v>
      </c>
      <c r="D12" s="103"/>
      <c r="E12" s="103"/>
      <c r="F12" s="104"/>
    </row>
    <row r="13" ht="31.5" customHeight="1">
      <c r="A13" s="111" t="s">
        <v>236</v>
      </c>
      <c r="B13" s="112" t="s">
        <v>237</v>
      </c>
      <c r="C13" s="113" t="s">
        <v>238</v>
      </c>
      <c r="D13" s="103"/>
      <c r="E13" s="103"/>
      <c r="F13" s="104"/>
    </row>
    <row r="14" ht="31.5" customHeight="1">
      <c r="A14" s="111" t="s">
        <v>239</v>
      </c>
      <c r="B14" s="112"/>
      <c r="C14" s="113" t="s">
        <v>240</v>
      </c>
      <c r="D14" s="103"/>
      <c r="E14" s="103"/>
      <c r="F14" s="104"/>
    </row>
    <row r="15" ht="31.5" customHeight="1">
      <c r="A15" s="111" t="s">
        <v>241</v>
      </c>
      <c r="B15" s="112" t="s">
        <v>242</v>
      </c>
      <c r="C15" s="113" t="s">
        <v>243</v>
      </c>
      <c r="D15" s="103"/>
      <c r="E15" s="103"/>
      <c r="F15" s="104"/>
    </row>
    <row r="16" ht="31.5" customHeight="1">
      <c r="A16" s="111" t="s">
        <v>244</v>
      </c>
      <c r="B16" s="112" t="s">
        <v>245</v>
      </c>
      <c r="C16" s="113" t="s">
        <v>246</v>
      </c>
      <c r="D16" s="103"/>
      <c r="E16" s="103"/>
      <c r="F16" s="104"/>
    </row>
    <row r="17" ht="31.5" customHeight="1">
      <c r="A17" s="111" t="s">
        <v>247</v>
      </c>
      <c r="B17" s="112" t="s">
        <v>248</v>
      </c>
      <c r="C17" s="113" t="s">
        <v>249</v>
      </c>
      <c r="D17" s="103"/>
      <c r="E17" s="103"/>
      <c r="F17" s="104"/>
    </row>
    <row r="18" ht="13.5" customHeight="1"/>
    <row r="19" ht="19.5" customHeight="1">
      <c r="A19" s="114" t="s">
        <v>250</v>
      </c>
      <c r="B19" s="103"/>
      <c r="C19" s="103"/>
      <c r="D19" s="103"/>
      <c r="E19" s="103"/>
      <c r="F19" s="104"/>
    </row>
    <row r="20" ht="21.75" customHeight="1">
      <c r="A20" s="115" t="s">
        <v>251</v>
      </c>
      <c r="B20" s="116" t="s">
        <v>252</v>
      </c>
      <c r="C20" s="103"/>
      <c r="D20" s="103"/>
      <c r="E20" s="103"/>
      <c r="F20" s="104"/>
    </row>
    <row r="21" ht="18.0" customHeight="1">
      <c r="A21" s="115" t="s">
        <v>253</v>
      </c>
      <c r="B21" s="115" t="s">
        <v>254</v>
      </c>
      <c r="C21" s="116" t="s">
        <v>255</v>
      </c>
      <c r="D21" s="103"/>
      <c r="E21" s="103"/>
      <c r="F21" s="104"/>
    </row>
    <row r="22" ht="18.0" customHeight="1">
      <c r="A22" s="115" t="s">
        <v>256</v>
      </c>
      <c r="B22" s="115" t="s">
        <v>257</v>
      </c>
      <c r="C22" s="116" t="s">
        <v>258</v>
      </c>
      <c r="D22" s="103"/>
      <c r="E22" s="103"/>
      <c r="F22" s="104"/>
    </row>
    <row r="23" ht="18.0" customHeight="1">
      <c r="A23" s="115" t="s">
        <v>259</v>
      </c>
      <c r="B23" s="115" t="s">
        <v>260</v>
      </c>
      <c r="C23" s="116" t="s">
        <v>261</v>
      </c>
      <c r="D23" s="103"/>
      <c r="E23" s="103"/>
      <c r="F23" s="104"/>
    </row>
    <row r="24" ht="18.0" customHeight="1">
      <c r="A24" s="115" t="s">
        <v>262</v>
      </c>
      <c r="B24" s="115" t="s">
        <v>263</v>
      </c>
      <c r="C24" s="116" t="s">
        <v>264</v>
      </c>
      <c r="D24" s="103"/>
      <c r="E24" s="103"/>
      <c r="F24" s="104"/>
    </row>
    <row r="25" ht="18.0" customHeight="1">
      <c r="A25" s="115" t="s">
        <v>265</v>
      </c>
      <c r="B25" s="115" t="s">
        <v>266</v>
      </c>
      <c r="C25" s="116" t="s">
        <v>267</v>
      </c>
      <c r="D25" s="103"/>
      <c r="E25" s="103"/>
      <c r="F25" s="104"/>
    </row>
    <row r="26" ht="13.5" customHeight="1"/>
    <row r="27" ht="13.5" customHeight="1"/>
    <row r="28" ht="21.75" customHeight="1">
      <c r="A28" s="102" t="s">
        <v>268</v>
      </c>
      <c r="B28" s="103"/>
      <c r="C28" s="103"/>
      <c r="D28" s="103"/>
      <c r="E28" s="103"/>
      <c r="F28" s="104"/>
    </row>
    <row r="29" ht="19.5" customHeight="1">
      <c r="A29" s="105" t="s">
        <v>269</v>
      </c>
      <c r="B29" s="103"/>
      <c r="C29" s="103"/>
      <c r="D29" s="103"/>
      <c r="E29" s="103"/>
      <c r="F29" s="104"/>
    </row>
    <row r="30" ht="13.5" customHeight="1"/>
    <row r="31" ht="19.5" customHeight="1">
      <c r="A31" s="106" t="s">
        <v>270</v>
      </c>
      <c r="B31" s="103"/>
      <c r="C31" s="103"/>
      <c r="D31" s="103"/>
      <c r="E31" s="103"/>
      <c r="F31" s="104"/>
    </row>
    <row r="32" ht="27.75" customHeight="1">
      <c r="A32" s="117" t="s">
        <v>271</v>
      </c>
      <c r="B32" s="104"/>
      <c r="C32" s="118" t="s">
        <v>272</v>
      </c>
      <c r="D32" s="103"/>
      <c r="E32" s="103"/>
      <c r="F32" s="104"/>
    </row>
    <row r="33" ht="27.75" customHeight="1">
      <c r="A33" s="117" t="s">
        <v>273</v>
      </c>
      <c r="B33" s="104"/>
      <c r="C33" s="118" t="s">
        <v>274</v>
      </c>
      <c r="D33" s="103"/>
      <c r="E33" s="103"/>
      <c r="F33" s="104"/>
    </row>
    <row r="34" ht="27.75" customHeight="1">
      <c r="A34" s="117" t="s">
        <v>275</v>
      </c>
      <c r="B34" s="104"/>
      <c r="C34" s="118" t="s">
        <v>276</v>
      </c>
      <c r="D34" s="103"/>
      <c r="E34" s="103"/>
      <c r="F34" s="104"/>
    </row>
    <row r="35" ht="13.5" customHeight="1"/>
    <row r="36" ht="19.5" customHeight="1">
      <c r="A36" s="106" t="s">
        <v>277</v>
      </c>
      <c r="B36" s="103"/>
      <c r="C36" s="103"/>
      <c r="D36" s="103"/>
      <c r="E36" s="103"/>
      <c r="F36" s="104"/>
    </row>
    <row r="37" ht="45.0" customHeight="1">
      <c r="A37" s="119" t="s">
        <v>278</v>
      </c>
      <c r="B37" s="120" t="s">
        <v>279</v>
      </c>
      <c r="C37" s="103"/>
      <c r="D37" s="104"/>
      <c r="E37" s="120" t="s">
        <v>280</v>
      </c>
      <c r="F37" s="104"/>
    </row>
    <row r="38" ht="45.0" customHeight="1">
      <c r="A38" s="119" t="s">
        <v>281</v>
      </c>
      <c r="B38" s="120" t="s">
        <v>282</v>
      </c>
      <c r="C38" s="103"/>
      <c r="D38" s="104"/>
      <c r="E38" s="120" t="s">
        <v>283</v>
      </c>
      <c r="F38" s="104"/>
    </row>
    <row r="39" ht="45.0" customHeight="1">
      <c r="A39" s="119" t="s">
        <v>284</v>
      </c>
      <c r="B39" s="120" t="s">
        <v>285</v>
      </c>
      <c r="C39" s="103"/>
      <c r="D39" s="104"/>
      <c r="E39" s="120" t="s">
        <v>286</v>
      </c>
      <c r="F39" s="104"/>
    </row>
    <row r="40" ht="45.0" customHeight="1">
      <c r="A40" s="119" t="s">
        <v>287</v>
      </c>
      <c r="B40" s="120" t="s">
        <v>288</v>
      </c>
      <c r="C40" s="103"/>
      <c r="D40" s="104"/>
      <c r="E40" s="120" t="s">
        <v>289</v>
      </c>
      <c r="F40" s="104"/>
    </row>
    <row r="41" ht="45.0" customHeight="1">
      <c r="A41" s="119" t="s">
        <v>290</v>
      </c>
      <c r="B41" s="120" t="s">
        <v>291</v>
      </c>
      <c r="C41" s="103"/>
      <c r="D41" s="104"/>
      <c r="E41" s="120" t="s">
        <v>292</v>
      </c>
      <c r="F41" s="104"/>
    </row>
    <row r="42" ht="45.0" customHeight="1">
      <c r="A42" s="119" t="s">
        <v>293</v>
      </c>
      <c r="B42" s="120" t="s">
        <v>294</v>
      </c>
      <c r="C42" s="103"/>
      <c r="D42" s="104"/>
      <c r="E42" s="120" t="s">
        <v>295</v>
      </c>
      <c r="F42" s="104"/>
    </row>
    <row r="43" ht="45.0" customHeight="1">
      <c r="A43" s="119" t="s">
        <v>296</v>
      </c>
      <c r="B43" s="120" t="s">
        <v>297</v>
      </c>
      <c r="C43" s="103"/>
      <c r="D43" s="104"/>
      <c r="E43" s="120" t="s">
        <v>298</v>
      </c>
      <c r="F43" s="104"/>
    </row>
    <row r="44" ht="13.5" customHeight="1"/>
    <row r="45" ht="19.5" customHeight="1">
      <c r="A45" s="106" t="s">
        <v>299</v>
      </c>
      <c r="B45" s="103"/>
      <c r="C45" s="103"/>
      <c r="D45" s="103"/>
      <c r="E45" s="103"/>
      <c r="F45" s="104"/>
    </row>
    <row r="46" ht="36.0" customHeight="1">
      <c r="A46" s="121" t="s">
        <v>300</v>
      </c>
      <c r="B46" s="104"/>
      <c r="C46" s="122" t="s">
        <v>301</v>
      </c>
      <c r="D46" s="103"/>
      <c r="E46" s="103"/>
      <c r="F46" s="104"/>
    </row>
    <row r="47" ht="36.0" customHeight="1">
      <c r="A47" s="123" t="s">
        <v>302</v>
      </c>
      <c r="B47" s="104"/>
      <c r="C47" s="124" t="s">
        <v>303</v>
      </c>
      <c r="D47" s="103"/>
      <c r="E47" s="103"/>
      <c r="F47" s="104"/>
    </row>
    <row r="48" ht="36.0" customHeight="1">
      <c r="A48" s="125" t="s">
        <v>304</v>
      </c>
      <c r="B48" s="104"/>
      <c r="C48" s="126" t="s">
        <v>305</v>
      </c>
      <c r="D48" s="103"/>
      <c r="E48" s="103"/>
      <c r="F48" s="104"/>
    </row>
    <row r="49" ht="36.0" customHeight="1">
      <c r="A49" s="127" t="s">
        <v>306</v>
      </c>
      <c r="B49" s="104"/>
      <c r="C49" s="128" t="s">
        <v>307</v>
      </c>
      <c r="D49" s="103"/>
      <c r="E49" s="103"/>
      <c r="F49" s="104"/>
    </row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5">
    <mergeCell ref="A48:B48"/>
    <mergeCell ref="C48:F48"/>
    <mergeCell ref="A49:B49"/>
    <mergeCell ref="C49:F49"/>
    <mergeCell ref="B43:D43"/>
    <mergeCell ref="E43:F43"/>
    <mergeCell ref="A45:F45"/>
    <mergeCell ref="A46:B46"/>
    <mergeCell ref="C46:F46"/>
    <mergeCell ref="A47:B47"/>
    <mergeCell ref="C47:F47"/>
    <mergeCell ref="A1:F1"/>
    <mergeCell ref="A2:F2"/>
    <mergeCell ref="A4:F4"/>
    <mergeCell ref="C5:F5"/>
    <mergeCell ref="C6:F6"/>
    <mergeCell ref="C7:F7"/>
    <mergeCell ref="C8:F8"/>
    <mergeCell ref="C9:F9"/>
    <mergeCell ref="A11:F11"/>
    <mergeCell ref="C12:F12"/>
    <mergeCell ref="C13:F13"/>
    <mergeCell ref="C14:F14"/>
    <mergeCell ref="C15:F15"/>
    <mergeCell ref="C16:F16"/>
    <mergeCell ref="C17:F17"/>
    <mergeCell ref="A19:F19"/>
    <mergeCell ref="B20:F20"/>
    <mergeCell ref="C21:F21"/>
    <mergeCell ref="C22:F22"/>
    <mergeCell ref="C23:F23"/>
    <mergeCell ref="C24:F24"/>
    <mergeCell ref="A33:B33"/>
    <mergeCell ref="A34:B34"/>
    <mergeCell ref="C25:F25"/>
    <mergeCell ref="A28:F28"/>
    <mergeCell ref="A29:F29"/>
    <mergeCell ref="A31:F31"/>
    <mergeCell ref="A32:B32"/>
    <mergeCell ref="C32:F32"/>
    <mergeCell ref="C33:F33"/>
    <mergeCell ref="C34:F34"/>
    <mergeCell ref="A36:F36"/>
    <mergeCell ref="B37:D37"/>
    <mergeCell ref="E37:F37"/>
    <mergeCell ref="B38:D38"/>
    <mergeCell ref="E38:F38"/>
    <mergeCell ref="E39:F39"/>
    <mergeCell ref="B39:D39"/>
    <mergeCell ref="B40:D40"/>
    <mergeCell ref="E40:F40"/>
    <mergeCell ref="B41:D41"/>
    <mergeCell ref="E41:F41"/>
    <mergeCell ref="B42:D42"/>
    <mergeCell ref="E42:F42"/>
  </mergeCells>
  <printOptions/>
  <pageMargins bottom="1.0" footer="0.0" header="0.0" left="0.75" right="0.75" top="1.0"/>
  <pageSetup orientation="portrait" paperHeight="20.078740157480315in" paperWidth="12.598425196850393i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33</v>
      </c>
      <c r="B1" s="4" t="s">
        <v>308</v>
      </c>
    </row>
    <row r="2">
      <c r="A2" s="129">
        <f>IFERROR(__xludf.DUMMYFUNCTION("UNIQUE(
  FILTER(
    {Decisions!A2:A1000; Softwares!A2:A1000; Hardwares!A2:A1000},
    {Decisions!A2:A1000; Softwares!A2:A1000; Hardwares!A2:A1000} &lt;&gt; """"
  )
)"),1.0)</f>
        <v>1</v>
      </c>
      <c r="B2" s="14">
        <v>1.0</v>
      </c>
    </row>
    <row r="3">
      <c r="A3" s="129">
        <f>IFERROR(__xludf.DUMMYFUNCTION("""COMPUTED_VALUE"""),2.0)</f>
        <v>2</v>
      </c>
      <c r="B3" s="14">
        <v>1.0</v>
      </c>
    </row>
    <row r="4">
      <c r="A4" s="129">
        <f>IFERROR(__xludf.DUMMYFUNCTION("""COMPUTED_VALUE"""),3.0)</f>
        <v>3</v>
      </c>
      <c r="B4" s="14">
        <v>1.0</v>
      </c>
    </row>
    <row r="5">
      <c r="A5" s="129">
        <f>IFERROR(__xludf.DUMMYFUNCTION("""COMPUTED_VALUE"""),4.0)</f>
        <v>4</v>
      </c>
      <c r="B5" s="14">
        <v>1.0</v>
      </c>
    </row>
    <row r="6">
      <c r="A6" s="129">
        <f>IFERROR(__xludf.DUMMYFUNCTION("""COMPUTED_VALUE"""),5.0)</f>
        <v>5</v>
      </c>
      <c r="B6" s="14">
        <v>1.0</v>
      </c>
    </row>
    <row r="7">
      <c r="A7" s="129">
        <f>IFERROR(__xludf.DUMMYFUNCTION("""COMPUTED_VALUE"""),6.0)</f>
        <v>6</v>
      </c>
      <c r="B7" s="14">
        <v>1.0</v>
      </c>
    </row>
    <row r="8">
      <c r="A8" s="129">
        <f>IFERROR(__xludf.DUMMYFUNCTION("""COMPUTED_VALUE"""),7.0)</f>
        <v>7</v>
      </c>
      <c r="B8" s="14">
        <v>1.0</v>
      </c>
    </row>
    <row r="9">
      <c r="A9" s="129">
        <f>IFERROR(__xludf.DUMMYFUNCTION("""COMPUTED_VALUE"""),8.0)</f>
        <v>8</v>
      </c>
      <c r="B9" s="14">
        <v>1.0</v>
      </c>
    </row>
    <row r="10">
      <c r="A10" s="129">
        <f>IFERROR(__xludf.DUMMYFUNCTION("""COMPUTED_VALUE"""),9.0)</f>
        <v>9</v>
      </c>
      <c r="B10" s="14">
        <v>1.0</v>
      </c>
    </row>
    <row r="11">
      <c r="A11" s="129">
        <f>IFERROR(__xludf.DUMMYFUNCTION("""COMPUTED_VALUE"""),10.0)</f>
        <v>10</v>
      </c>
      <c r="B11" s="14">
        <v>1.0</v>
      </c>
    </row>
    <row r="12">
      <c r="A12" s="129">
        <f>IFERROR(__xludf.DUMMYFUNCTION("""COMPUTED_VALUE"""),11.0)</f>
        <v>11</v>
      </c>
      <c r="B12" s="14">
        <v>1.0</v>
      </c>
    </row>
    <row r="13">
      <c r="A13" s="129">
        <f>IFERROR(__xludf.DUMMYFUNCTION("""COMPUTED_VALUE"""),12.0)</f>
        <v>12</v>
      </c>
      <c r="B13" s="14">
        <v>1.0</v>
      </c>
    </row>
    <row r="14">
      <c r="A14" s="129">
        <f>IFERROR(__xludf.DUMMYFUNCTION("""COMPUTED_VALUE"""),13.0)</f>
        <v>13</v>
      </c>
      <c r="B14" s="14">
        <v>1.0</v>
      </c>
    </row>
    <row r="15">
      <c r="A15" s="129">
        <f>IFERROR(__xludf.DUMMYFUNCTION("""COMPUTED_VALUE"""),14.0)</f>
        <v>14</v>
      </c>
      <c r="B15" s="14">
        <v>1.0</v>
      </c>
    </row>
    <row r="16">
      <c r="A16" s="129">
        <f>IFERROR(__xludf.DUMMYFUNCTION("""COMPUTED_VALUE"""),15.0)</f>
        <v>15</v>
      </c>
      <c r="B16" s="14">
        <v>1.0</v>
      </c>
    </row>
    <row r="17">
      <c r="A17" s="129">
        <f>IFERROR(__xludf.DUMMYFUNCTION("""COMPUTED_VALUE"""),16.0)</f>
        <v>16</v>
      </c>
      <c r="B17" s="14">
        <v>1.0</v>
      </c>
    </row>
    <row r="18">
      <c r="A18" s="129">
        <f>IFERROR(__xludf.DUMMYFUNCTION("""COMPUTED_VALUE"""),17.0)</f>
        <v>17</v>
      </c>
      <c r="B18" s="14">
        <v>1.0</v>
      </c>
    </row>
    <row r="19">
      <c r="A19" s="129">
        <f>IFERROR(__xludf.DUMMYFUNCTION("""COMPUTED_VALUE"""),18.0)</f>
        <v>18</v>
      </c>
      <c r="B19" s="14">
        <v>1.0</v>
      </c>
    </row>
    <row r="20">
      <c r="A20" s="129">
        <f>IFERROR(__xludf.DUMMYFUNCTION("""COMPUTED_VALUE"""),19.0)</f>
        <v>19</v>
      </c>
      <c r="B20" s="14">
        <v>1.0</v>
      </c>
    </row>
    <row r="21">
      <c r="A21" s="129">
        <f>IFERROR(__xludf.DUMMYFUNCTION("""COMPUTED_VALUE"""),20.0)</f>
        <v>20</v>
      </c>
      <c r="B21" s="14">
        <v>1.0</v>
      </c>
    </row>
    <row r="22">
      <c r="A22" s="129">
        <f>IFERROR(__xludf.DUMMYFUNCTION("""COMPUTED_VALUE"""),21.0)</f>
        <v>21</v>
      </c>
      <c r="B22" s="14">
        <v>1.0</v>
      </c>
    </row>
    <row r="23">
      <c r="A23" s="129">
        <f>IFERROR(__xludf.DUMMYFUNCTION("""COMPUTED_VALUE"""),22.0)</f>
        <v>22</v>
      </c>
      <c r="B23" s="14">
        <v>1.0</v>
      </c>
    </row>
    <row r="24">
      <c r="A24" s="129">
        <f>IFERROR(__xludf.DUMMYFUNCTION("""COMPUTED_VALUE"""),23.0)</f>
        <v>23</v>
      </c>
      <c r="B24" s="24">
        <v>2.0</v>
      </c>
    </row>
    <row r="25">
      <c r="A25" s="129">
        <f>IFERROR(__xludf.DUMMYFUNCTION("""COMPUTED_VALUE"""),24.0)</f>
        <v>24</v>
      </c>
      <c r="B25" s="31">
        <v>3.0</v>
      </c>
    </row>
    <row r="26">
      <c r="A26" s="129">
        <f>IFERROR(__xludf.DUMMYFUNCTION("""COMPUTED_VALUE"""),25.0)</f>
        <v>25</v>
      </c>
      <c r="B26" s="31">
        <v>3.0</v>
      </c>
    </row>
    <row r="27">
      <c r="A27" s="129">
        <f>IFERROR(__xludf.DUMMYFUNCTION("""COMPUTED_VALUE"""),26.0)</f>
        <v>26</v>
      </c>
      <c r="B27" s="31">
        <v>3.0</v>
      </c>
    </row>
    <row r="28">
      <c r="A28" s="129">
        <f>IFERROR(__xludf.DUMMYFUNCTION("""COMPUTED_VALUE"""),27.0)</f>
        <v>27</v>
      </c>
      <c r="B28" s="31">
        <v>3.0</v>
      </c>
    </row>
    <row r="29">
      <c r="A29" s="129">
        <f>IFERROR(__xludf.DUMMYFUNCTION("""COMPUTED_VALUE"""),28.0)</f>
        <v>28</v>
      </c>
      <c r="B29" s="31">
        <v>3.0</v>
      </c>
    </row>
    <row r="30">
      <c r="A30" s="129">
        <f>IFERROR(__xludf.DUMMYFUNCTION("""COMPUTED_VALUE"""),29.0)</f>
        <v>29</v>
      </c>
      <c r="B30" s="31">
        <v>3.0</v>
      </c>
    </row>
    <row r="31">
      <c r="A31" s="129">
        <f>IFERROR(__xludf.DUMMYFUNCTION("""COMPUTED_VALUE"""),30.0)</f>
        <v>30</v>
      </c>
      <c r="B31" s="31">
        <v>3.0</v>
      </c>
    </row>
    <row r="32">
      <c r="A32" s="129">
        <f>IFERROR(__xludf.DUMMYFUNCTION("""COMPUTED_VALUE"""),31.0)</f>
        <v>31</v>
      </c>
      <c r="B32" s="31">
        <v>3.0</v>
      </c>
    </row>
    <row r="33">
      <c r="A33" s="129">
        <f>IFERROR(__xludf.DUMMYFUNCTION("""COMPUTED_VALUE"""),32.0)</f>
        <v>32</v>
      </c>
      <c r="B33" s="31">
        <v>3.0</v>
      </c>
    </row>
    <row r="34">
      <c r="A34" s="129">
        <f>IFERROR(__xludf.DUMMYFUNCTION("""COMPUTED_VALUE"""),33.0)</f>
        <v>33</v>
      </c>
      <c r="B34" s="31">
        <v>3.0</v>
      </c>
    </row>
    <row r="35">
      <c r="A35" s="129">
        <f>IFERROR(__xludf.DUMMYFUNCTION("""COMPUTED_VALUE"""),34.0)</f>
        <v>34</v>
      </c>
      <c r="B35" s="31">
        <v>3.0</v>
      </c>
    </row>
    <row r="36">
      <c r="A36" s="129">
        <f>IFERROR(__xludf.DUMMYFUNCTION("""COMPUTED_VALUE"""),35.0)</f>
        <v>35</v>
      </c>
      <c r="B36" s="31">
        <v>3.0</v>
      </c>
    </row>
    <row r="37">
      <c r="A37" s="129">
        <f>IFERROR(__xludf.DUMMYFUNCTION("""COMPUTED_VALUE"""),36.0)</f>
        <v>36</v>
      </c>
      <c r="B37" s="31">
        <v>3.0</v>
      </c>
    </row>
    <row r="38">
      <c r="A38" s="129">
        <f>IFERROR(__xludf.DUMMYFUNCTION("""COMPUTED_VALUE"""),37.0)</f>
        <v>37</v>
      </c>
      <c r="B38" s="31">
        <v>3.0</v>
      </c>
    </row>
    <row r="39">
      <c r="A39" s="129">
        <f>IFERROR(__xludf.DUMMYFUNCTION("""COMPUTED_VALUE"""),38.0)</f>
        <v>38</v>
      </c>
      <c r="B39" s="31">
        <v>3.0</v>
      </c>
    </row>
    <row r="40">
      <c r="A40" s="129">
        <f>IFERROR(__xludf.DUMMYFUNCTION("""COMPUTED_VALUE"""),39.0)</f>
        <v>39</v>
      </c>
      <c r="B40" s="31">
        <v>3.0</v>
      </c>
    </row>
    <row r="41">
      <c r="A41" s="129">
        <f>IFERROR(__xludf.DUMMYFUNCTION("""COMPUTED_VALUE"""),40.0)</f>
        <v>40</v>
      </c>
      <c r="B41" s="31">
        <v>3.0</v>
      </c>
    </row>
    <row r="42">
      <c r="A42" s="129">
        <f>IFERROR(__xludf.DUMMYFUNCTION("""COMPUTED_VALUE"""),41.0)</f>
        <v>41</v>
      </c>
      <c r="B42" s="31">
        <v>3.0</v>
      </c>
    </row>
    <row r="43">
      <c r="A43" s="129">
        <f>IFERROR(__xludf.DUMMYFUNCTION("""COMPUTED_VALUE"""),42.0)</f>
        <v>42</v>
      </c>
      <c r="B43" s="31">
        <v>3.0</v>
      </c>
    </row>
    <row r="44">
      <c r="A44" s="129">
        <f>IFERROR(__xludf.DUMMYFUNCTION("""COMPUTED_VALUE"""),43.0)</f>
        <v>43</v>
      </c>
      <c r="B44" s="31">
        <v>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3.29"/>
    <col customWidth="1" min="3" max="4" width="10.43"/>
    <col customWidth="1" min="5" max="5" width="10.29"/>
    <col customWidth="1" min="6" max="6" width="10.14"/>
  </cols>
  <sheetData>
    <row r="1">
      <c r="A1" s="130" t="s">
        <v>33</v>
      </c>
      <c r="B1" s="58" t="s">
        <v>193</v>
      </c>
      <c r="C1" s="131" t="s">
        <v>271</v>
      </c>
      <c r="D1" s="131" t="s">
        <v>273</v>
      </c>
      <c r="E1" s="132" t="s">
        <v>309</v>
      </c>
      <c r="F1" s="132" t="s">
        <v>310</v>
      </c>
    </row>
    <row r="2">
      <c r="A2" s="133">
        <f>IFERROR(__xludf.DUMMYFUNCTION("ARRAYFORMULA(QUERY(SPLIT(FLATTEN(FILTER(Decisions!A2:A999, NOT(ISBLANK(Decisions!A2:A999))) &amp; ""*"" &amp; TRANSPOSE(FILTER(Processes!A2:A999, NOT(ISBLANK(Processes!A2:A999))))),""*""),""where Col1 is not null and Col2 is not null"",0))"),1.0)</f>
        <v>1</v>
      </c>
      <c r="B2" s="90">
        <f>IFERROR(__xludf.DUMMYFUNCTION("""COMPUTED_VALUE"""),1.0)</f>
        <v>1</v>
      </c>
      <c r="C2" s="134">
        <f t="array" ref="C2:C999">IF(ISBLANK(A2:A999), "",
    IFNA(
      LET(
        vlookup_result, VLOOKUP(A2:A999 &amp; "|" &amp; B2:B999, {CardsWeight!A2:A999 &amp; "|" &amp; CardsWeight!B2:B999 , CardsWeight!C2:Z999}, MATCH("Weight_X", CardsWeight!C1:Z1, 0) + 1, FALSE),
        IF(vlookup_result = "", NA(), vlookup_result)
      ),
      IFNA(
        LET(
          xlookup1_result, XLOOKUP(A2:A999, Decisions!$A:$A, INDEX(Decisions!$A:$Z, 0, MATCH("Default_Weight_X", Decisions!$1:$1, 0))),
          IF(xlookup1_result = "", NA(), xlookup1_result)
        ),
        IFNA(
          LET(
            xlookup2_result, XLOOKUP(B2:B999, Processes!$A:$A, INDEX(Processes!$A:$J, 0, MATCH("Default_Weight_X", Processes!$1:$1, 0))),
            IF(xlookup2_result = "", NA(), xlookup2_result)
          ),
          50
        )
      )
    )
  )</f>
        <v>10</v>
      </c>
      <c r="D2" s="134">
        <f t="array" ref="D2:D999">IF(ISBLANK(A2:A999), "",
    IFNA(
      LET(
        vlookup_result, VLOOKUP(A2:A999 &amp; "|" &amp; B2:B999, {CardsWeight!A2:A999 &amp; "|" &amp; CardsWeight!B2:B999 , CardsWeight!C2:Z999}, MATCH("Weight_Y", CardsWeight!C1:Z1, 0) + 1, FALSE),
        IF(vlookup_result = "", NA(), vlookup_result)
      ),
      IFNA(
        LET(
          xlookup1_result, XLOOKUP(A2:A999, Decisions!$A:$A, INDEX(Decisions!$A:$Z, 0, MATCH("Default_Weight_Y", Decisions!$1:$1, 0))),
          IF(xlookup1_result = "", NA(), xlookup1_result)
        ),
        IFNA(
          LET(
            xlookup2_result, XLOOKUP(B2:B999, Processes!$A:$A, INDEX(Processes!$A:$J, 0, MATCH("Default_Weight_Y", Processes!$1:$1, 0))),
            IF(xlookup2_result = "", NA(), xlookup2_result)
          ),
          50
        )
      )
    )
  )</f>
        <v>10</v>
      </c>
      <c r="E2" s="90">
        <f t="array" ref="E2:E999">IF(ISBLANK(A2:A999), "",
    IFNA(
      LET(
        vlookup_result, VLOOKUP(A2:A999 &amp; "|" &amp; B2:B999, {CardsWeight!A2:A999 &amp; "|" &amp; CardsWeight!B2:B999 , CardsWeight!C2:Z999}, MATCH("Booster_X", CardsWeight!C1:Z1, 0) + 1, FALSE),
        IF(vlookup_result = "", NA(), vlookup_result)
      ),
      IFNA(
        LET(
          xlookup1_result, XLOOKUP(A2:A999, Decisions!$A:$A, INDEX(Decisions!$A:$Z, 0, MATCH("Default_Booster_X", Decisions!$1:$1, 0))),
          IF(xlookup1_result = "", NA(), xlookup1_result)
        ),
        IFNA(
          LET(
            xlookup2_result, XLOOKUP(B2:B999, Processes!$A:$A, INDEX(Processes!$A:$J, 0, MATCH("Default_Booster_X", Processes!$1:$1, 0))),
            IF(xlookup2_result = "", NA(), xlookup2_result)
          ),
          1
        )
      )
    )
  )</f>
        <v>1</v>
      </c>
      <c r="F2" s="90">
        <f t="array" ref="F2:F999">IF(ISBLANK(A2:A999), "",
    IFNA(
      LET(
        vlookup_result, VLOOKUP(A2:A999 &amp; "|" &amp; B2:B999, {CardsWeight!A2:A999 &amp; "|" &amp; CardsWeight!B2:B999 , CardsWeight!C2:Z999}, MATCH("Booster_Y", CardsWeight!C1:Z1, 0) + 1, FALSE),
        IF(vlookup_result = "", NA(), vlookup_result)
      ),
      IFNA(
        LET(
          xlookup1_result, XLOOKUP(A2:A999, Decisions!$A:$A, INDEX(Decisions!$A:$Z, 0, MATCH("Default_Booster_Y", Decisions!$1:$1, 0))),
          IF(xlookup1_result = "", NA(), xlookup1_result)
        ),
        IFNA(
          LET(
            xlookup2_result, XLOOKUP(B2:B999, Processes!$A:$A, INDEX(Processes!$A:$J, 0, MATCH("Default_Booster_Y", Processes!$1:$1, 0))),
            IF(xlookup2_result = "", NA(), xlookup2_result)
          ),
          1
        )
      )
    )
  )</f>
        <v>1</v>
      </c>
    </row>
    <row r="3">
      <c r="A3" s="133">
        <f>IFERROR(__xludf.DUMMYFUNCTION("""COMPUTED_VALUE"""),1.0)</f>
        <v>1</v>
      </c>
      <c r="B3" s="90">
        <f>IFERROR(__xludf.DUMMYFUNCTION("""COMPUTED_VALUE"""),2.0)</f>
        <v>2</v>
      </c>
      <c r="C3" s="135">
        <v>5.0</v>
      </c>
      <c r="D3" s="134">
        <v>5.0</v>
      </c>
      <c r="E3" s="135">
        <v>1.0</v>
      </c>
      <c r="F3" s="90">
        <v>1.0</v>
      </c>
    </row>
    <row r="4">
      <c r="A4" s="133">
        <f>IFERROR(__xludf.DUMMYFUNCTION("""COMPUTED_VALUE"""),1.0)</f>
        <v>1</v>
      </c>
      <c r="B4" s="90">
        <f>IFERROR(__xludf.DUMMYFUNCTION("""COMPUTED_VALUE"""),3.0)</f>
        <v>3</v>
      </c>
      <c r="C4" s="135">
        <v>10.0</v>
      </c>
      <c r="D4" s="134">
        <v>10.0</v>
      </c>
      <c r="E4" s="90">
        <v>1.0</v>
      </c>
      <c r="F4" s="90">
        <v>1.0</v>
      </c>
    </row>
    <row r="5">
      <c r="A5" s="133">
        <f>IFERROR(__xludf.DUMMYFUNCTION("""COMPUTED_VALUE"""),1.0)</f>
        <v>1</v>
      </c>
      <c r="B5" s="90">
        <f>IFERROR(__xludf.DUMMYFUNCTION("""COMPUTED_VALUE"""),4.0)</f>
        <v>4</v>
      </c>
      <c r="C5" s="135">
        <v>5.0</v>
      </c>
      <c r="D5" s="134">
        <v>5.0</v>
      </c>
      <c r="E5" s="90">
        <v>1.0</v>
      </c>
      <c r="F5" s="90">
        <v>1.0</v>
      </c>
    </row>
    <row r="6">
      <c r="A6" s="133">
        <f>IFERROR(__xludf.DUMMYFUNCTION("""COMPUTED_VALUE"""),2.0)</f>
        <v>2</v>
      </c>
      <c r="B6" s="90">
        <f>IFERROR(__xludf.DUMMYFUNCTION("""COMPUTED_VALUE"""),1.0)</f>
        <v>1</v>
      </c>
      <c r="C6" s="135">
        <v>5.0</v>
      </c>
      <c r="D6" s="134">
        <v>8.0</v>
      </c>
      <c r="E6" s="90">
        <v>1.0</v>
      </c>
      <c r="F6" s="90">
        <v>1.0</v>
      </c>
    </row>
    <row r="7">
      <c r="A7" s="133">
        <f>IFERROR(__xludf.DUMMYFUNCTION("""COMPUTED_VALUE"""),2.0)</f>
        <v>2</v>
      </c>
      <c r="B7" s="90">
        <f>IFERROR(__xludf.DUMMYFUNCTION("""COMPUTED_VALUE"""),2.0)</f>
        <v>2</v>
      </c>
      <c r="C7" s="135">
        <v>15.0</v>
      </c>
      <c r="D7" s="134">
        <v>15.0</v>
      </c>
      <c r="E7" s="90">
        <v>1.0</v>
      </c>
      <c r="F7" s="90">
        <v>1.0</v>
      </c>
    </row>
    <row r="8">
      <c r="A8" s="133">
        <f>IFERROR(__xludf.DUMMYFUNCTION("""COMPUTED_VALUE"""),2.0)</f>
        <v>2</v>
      </c>
      <c r="B8" s="90">
        <f>IFERROR(__xludf.DUMMYFUNCTION("""COMPUTED_VALUE"""),3.0)</f>
        <v>3</v>
      </c>
      <c r="C8" s="135">
        <v>8.0</v>
      </c>
      <c r="D8" s="134">
        <v>12.0</v>
      </c>
      <c r="E8" s="90">
        <v>1.0</v>
      </c>
      <c r="F8" s="90">
        <v>1.0</v>
      </c>
    </row>
    <row r="9">
      <c r="A9" s="133">
        <f>IFERROR(__xludf.DUMMYFUNCTION("""COMPUTED_VALUE"""),2.0)</f>
        <v>2</v>
      </c>
      <c r="B9" s="90">
        <f>IFERROR(__xludf.DUMMYFUNCTION("""COMPUTED_VALUE"""),4.0)</f>
        <v>4</v>
      </c>
      <c r="C9" s="135">
        <v>15.0</v>
      </c>
      <c r="D9" s="134">
        <v>15.0</v>
      </c>
      <c r="E9" s="90">
        <v>1.0</v>
      </c>
      <c r="F9" s="90">
        <v>1.0</v>
      </c>
    </row>
    <row r="10">
      <c r="A10" s="133">
        <f>IFERROR(__xludf.DUMMYFUNCTION("""COMPUTED_VALUE"""),3.0)</f>
        <v>3</v>
      </c>
      <c r="B10" s="90">
        <f>IFERROR(__xludf.DUMMYFUNCTION("""COMPUTED_VALUE"""),1.0)</f>
        <v>1</v>
      </c>
      <c r="C10" s="135">
        <v>8.0</v>
      </c>
      <c r="D10" s="134">
        <v>10.0</v>
      </c>
      <c r="E10" s="90">
        <v>1.0</v>
      </c>
      <c r="F10" s="90">
        <v>1.0</v>
      </c>
    </row>
    <row r="11">
      <c r="A11" s="133">
        <f>IFERROR(__xludf.DUMMYFUNCTION("""COMPUTED_VALUE"""),3.0)</f>
        <v>3</v>
      </c>
      <c r="B11" s="90">
        <f>IFERROR(__xludf.DUMMYFUNCTION("""COMPUTED_VALUE"""),2.0)</f>
        <v>2</v>
      </c>
      <c r="C11" s="135">
        <v>10.0</v>
      </c>
      <c r="D11" s="134">
        <v>12.0</v>
      </c>
      <c r="E11" s="90">
        <v>1.0</v>
      </c>
      <c r="F11" s="90">
        <v>1.0</v>
      </c>
    </row>
    <row r="12">
      <c r="A12" s="133">
        <f>IFERROR(__xludf.DUMMYFUNCTION("""COMPUTED_VALUE"""),3.0)</f>
        <v>3</v>
      </c>
      <c r="B12" s="90">
        <f>IFERROR(__xludf.DUMMYFUNCTION("""COMPUTED_VALUE"""),3.0)</f>
        <v>3</v>
      </c>
      <c r="C12" s="134">
        <v>8.0</v>
      </c>
      <c r="D12" s="134">
        <v>10.0</v>
      </c>
      <c r="E12" s="90">
        <v>1.0</v>
      </c>
      <c r="F12" s="90">
        <v>1.0</v>
      </c>
    </row>
    <row r="13">
      <c r="A13" s="133">
        <f>IFERROR(__xludf.DUMMYFUNCTION("""COMPUTED_VALUE"""),3.0)</f>
        <v>3</v>
      </c>
      <c r="B13" s="90">
        <f>IFERROR(__xludf.DUMMYFUNCTION("""COMPUTED_VALUE"""),4.0)</f>
        <v>4</v>
      </c>
      <c r="C13" s="134">
        <v>12.0</v>
      </c>
      <c r="D13" s="134">
        <v>15.0</v>
      </c>
      <c r="E13" s="90">
        <v>1.0</v>
      </c>
      <c r="F13" s="90">
        <v>1.0</v>
      </c>
    </row>
    <row r="14">
      <c r="A14" s="133">
        <f>IFERROR(__xludf.DUMMYFUNCTION("""COMPUTED_VALUE"""),4.0)</f>
        <v>4</v>
      </c>
      <c r="B14" s="90">
        <f>IFERROR(__xludf.DUMMYFUNCTION("""COMPUTED_VALUE"""),1.0)</f>
        <v>1</v>
      </c>
      <c r="C14" s="134">
        <v>5.0</v>
      </c>
      <c r="D14" s="134">
        <v>5.0</v>
      </c>
      <c r="E14" s="90">
        <v>1.0</v>
      </c>
      <c r="F14" s="90">
        <v>1.0</v>
      </c>
    </row>
    <row r="15">
      <c r="A15" s="133">
        <f>IFERROR(__xludf.DUMMYFUNCTION("""COMPUTED_VALUE"""),4.0)</f>
        <v>4</v>
      </c>
      <c r="B15" s="90">
        <f>IFERROR(__xludf.DUMMYFUNCTION("""COMPUTED_VALUE"""),2.0)</f>
        <v>2</v>
      </c>
      <c r="C15" s="134">
        <v>10.0</v>
      </c>
      <c r="D15" s="134">
        <v>10.0</v>
      </c>
      <c r="E15" s="90">
        <v>1.0</v>
      </c>
      <c r="F15" s="90">
        <v>1.0</v>
      </c>
    </row>
    <row r="16">
      <c r="A16" s="133">
        <f>IFERROR(__xludf.DUMMYFUNCTION("""COMPUTED_VALUE"""),4.0)</f>
        <v>4</v>
      </c>
      <c r="B16" s="90">
        <f>IFERROR(__xludf.DUMMYFUNCTION("""COMPUTED_VALUE"""),3.0)</f>
        <v>3</v>
      </c>
      <c r="C16" s="134">
        <v>15.0</v>
      </c>
      <c r="D16" s="134">
        <v>15.0</v>
      </c>
      <c r="E16" s="90">
        <v>1.0</v>
      </c>
      <c r="F16" s="90">
        <v>1.0</v>
      </c>
    </row>
    <row r="17">
      <c r="A17" s="133">
        <f>IFERROR(__xludf.DUMMYFUNCTION("""COMPUTED_VALUE"""),4.0)</f>
        <v>4</v>
      </c>
      <c r="B17" s="90">
        <f>IFERROR(__xludf.DUMMYFUNCTION("""COMPUTED_VALUE"""),4.0)</f>
        <v>4</v>
      </c>
      <c r="C17" s="134">
        <v>5.0</v>
      </c>
      <c r="D17" s="134">
        <v>5.0</v>
      </c>
      <c r="E17" s="90">
        <v>1.0</v>
      </c>
      <c r="F17" s="90">
        <v>1.0</v>
      </c>
    </row>
    <row r="18">
      <c r="A18" s="133">
        <f>IFERROR(__xludf.DUMMYFUNCTION("""COMPUTED_VALUE"""),5.0)</f>
        <v>5</v>
      </c>
      <c r="B18" s="90">
        <f>IFERROR(__xludf.DUMMYFUNCTION("""COMPUTED_VALUE"""),1.0)</f>
        <v>1</v>
      </c>
      <c r="C18" s="134">
        <v>10.0</v>
      </c>
      <c r="D18" s="134">
        <v>8.0</v>
      </c>
      <c r="E18" s="90">
        <v>1.0</v>
      </c>
      <c r="F18" s="90">
        <v>1.0</v>
      </c>
    </row>
    <row r="19">
      <c r="A19" s="133">
        <f>IFERROR(__xludf.DUMMYFUNCTION("""COMPUTED_VALUE"""),5.0)</f>
        <v>5</v>
      </c>
      <c r="B19" s="90">
        <f>IFERROR(__xludf.DUMMYFUNCTION("""COMPUTED_VALUE"""),2.0)</f>
        <v>2</v>
      </c>
      <c r="C19" s="134">
        <v>5.0</v>
      </c>
      <c r="D19" s="134">
        <v>5.0</v>
      </c>
      <c r="E19" s="90">
        <v>1.0</v>
      </c>
      <c r="F19" s="90">
        <v>1.0</v>
      </c>
    </row>
    <row r="20">
      <c r="A20" s="133">
        <f>IFERROR(__xludf.DUMMYFUNCTION("""COMPUTED_VALUE"""),5.0)</f>
        <v>5</v>
      </c>
      <c r="B20" s="90">
        <f>IFERROR(__xludf.DUMMYFUNCTION("""COMPUTED_VALUE"""),3.0)</f>
        <v>3</v>
      </c>
      <c r="C20" s="134">
        <v>5.0</v>
      </c>
      <c r="D20" s="134">
        <v>5.0</v>
      </c>
      <c r="E20" s="90">
        <v>1.0</v>
      </c>
      <c r="F20" s="90">
        <v>1.0</v>
      </c>
    </row>
    <row r="21">
      <c r="A21" s="133">
        <f>IFERROR(__xludf.DUMMYFUNCTION("""COMPUTED_VALUE"""),5.0)</f>
        <v>5</v>
      </c>
      <c r="B21" s="90">
        <f>IFERROR(__xludf.DUMMYFUNCTION("""COMPUTED_VALUE"""),4.0)</f>
        <v>4</v>
      </c>
      <c r="C21" s="134">
        <v>10.0</v>
      </c>
      <c r="D21" s="134">
        <v>12.0</v>
      </c>
      <c r="E21" s="90">
        <v>1.0</v>
      </c>
      <c r="F21" s="90">
        <v>1.0</v>
      </c>
    </row>
    <row r="22">
      <c r="A22" s="133">
        <f>IFERROR(__xludf.DUMMYFUNCTION("""COMPUTED_VALUE"""),6.0)</f>
        <v>6</v>
      </c>
      <c r="B22" s="90">
        <f>IFERROR(__xludf.DUMMYFUNCTION("""COMPUTED_VALUE"""),1.0)</f>
        <v>1</v>
      </c>
      <c r="C22" s="134">
        <v>5.0</v>
      </c>
      <c r="D22" s="134">
        <v>5.0</v>
      </c>
      <c r="E22" s="90">
        <v>1.0</v>
      </c>
      <c r="F22" s="90">
        <v>1.0</v>
      </c>
    </row>
    <row r="23">
      <c r="A23" s="133">
        <f>IFERROR(__xludf.DUMMYFUNCTION("""COMPUTED_VALUE"""),6.0)</f>
        <v>6</v>
      </c>
      <c r="B23" s="90">
        <f>IFERROR(__xludf.DUMMYFUNCTION("""COMPUTED_VALUE"""),2.0)</f>
        <v>2</v>
      </c>
      <c r="C23" s="134">
        <v>10.0</v>
      </c>
      <c r="D23" s="134">
        <v>12.0</v>
      </c>
      <c r="E23" s="90">
        <v>1.0</v>
      </c>
      <c r="F23" s="90">
        <v>1.0</v>
      </c>
    </row>
    <row r="24">
      <c r="A24" s="133">
        <f>IFERROR(__xludf.DUMMYFUNCTION("""COMPUTED_VALUE"""),6.0)</f>
        <v>6</v>
      </c>
      <c r="B24" s="90">
        <f>IFERROR(__xludf.DUMMYFUNCTION("""COMPUTED_VALUE"""),3.0)</f>
        <v>3</v>
      </c>
      <c r="C24" s="134">
        <v>5.0</v>
      </c>
      <c r="D24" s="134">
        <v>8.0</v>
      </c>
      <c r="E24" s="90">
        <v>1.0</v>
      </c>
      <c r="F24" s="90">
        <v>1.0</v>
      </c>
    </row>
    <row r="25">
      <c r="A25" s="133">
        <f>IFERROR(__xludf.DUMMYFUNCTION("""COMPUTED_VALUE"""),6.0)</f>
        <v>6</v>
      </c>
      <c r="B25" s="90">
        <f>IFERROR(__xludf.DUMMYFUNCTION("""COMPUTED_VALUE"""),4.0)</f>
        <v>4</v>
      </c>
      <c r="C25" s="134">
        <v>12.0</v>
      </c>
      <c r="D25" s="134">
        <v>15.0</v>
      </c>
      <c r="E25" s="90">
        <v>1.0</v>
      </c>
      <c r="F25" s="90">
        <v>1.0</v>
      </c>
    </row>
    <row r="26">
      <c r="A26" s="133">
        <f>IFERROR(__xludf.DUMMYFUNCTION("""COMPUTED_VALUE"""),7.0)</f>
        <v>7</v>
      </c>
      <c r="B26" s="90">
        <f>IFERROR(__xludf.DUMMYFUNCTION("""COMPUTED_VALUE"""),1.0)</f>
        <v>1</v>
      </c>
      <c r="C26" s="134">
        <v>15.0</v>
      </c>
      <c r="D26" s="134">
        <v>18.0</v>
      </c>
      <c r="E26" s="90">
        <v>1.0</v>
      </c>
      <c r="F26" s="90">
        <v>1.0</v>
      </c>
    </row>
    <row r="27">
      <c r="A27" s="133">
        <f>IFERROR(__xludf.DUMMYFUNCTION("""COMPUTED_VALUE"""),7.0)</f>
        <v>7</v>
      </c>
      <c r="B27" s="90">
        <f>IFERROR(__xludf.DUMMYFUNCTION("""COMPUTED_VALUE"""),2.0)</f>
        <v>2</v>
      </c>
      <c r="C27" s="134">
        <v>3.0</v>
      </c>
      <c r="D27" s="134">
        <v>3.0</v>
      </c>
      <c r="E27" s="90">
        <v>1.0</v>
      </c>
      <c r="F27" s="90">
        <v>1.0</v>
      </c>
    </row>
    <row r="28">
      <c r="A28" s="133">
        <f>IFERROR(__xludf.DUMMYFUNCTION("""COMPUTED_VALUE"""),7.0)</f>
        <v>7</v>
      </c>
      <c r="B28" s="90">
        <f>IFERROR(__xludf.DUMMYFUNCTION("""COMPUTED_VALUE"""),3.0)</f>
        <v>3</v>
      </c>
      <c r="C28" s="134">
        <v>5.0</v>
      </c>
      <c r="D28" s="134">
        <v>5.0</v>
      </c>
      <c r="E28" s="90">
        <v>1.0</v>
      </c>
      <c r="F28" s="90">
        <v>1.0</v>
      </c>
    </row>
    <row r="29">
      <c r="A29" s="133">
        <f>IFERROR(__xludf.DUMMYFUNCTION("""COMPUTED_VALUE"""),7.0)</f>
        <v>7</v>
      </c>
      <c r="B29" s="90">
        <f>IFERROR(__xludf.DUMMYFUNCTION("""COMPUTED_VALUE"""),4.0)</f>
        <v>4</v>
      </c>
      <c r="C29" s="134">
        <v>5.0</v>
      </c>
      <c r="D29" s="134">
        <v>5.0</v>
      </c>
      <c r="E29" s="90">
        <v>1.0</v>
      </c>
      <c r="F29" s="90">
        <v>1.0</v>
      </c>
    </row>
    <row r="30">
      <c r="A30" s="133">
        <f>IFERROR(__xludf.DUMMYFUNCTION("""COMPUTED_VALUE"""),8.0)</f>
        <v>8</v>
      </c>
      <c r="B30" s="90">
        <f>IFERROR(__xludf.DUMMYFUNCTION("""COMPUTED_VALUE"""),1.0)</f>
        <v>1</v>
      </c>
      <c r="C30" s="134">
        <v>10.0</v>
      </c>
      <c r="D30" s="134">
        <v>12.0</v>
      </c>
      <c r="E30" s="90">
        <v>1.0</v>
      </c>
      <c r="F30" s="90">
        <v>1.0</v>
      </c>
    </row>
    <row r="31">
      <c r="A31" s="133">
        <f>IFERROR(__xludf.DUMMYFUNCTION("""COMPUTED_VALUE"""),8.0)</f>
        <v>8</v>
      </c>
      <c r="B31" s="90">
        <f>IFERROR(__xludf.DUMMYFUNCTION("""COMPUTED_VALUE"""),2.0)</f>
        <v>2</v>
      </c>
      <c r="C31" s="134">
        <v>3.0</v>
      </c>
      <c r="D31" s="134">
        <v>3.0</v>
      </c>
      <c r="E31" s="90">
        <v>1.0</v>
      </c>
      <c r="F31" s="90">
        <v>1.0</v>
      </c>
    </row>
    <row r="32">
      <c r="A32" s="133">
        <f>IFERROR(__xludf.DUMMYFUNCTION("""COMPUTED_VALUE"""),8.0)</f>
        <v>8</v>
      </c>
      <c r="B32" s="90">
        <f>IFERROR(__xludf.DUMMYFUNCTION("""COMPUTED_VALUE"""),3.0)</f>
        <v>3</v>
      </c>
      <c r="C32" s="134">
        <v>5.0</v>
      </c>
      <c r="D32" s="134">
        <v>8.0</v>
      </c>
      <c r="E32" s="90">
        <v>1.0</v>
      </c>
      <c r="F32" s="90">
        <v>1.0</v>
      </c>
    </row>
    <row r="33">
      <c r="A33" s="133">
        <f>IFERROR(__xludf.DUMMYFUNCTION("""COMPUTED_VALUE"""),8.0)</f>
        <v>8</v>
      </c>
      <c r="B33" s="90">
        <f>IFERROR(__xludf.DUMMYFUNCTION("""COMPUTED_VALUE"""),4.0)</f>
        <v>4</v>
      </c>
      <c r="C33" s="134">
        <v>8.0</v>
      </c>
      <c r="D33" s="134">
        <v>10.0</v>
      </c>
      <c r="E33" s="90">
        <v>1.0</v>
      </c>
      <c r="F33" s="90">
        <v>1.0</v>
      </c>
    </row>
    <row r="34">
      <c r="A34" s="133">
        <f>IFERROR(__xludf.DUMMYFUNCTION("""COMPUTED_VALUE"""),9.0)</f>
        <v>9</v>
      </c>
      <c r="B34" s="90">
        <f>IFERROR(__xludf.DUMMYFUNCTION("""COMPUTED_VALUE"""),1.0)</f>
        <v>1</v>
      </c>
      <c r="C34" s="134">
        <v>12.0</v>
      </c>
      <c r="D34" s="134">
        <v>15.0</v>
      </c>
      <c r="E34" s="90">
        <v>1.0</v>
      </c>
      <c r="F34" s="90">
        <v>1.0</v>
      </c>
    </row>
    <row r="35">
      <c r="A35" s="133">
        <f>IFERROR(__xludf.DUMMYFUNCTION("""COMPUTED_VALUE"""),9.0)</f>
        <v>9</v>
      </c>
      <c r="B35" s="90">
        <f>IFERROR(__xludf.DUMMYFUNCTION("""COMPUTED_VALUE"""),2.0)</f>
        <v>2</v>
      </c>
      <c r="C35" s="134">
        <v>3.0</v>
      </c>
      <c r="D35" s="134">
        <v>3.0</v>
      </c>
      <c r="E35" s="90">
        <v>1.0</v>
      </c>
      <c r="F35" s="90">
        <v>1.0</v>
      </c>
    </row>
    <row r="36">
      <c r="A36" s="133">
        <f>IFERROR(__xludf.DUMMYFUNCTION("""COMPUTED_VALUE"""),9.0)</f>
        <v>9</v>
      </c>
      <c r="B36" s="90">
        <f>IFERROR(__xludf.DUMMYFUNCTION("""COMPUTED_VALUE"""),3.0)</f>
        <v>3</v>
      </c>
      <c r="C36" s="134">
        <v>5.0</v>
      </c>
      <c r="D36" s="134">
        <v>5.0</v>
      </c>
      <c r="E36" s="90">
        <v>1.0</v>
      </c>
      <c r="F36" s="90">
        <v>1.0</v>
      </c>
    </row>
    <row r="37">
      <c r="A37" s="133">
        <f>IFERROR(__xludf.DUMMYFUNCTION("""COMPUTED_VALUE"""),9.0)</f>
        <v>9</v>
      </c>
      <c r="B37" s="90">
        <f>IFERROR(__xludf.DUMMYFUNCTION("""COMPUTED_VALUE"""),4.0)</f>
        <v>4</v>
      </c>
      <c r="C37" s="134">
        <v>5.0</v>
      </c>
      <c r="D37" s="134">
        <v>8.0</v>
      </c>
      <c r="E37" s="90">
        <v>1.0</v>
      </c>
      <c r="F37" s="90">
        <v>1.0</v>
      </c>
    </row>
    <row r="38">
      <c r="A38" s="133">
        <f>IFERROR(__xludf.DUMMYFUNCTION("""COMPUTED_VALUE"""),10.0)</f>
        <v>10</v>
      </c>
      <c r="B38" s="90">
        <f>IFERROR(__xludf.DUMMYFUNCTION("""COMPUTED_VALUE"""),1.0)</f>
        <v>1</v>
      </c>
      <c r="C38" s="134">
        <v>5.0</v>
      </c>
      <c r="D38" s="134">
        <v>8.0</v>
      </c>
      <c r="E38" s="90">
        <v>1.0</v>
      </c>
      <c r="F38" s="90">
        <v>1.0</v>
      </c>
    </row>
    <row r="39">
      <c r="A39" s="133">
        <f>IFERROR(__xludf.DUMMYFUNCTION("""COMPUTED_VALUE"""),10.0)</f>
        <v>10</v>
      </c>
      <c r="B39" s="90">
        <f>IFERROR(__xludf.DUMMYFUNCTION("""COMPUTED_VALUE"""),2.0)</f>
        <v>2</v>
      </c>
      <c r="C39" s="134">
        <v>15.0</v>
      </c>
      <c r="D39" s="134">
        <v>15.0</v>
      </c>
      <c r="E39" s="90">
        <v>1.0</v>
      </c>
      <c r="F39" s="90">
        <v>1.0</v>
      </c>
    </row>
    <row r="40">
      <c r="A40" s="133">
        <f>IFERROR(__xludf.DUMMYFUNCTION("""COMPUTED_VALUE"""),10.0)</f>
        <v>10</v>
      </c>
      <c r="B40" s="90">
        <f>IFERROR(__xludf.DUMMYFUNCTION("""COMPUTED_VALUE"""),3.0)</f>
        <v>3</v>
      </c>
      <c r="C40" s="134">
        <v>10.0</v>
      </c>
      <c r="D40" s="134">
        <v>12.0</v>
      </c>
      <c r="E40" s="90">
        <v>1.0</v>
      </c>
      <c r="F40" s="90">
        <v>1.0</v>
      </c>
    </row>
    <row r="41">
      <c r="A41" s="133">
        <f>IFERROR(__xludf.DUMMYFUNCTION("""COMPUTED_VALUE"""),10.0)</f>
        <v>10</v>
      </c>
      <c r="B41" s="90">
        <f>IFERROR(__xludf.DUMMYFUNCTION("""COMPUTED_VALUE"""),4.0)</f>
        <v>4</v>
      </c>
      <c r="C41" s="134">
        <v>3.0</v>
      </c>
      <c r="D41" s="134">
        <v>3.0</v>
      </c>
      <c r="E41" s="90">
        <v>1.0</v>
      </c>
      <c r="F41" s="90">
        <v>1.0</v>
      </c>
    </row>
    <row r="42">
      <c r="A42" s="133">
        <f>IFERROR(__xludf.DUMMYFUNCTION("""COMPUTED_VALUE"""),11.0)</f>
        <v>11</v>
      </c>
      <c r="B42" s="90">
        <f>IFERROR(__xludf.DUMMYFUNCTION("""COMPUTED_VALUE"""),1.0)</f>
        <v>1</v>
      </c>
      <c r="C42" s="134">
        <v>3.0</v>
      </c>
      <c r="D42" s="134">
        <v>3.0</v>
      </c>
      <c r="E42" s="90">
        <v>1.0</v>
      </c>
      <c r="F42" s="90">
        <v>1.0</v>
      </c>
    </row>
    <row r="43">
      <c r="A43" s="133">
        <f>IFERROR(__xludf.DUMMYFUNCTION("""COMPUTED_VALUE"""),11.0)</f>
        <v>11</v>
      </c>
      <c r="B43" s="90">
        <f>IFERROR(__xludf.DUMMYFUNCTION("""COMPUTED_VALUE"""),2.0)</f>
        <v>2</v>
      </c>
      <c r="C43" s="134">
        <v>3.0</v>
      </c>
      <c r="D43" s="134">
        <v>3.0</v>
      </c>
      <c r="E43" s="90">
        <v>1.0</v>
      </c>
      <c r="F43" s="90">
        <v>1.0</v>
      </c>
    </row>
    <row r="44">
      <c r="A44" s="133">
        <f>IFERROR(__xludf.DUMMYFUNCTION("""COMPUTED_VALUE"""),11.0)</f>
        <v>11</v>
      </c>
      <c r="B44" s="90">
        <f>IFERROR(__xludf.DUMMYFUNCTION("""COMPUTED_VALUE"""),3.0)</f>
        <v>3</v>
      </c>
      <c r="C44" s="134">
        <v>3.0</v>
      </c>
      <c r="D44" s="134">
        <v>3.0</v>
      </c>
      <c r="E44" s="90">
        <v>1.0</v>
      </c>
      <c r="F44" s="90">
        <v>1.0</v>
      </c>
    </row>
    <row r="45">
      <c r="A45" s="133">
        <f>IFERROR(__xludf.DUMMYFUNCTION("""COMPUTED_VALUE"""),11.0)</f>
        <v>11</v>
      </c>
      <c r="B45" s="90">
        <f>IFERROR(__xludf.DUMMYFUNCTION("""COMPUTED_VALUE"""),4.0)</f>
        <v>4</v>
      </c>
      <c r="C45" s="134">
        <v>15.0</v>
      </c>
      <c r="D45" s="134">
        <v>18.0</v>
      </c>
      <c r="E45" s="90">
        <v>1.0</v>
      </c>
      <c r="F45" s="90">
        <v>1.0</v>
      </c>
    </row>
    <row r="46">
      <c r="A46" s="133">
        <f>IFERROR(__xludf.DUMMYFUNCTION("""COMPUTED_VALUE"""),12.0)</f>
        <v>12</v>
      </c>
      <c r="B46" s="90">
        <f>IFERROR(__xludf.DUMMYFUNCTION("""COMPUTED_VALUE"""),1.0)</f>
        <v>1</v>
      </c>
      <c r="C46" s="134">
        <v>3.0</v>
      </c>
      <c r="D46" s="134">
        <v>3.0</v>
      </c>
      <c r="E46" s="90">
        <v>1.0</v>
      </c>
      <c r="F46" s="90">
        <v>1.0</v>
      </c>
    </row>
    <row r="47">
      <c r="A47" s="133">
        <f>IFERROR(__xludf.DUMMYFUNCTION("""COMPUTED_VALUE"""),12.0)</f>
        <v>12</v>
      </c>
      <c r="B47" s="90">
        <f>IFERROR(__xludf.DUMMYFUNCTION("""COMPUTED_VALUE"""),2.0)</f>
        <v>2</v>
      </c>
      <c r="C47" s="134">
        <v>5.0</v>
      </c>
      <c r="D47" s="134">
        <v>8.0</v>
      </c>
      <c r="E47" s="90">
        <v>1.0</v>
      </c>
      <c r="F47" s="90">
        <v>1.0</v>
      </c>
    </row>
    <row r="48">
      <c r="A48" s="133">
        <f>IFERROR(__xludf.DUMMYFUNCTION("""COMPUTED_VALUE"""),12.0)</f>
        <v>12</v>
      </c>
      <c r="B48" s="90">
        <f>IFERROR(__xludf.DUMMYFUNCTION("""COMPUTED_VALUE"""),3.0)</f>
        <v>3</v>
      </c>
      <c r="C48" s="134">
        <v>12.0</v>
      </c>
      <c r="D48" s="134">
        <v>15.0</v>
      </c>
      <c r="E48" s="90">
        <v>1.0</v>
      </c>
      <c r="F48" s="90">
        <v>1.0</v>
      </c>
    </row>
    <row r="49">
      <c r="A49" s="133">
        <f>IFERROR(__xludf.DUMMYFUNCTION("""COMPUTED_VALUE"""),12.0)</f>
        <v>12</v>
      </c>
      <c r="B49" s="90">
        <f>IFERROR(__xludf.DUMMYFUNCTION("""COMPUTED_VALUE"""),4.0)</f>
        <v>4</v>
      </c>
      <c r="C49" s="134">
        <v>10.0</v>
      </c>
      <c r="D49" s="134">
        <v>12.0</v>
      </c>
      <c r="E49" s="90">
        <v>1.0</v>
      </c>
      <c r="F49" s="90">
        <v>1.0</v>
      </c>
    </row>
    <row r="50">
      <c r="A50" s="133">
        <f>IFERROR(__xludf.DUMMYFUNCTION("""COMPUTED_VALUE"""),13.0)</f>
        <v>13</v>
      </c>
      <c r="B50" s="90">
        <f>IFERROR(__xludf.DUMMYFUNCTION("""COMPUTED_VALUE"""),1.0)</f>
        <v>1</v>
      </c>
      <c r="C50" s="134">
        <v>5.0</v>
      </c>
      <c r="D50" s="134">
        <v>5.0</v>
      </c>
      <c r="E50" s="90">
        <v>1.0</v>
      </c>
      <c r="F50" s="90">
        <v>1.0</v>
      </c>
    </row>
    <row r="51">
      <c r="A51" s="133">
        <f>IFERROR(__xludf.DUMMYFUNCTION("""COMPUTED_VALUE"""),13.0)</f>
        <v>13</v>
      </c>
      <c r="B51" s="90">
        <f>IFERROR(__xludf.DUMMYFUNCTION("""COMPUTED_VALUE"""),2.0)</f>
        <v>2</v>
      </c>
      <c r="C51" s="134">
        <v>3.0</v>
      </c>
      <c r="D51" s="134">
        <v>3.0</v>
      </c>
      <c r="E51" s="90">
        <v>1.0</v>
      </c>
      <c r="F51" s="90">
        <v>1.0</v>
      </c>
    </row>
    <row r="52">
      <c r="A52" s="133">
        <f>IFERROR(__xludf.DUMMYFUNCTION("""COMPUTED_VALUE"""),13.0)</f>
        <v>13</v>
      </c>
      <c r="B52" s="90">
        <f>IFERROR(__xludf.DUMMYFUNCTION("""COMPUTED_VALUE"""),3.0)</f>
        <v>3</v>
      </c>
      <c r="C52" s="134">
        <v>5.0</v>
      </c>
      <c r="D52" s="134">
        <v>5.0</v>
      </c>
      <c r="E52" s="90">
        <v>1.0</v>
      </c>
      <c r="F52" s="90">
        <v>1.0</v>
      </c>
    </row>
    <row r="53">
      <c r="A53" s="133">
        <f>IFERROR(__xludf.DUMMYFUNCTION("""COMPUTED_VALUE"""),13.0)</f>
        <v>13</v>
      </c>
      <c r="B53" s="90">
        <f>IFERROR(__xludf.DUMMYFUNCTION("""COMPUTED_VALUE"""),4.0)</f>
        <v>4</v>
      </c>
      <c r="C53" s="134">
        <v>5.0</v>
      </c>
      <c r="D53" s="134">
        <v>8.0</v>
      </c>
      <c r="E53" s="90">
        <v>1.0</v>
      </c>
      <c r="F53" s="90">
        <v>1.0</v>
      </c>
    </row>
    <row r="54">
      <c r="A54" s="133">
        <f>IFERROR(__xludf.DUMMYFUNCTION("""COMPUTED_VALUE"""),14.0)</f>
        <v>14</v>
      </c>
      <c r="B54" s="90">
        <f>IFERROR(__xludf.DUMMYFUNCTION("""COMPUTED_VALUE"""),1.0)</f>
        <v>1</v>
      </c>
      <c r="C54" s="134">
        <v>3.0</v>
      </c>
      <c r="D54" s="134">
        <v>3.0</v>
      </c>
      <c r="E54" s="90">
        <v>1.0</v>
      </c>
      <c r="F54" s="90">
        <v>1.0</v>
      </c>
    </row>
    <row r="55">
      <c r="A55" s="133">
        <f>IFERROR(__xludf.DUMMYFUNCTION("""COMPUTED_VALUE"""),14.0)</f>
        <v>14</v>
      </c>
      <c r="B55" s="90">
        <f>IFERROR(__xludf.DUMMYFUNCTION("""COMPUTED_VALUE"""),2.0)</f>
        <v>2</v>
      </c>
      <c r="C55" s="134">
        <v>18.0</v>
      </c>
      <c r="D55" s="134">
        <v>20.0</v>
      </c>
      <c r="E55" s="90">
        <v>1.0</v>
      </c>
      <c r="F55" s="90">
        <v>1.0</v>
      </c>
    </row>
    <row r="56">
      <c r="A56" s="133">
        <f>IFERROR(__xludf.DUMMYFUNCTION("""COMPUTED_VALUE"""),14.0)</f>
        <v>14</v>
      </c>
      <c r="B56" s="90">
        <f>IFERROR(__xludf.DUMMYFUNCTION("""COMPUTED_VALUE"""),3.0)</f>
        <v>3</v>
      </c>
      <c r="C56" s="134">
        <v>8.0</v>
      </c>
      <c r="D56" s="134">
        <v>10.0</v>
      </c>
      <c r="E56" s="90">
        <v>1.0</v>
      </c>
      <c r="F56" s="90">
        <v>1.0</v>
      </c>
    </row>
    <row r="57">
      <c r="A57" s="133">
        <f>IFERROR(__xludf.DUMMYFUNCTION("""COMPUTED_VALUE"""),14.0)</f>
        <v>14</v>
      </c>
      <c r="B57" s="90">
        <f>IFERROR(__xludf.DUMMYFUNCTION("""COMPUTED_VALUE"""),4.0)</f>
        <v>4</v>
      </c>
      <c r="C57" s="134">
        <v>10.0</v>
      </c>
      <c r="D57" s="134">
        <v>12.0</v>
      </c>
      <c r="E57" s="90">
        <v>1.0</v>
      </c>
      <c r="F57" s="90">
        <v>1.0</v>
      </c>
    </row>
    <row r="58">
      <c r="A58" s="133">
        <f>IFERROR(__xludf.DUMMYFUNCTION("""COMPUTED_VALUE"""),15.0)</f>
        <v>15</v>
      </c>
      <c r="B58" s="90">
        <f>IFERROR(__xludf.DUMMYFUNCTION("""COMPUTED_VALUE"""),1.0)</f>
        <v>1</v>
      </c>
      <c r="C58" s="134">
        <v>3.0</v>
      </c>
      <c r="D58" s="134">
        <v>3.0</v>
      </c>
      <c r="E58" s="90">
        <v>1.0</v>
      </c>
      <c r="F58" s="90">
        <v>1.0</v>
      </c>
    </row>
    <row r="59">
      <c r="A59" s="133">
        <f>IFERROR(__xludf.DUMMYFUNCTION("""COMPUTED_VALUE"""),15.0)</f>
        <v>15</v>
      </c>
      <c r="B59" s="90">
        <f>IFERROR(__xludf.DUMMYFUNCTION("""COMPUTED_VALUE"""),2.0)</f>
        <v>2</v>
      </c>
      <c r="C59" s="134">
        <v>5.0</v>
      </c>
      <c r="D59" s="134">
        <v>5.0</v>
      </c>
      <c r="E59" s="90">
        <v>1.0</v>
      </c>
      <c r="F59" s="90">
        <v>1.0</v>
      </c>
    </row>
    <row r="60">
      <c r="A60" s="133">
        <f>IFERROR(__xludf.DUMMYFUNCTION("""COMPUTED_VALUE"""),15.0)</f>
        <v>15</v>
      </c>
      <c r="B60" s="90">
        <f>IFERROR(__xludf.DUMMYFUNCTION("""COMPUTED_VALUE"""),3.0)</f>
        <v>3</v>
      </c>
      <c r="C60" s="134">
        <v>5.0</v>
      </c>
      <c r="D60" s="134">
        <v>5.0</v>
      </c>
      <c r="E60" s="90">
        <v>1.0</v>
      </c>
      <c r="F60" s="90">
        <v>1.0</v>
      </c>
    </row>
    <row r="61">
      <c r="A61" s="133">
        <f>IFERROR(__xludf.DUMMYFUNCTION("""COMPUTED_VALUE"""),15.0)</f>
        <v>15</v>
      </c>
      <c r="B61" s="90">
        <f>IFERROR(__xludf.DUMMYFUNCTION("""COMPUTED_VALUE"""),4.0)</f>
        <v>4</v>
      </c>
      <c r="C61" s="134">
        <v>18.0</v>
      </c>
      <c r="D61" s="134">
        <v>20.0</v>
      </c>
      <c r="E61" s="90">
        <v>1.0</v>
      </c>
      <c r="F61" s="90">
        <v>1.0</v>
      </c>
    </row>
    <row r="62">
      <c r="A62" s="136">
        <f>IFERROR(__xludf.DUMMYFUNCTION("""COMPUTED_VALUE"""),16.0)</f>
        <v>16</v>
      </c>
      <c r="B62" s="54">
        <f>IFERROR(__xludf.DUMMYFUNCTION("""COMPUTED_VALUE"""),1.0)</f>
        <v>1</v>
      </c>
      <c r="C62" s="55">
        <v>10.0</v>
      </c>
      <c r="D62" s="55">
        <v>12.0</v>
      </c>
      <c r="E62" s="55">
        <v>1.0</v>
      </c>
      <c r="F62" s="55">
        <v>1.0</v>
      </c>
    </row>
    <row r="63">
      <c r="A63" s="136">
        <f>IFERROR(__xludf.DUMMYFUNCTION("""COMPUTED_VALUE"""),16.0)</f>
        <v>16</v>
      </c>
      <c r="B63" s="54">
        <f>IFERROR(__xludf.DUMMYFUNCTION("""COMPUTED_VALUE"""),2.0)</f>
        <v>2</v>
      </c>
      <c r="C63" s="55">
        <v>5.0</v>
      </c>
      <c r="D63" s="55">
        <v>5.0</v>
      </c>
      <c r="E63" s="55">
        <v>1.0</v>
      </c>
      <c r="F63" s="55">
        <v>1.0</v>
      </c>
    </row>
    <row r="64">
      <c r="A64" s="136">
        <f>IFERROR(__xludf.DUMMYFUNCTION("""COMPUTED_VALUE"""),16.0)</f>
        <v>16</v>
      </c>
      <c r="B64" s="54">
        <f>IFERROR(__xludf.DUMMYFUNCTION("""COMPUTED_VALUE"""),3.0)</f>
        <v>3</v>
      </c>
      <c r="C64" s="55">
        <v>5.0</v>
      </c>
      <c r="D64" s="55">
        <v>8.0</v>
      </c>
      <c r="E64" s="55">
        <v>1.0</v>
      </c>
      <c r="F64" s="55">
        <v>1.0</v>
      </c>
    </row>
    <row r="65">
      <c r="A65" s="136">
        <f>IFERROR(__xludf.DUMMYFUNCTION("""COMPUTED_VALUE"""),16.0)</f>
        <v>16</v>
      </c>
      <c r="B65" s="54">
        <f>IFERROR(__xludf.DUMMYFUNCTION("""COMPUTED_VALUE"""),4.0)</f>
        <v>4</v>
      </c>
      <c r="C65" s="55">
        <v>8.0</v>
      </c>
      <c r="D65" s="55">
        <v>10.0</v>
      </c>
      <c r="E65" s="55">
        <v>1.0</v>
      </c>
      <c r="F65" s="55">
        <v>1.0</v>
      </c>
    </row>
    <row r="66">
      <c r="A66" s="136">
        <f>IFERROR(__xludf.DUMMYFUNCTION("""COMPUTED_VALUE"""),17.0)</f>
        <v>17</v>
      </c>
      <c r="B66" s="54">
        <f>IFERROR(__xludf.DUMMYFUNCTION("""COMPUTED_VALUE"""),1.0)</f>
        <v>1</v>
      </c>
      <c r="C66" s="55">
        <v>5.0</v>
      </c>
      <c r="D66" s="55">
        <v>5.0</v>
      </c>
      <c r="E66" s="55">
        <v>1.0</v>
      </c>
      <c r="F66" s="55">
        <v>1.0</v>
      </c>
    </row>
    <row r="67">
      <c r="A67" s="136">
        <f>IFERROR(__xludf.DUMMYFUNCTION("""COMPUTED_VALUE"""),17.0)</f>
        <v>17</v>
      </c>
      <c r="B67" s="54">
        <f>IFERROR(__xludf.DUMMYFUNCTION("""COMPUTED_VALUE"""),2.0)</f>
        <v>2</v>
      </c>
      <c r="C67" s="55">
        <v>3.0</v>
      </c>
      <c r="D67" s="55">
        <v>3.0</v>
      </c>
      <c r="E67" s="55">
        <v>1.0</v>
      </c>
      <c r="F67" s="55">
        <v>1.0</v>
      </c>
    </row>
    <row r="68">
      <c r="A68" s="136">
        <f>IFERROR(__xludf.DUMMYFUNCTION("""COMPUTED_VALUE"""),17.0)</f>
        <v>17</v>
      </c>
      <c r="B68" s="54">
        <f>IFERROR(__xludf.DUMMYFUNCTION("""COMPUTED_VALUE"""),3.0)</f>
        <v>3</v>
      </c>
      <c r="C68" s="55">
        <v>3.0</v>
      </c>
      <c r="D68" s="55">
        <v>3.0</v>
      </c>
      <c r="E68" s="55">
        <v>1.0</v>
      </c>
      <c r="F68" s="55">
        <v>1.0</v>
      </c>
    </row>
    <row r="69">
      <c r="A69" s="136">
        <f>IFERROR(__xludf.DUMMYFUNCTION("""COMPUTED_VALUE"""),17.0)</f>
        <v>17</v>
      </c>
      <c r="B69" s="54">
        <f>IFERROR(__xludf.DUMMYFUNCTION("""COMPUTED_VALUE"""),4.0)</f>
        <v>4</v>
      </c>
      <c r="C69" s="55">
        <v>10.0</v>
      </c>
      <c r="D69" s="55">
        <v>12.0</v>
      </c>
      <c r="E69" s="55">
        <v>1.0</v>
      </c>
      <c r="F69" s="55">
        <v>1.0</v>
      </c>
    </row>
    <row r="70">
      <c r="A70" s="136">
        <f>IFERROR(__xludf.DUMMYFUNCTION("""COMPUTED_VALUE"""),18.0)</f>
        <v>18</v>
      </c>
      <c r="B70" s="54">
        <f>IFERROR(__xludf.DUMMYFUNCTION("""COMPUTED_VALUE"""),1.0)</f>
        <v>1</v>
      </c>
      <c r="C70" s="55">
        <v>5.0</v>
      </c>
      <c r="D70" s="55">
        <v>5.0</v>
      </c>
      <c r="E70" s="55">
        <v>1.0</v>
      </c>
      <c r="F70" s="55">
        <v>1.0</v>
      </c>
    </row>
    <row r="71">
      <c r="A71" s="136">
        <f>IFERROR(__xludf.DUMMYFUNCTION("""COMPUTED_VALUE"""),18.0)</f>
        <v>18</v>
      </c>
      <c r="B71" s="54">
        <f>IFERROR(__xludf.DUMMYFUNCTION("""COMPUTED_VALUE"""),2.0)</f>
        <v>2</v>
      </c>
      <c r="C71" s="55">
        <v>5.0</v>
      </c>
      <c r="D71" s="55">
        <v>5.0</v>
      </c>
      <c r="E71" s="55">
        <v>1.0</v>
      </c>
      <c r="F71" s="55">
        <v>1.0</v>
      </c>
    </row>
    <row r="72">
      <c r="A72" s="136">
        <f>IFERROR(__xludf.DUMMYFUNCTION("""COMPUTED_VALUE"""),18.0)</f>
        <v>18</v>
      </c>
      <c r="B72" s="54">
        <f>IFERROR(__xludf.DUMMYFUNCTION("""COMPUTED_VALUE"""),3.0)</f>
        <v>3</v>
      </c>
      <c r="C72" s="55">
        <v>8.0</v>
      </c>
      <c r="D72" s="55">
        <v>8.0</v>
      </c>
      <c r="E72" s="55">
        <v>1.0</v>
      </c>
      <c r="F72" s="55">
        <v>1.0</v>
      </c>
    </row>
    <row r="73">
      <c r="A73" s="136">
        <f>IFERROR(__xludf.DUMMYFUNCTION("""COMPUTED_VALUE"""),18.0)</f>
        <v>18</v>
      </c>
      <c r="B73" s="54">
        <f>IFERROR(__xludf.DUMMYFUNCTION("""COMPUTED_VALUE"""),4.0)</f>
        <v>4</v>
      </c>
      <c r="C73" s="55">
        <v>5.0</v>
      </c>
      <c r="D73" s="55">
        <v>8.0</v>
      </c>
      <c r="E73" s="55">
        <v>1.0</v>
      </c>
      <c r="F73" s="55">
        <v>1.0</v>
      </c>
    </row>
    <row r="74">
      <c r="A74" s="136">
        <f>IFERROR(__xludf.DUMMYFUNCTION("""COMPUTED_VALUE"""),19.0)</f>
        <v>19</v>
      </c>
      <c r="B74" s="54">
        <f>IFERROR(__xludf.DUMMYFUNCTION("""COMPUTED_VALUE"""),1.0)</f>
        <v>1</v>
      </c>
      <c r="C74" s="55">
        <v>3.0</v>
      </c>
      <c r="D74" s="55">
        <v>3.0</v>
      </c>
      <c r="E74" s="55">
        <v>1.0</v>
      </c>
      <c r="F74" s="55">
        <v>1.0</v>
      </c>
    </row>
    <row r="75">
      <c r="A75" s="136">
        <f>IFERROR(__xludf.DUMMYFUNCTION("""COMPUTED_VALUE"""),19.0)</f>
        <v>19</v>
      </c>
      <c r="B75" s="54">
        <f>IFERROR(__xludf.DUMMYFUNCTION("""COMPUTED_VALUE"""),2.0)</f>
        <v>2</v>
      </c>
      <c r="C75" s="55">
        <v>15.0</v>
      </c>
      <c r="D75" s="55">
        <v>18.0</v>
      </c>
      <c r="E75" s="55">
        <v>1.0</v>
      </c>
      <c r="F75" s="55">
        <v>1.0</v>
      </c>
    </row>
    <row r="76">
      <c r="A76" s="136">
        <f>IFERROR(__xludf.DUMMYFUNCTION("""COMPUTED_VALUE"""),19.0)</f>
        <v>19</v>
      </c>
      <c r="B76" s="54">
        <f>IFERROR(__xludf.DUMMYFUNCTION("""COMPUTED_VALUE"""),3.0)</f>
        <v>3</v>
      </c>
      <c r="C76" s="55">
        <v>5.0</v>
      </c>
      <c r="D76" s="55">
        <v>5.0</v>
      </c>
      <c r="E76" s="55">
        <v>1.0</v>
      </c>
      <c r="F76" s="55">
        <v>1.0</v>
      </c>
    </row>
    <row r="77">
      <c r="A77" s="136">
        <f>IFERROR(__xludf.DUMMYFUNCTION("""COMPUTED_VALUE"""),19.0)</f>
        <v>19</v>
      </c>
      <c r="B77" s="54">
        <f>IFERROR(__xludf.DUMMYFUNCTION("""COMPUTED_VALUE"""),4.0)</f>
        <v>4</v>
      </c>
      <c r="C77" s="55">
        <v>8.0</v>
      </c>
      <c r="D77" s="55">
        <v>10.0</v>
      </c>
      <c r="E77" s="55">
        <v>1.0</v>
      </c>
      <c r="F77" s="55">
        <v>1.0</v>
      </c>
    </row>
    <row r="78">
      <c r="A78" s="136">
        <f>IFERROR(__xludf.DUMMYFUNCTION("""COMPUTED_VALUE"""),20.0)</f>
        <v>20</v>
      </c>
      <c r="B78" s="54">
        <f>IFERROR(__xludf.DUMMYFUNCTION("""COMPUTED_VALUE"""),1.0)</f>
        <v>1</v>
      </c>
      <c r="C78" s="55">
        <v>15.0</v>
      </c>
      <c r="D78" s="55">
        <v>18.0</v>
      </c>
      <c r="E78" s="55">
        <v>1.0</v>
      </c>
      <c r="F78" s="55">
        <v>1.0</v>
      </c>
    </row>
    <row r="79">
      <c r="A79" s="136">
        <f>IFERROR(__xludf.DUMMYFUNCTION("""COMPUTED_VALUE"""),20.0)</f>
        <v>20</v>
      </c>
      <c r="B79" s="54">
        <f>IFERROR(__xludf.DUMMYFUNCTION("""COMPUTED_VALUE"""),2.0)</f>
        <v>2</v>
      </c>
      <c r="C79" s="55">
        <v>5.0</v>
      </c>
      <c r="D79" s="55">
        <v>5.0</v>
      </c>
      <c r="E79" s="55">
        <v>1.0</v>
      </c>
      <c r="F79" s="55">
        <v>1.0</v>
      </c>
    </row>
    <row r="80">
      <c r="A80" s="136">
        <f>IFERROR(__xludf.DUMMYFUNCTION("""COMPUTED_VALUE"""),20.0)</f>
        <v>20</v>
      </c>
      <c r="B80" s="54">
        <f>IFERROR(__xludf.DUMMYFUNCTION("""COMPUTED_VALUE"""),3.0)</f>
        <v>3</v>
      </c>
      <c r="C80" s="55">
        <v>5.0</v>
      </c>
      <c r="D80" s="55">
        <v>5.0</v>
      </c>
      <c r="E80" s="55">
        <v>1.0</v>
      </c>
      <c r="F80" s="55">
        <v>1.0</v>
      </c>
    </row>
    <row r="81">
      <c r="A81" s="136">
        <f>IFERROR(__xludf.DUMMYFUNCTION("""COMPUTED_VALUE"""),20.0)</f>
        <v>20</v>
      </c>
      <c r="B81" s="54">
        <f>IFERROR(__xludf.DUMMYFUNCTION("""COMPUTED_VALUE"""),4.0)</f>
        <v>4</v>
      </c>
      <c r="C81" s="55">
        <v>3.0</v>
      </c>
      <c r="D81" s="55">
        <v>3.0</v>
      </c>
      <c r="E81" s="55">
        <v>1.0</v>
      </c>
      <c r="F81" s="55">
        <v>1.0</v>
      </c>
    </row>
    <row r="82">
      <c r="A82" s="136">
        <f>IFERROR(__xludf.DUMMYFUNCTION("""COMPUTED_VALUE"""),21.0)</f>
        <v>21</v>
      </c>
      <c r="B82" s="54">
        <f>IFERROR(__xludf.DUMMYFUNCTION("""COMPUTED_VALUE"""),1.0)</f>
        <v>1</v>
      </c>
      <c r="C82" s="55">
        <v>5.0</v>
      </c>
      <c r="D82" s="55">
        <v>5.0</v>
      </c>
      <c r="E82" s="55">
        <v>1.0</v>
      </c>
      <c r="F82" s="55">
        <v>1.0</v>
      </c>
    </row>
    <row r="83">
      <c r="A83" s="136">
        <f>IFERROR(__xludf.DUMMYFUNCTION("""COMPUTED_VALUE"""),21.0)</f>
        <v>21</v>
      </c>
      <c r="B83" s="54">
        <f>IFERROR(__xludf.DUMMYFUNCTION("""COMPUTED_VALUE"""),2.0)</f>
        <v>2</v>
      </c>
      <c r="C83" s="55">
        <v>8.0</v>
      </c>
      <c r="D83" s="55">
        <v>10.0</v>
      </c>
      <c r="E83" s="55">
        <v>1.0</v>
      </c>
      <c r="F83" s="55">
        <v>1.0</v>
      </c>
    </row>
    <row r="84">
      <c r="A84" s="136">
        <f>IFERROR(__xludf.DUMMYFUNCTION("""COMPUTED_VALUE"""),21.0)</f>
        <v>21</v>
      </c>
      <c r="B84" s="54">
        <f>IFERROR(__xludf.DUMMYFUNCTION("""COMPUTED_VALUE"""),3.0)</f>
        <v>3</v>
      </c>
      <c r="C84" s="55">
        <v>8.0</v>
      </c>
      <c r="D84" s="55">
        <v>10.0</v>
      </c>
      <c r="E84" s="55">
        <v>1.0</v>
      </c>
      <c r="F84" s="55">
        <v>1.0</v>
      </c>
    </row>
    <row r="85">
      <c r="A85" s="136">
        <f>IFERROR(__xludf.DUMMYFUNCTION("""COMPUTED_VALUE"""),21.0)</f>
        <v>21</v>
      </c>
      <c r="B85" s="54">
        <f>IFERROR(__xludf.DUMMYFUNCTION("""COMPUTED_VALUE"""),4.0)</f>
        <v>4</v>
      </c>
      <c r="C85" s="55">
        <v>12.0</v>
      </c>
      <c r="D85" s="55">
        <v>15.0</v>
      </c>
      <c r="E85" s="55">
        <v>1.0</v>
      </c>
      <c r="F85" s="55">
        <v>1.0</v>
      </c>
    </row>
    <row r="86">
      <c r="A86" s="136">
        <f>IFERROR(__xludf.DUMMYFUNCTION("""COMPUTED_VALUE"""),22.0)</f>
        <v>22</v>
      </c>
      <c r="B86" s="54">
        <f>IFERROR(__xludf.DUMMYFUNCTION("""COMPUTED_VALUE"""),1.0)</f>
        <v>1</v>
      </c>
      <c r="C86" s="55">
        <v>3.0</v>
      </c>
      <c r="D86" s="55">
        <v>3.0</v>
      </c>
      <c r="E86" s="55">
        <v>1.0</v>
      </c>
      <c r="F86" s="55">
        <v>1.0</v>
      </c>
    </row>
    <row r="87">
      <c r="A87" s="136">
        <f>IFERROR(__xludf.DUMMYFUNCTION("""COMPUTED_VALUE"""),22.0)</f>
        <v>22</v>
      </c>
      <c r="B87" s="54">
        <f>IFERROR(__xludf.DUMMYFUNCTION("""COMPUTED_VALUE"""),2.0)</f>
        <v>2</v>
      </c>
      <c r="C87" s="55">
        <v>5.0</v>
      </c>
      <c r="D87" s="55">
        <v>5.0</v>
      </c>
      <c r="E87" s="55">
        <v>1.0</v>
      </c>
      <c r="F87" s="55">
        <v>1.0</v>
      </c>
    </row>
    <row r="88">
      <c r="A88" s="136">
        <f>IFERROR(__xludf.DUMMYFUNCTION("""COMPUTED_VALUE"""),22.0)</f>
        <v>22</v>
      </c>
      <c r="B88" s="54">
        <f>IFERROR(__xludf.DUMMYFUNCTION("""COMPUTED_VALUE"""),3.0)</f>
        <v>3</v>
      </c>
      <c r="C88" s="55">
        <v>5.0</v>
      </c>
      <c r="D88" s="55">
        <v>5.0</v>
      </c>
      <c r="E88" s="55">
        <v>1.0</v>
      </c>
      <c r="F88" s="55">
        <v>1.0</v>
      </c>
    </row>
    <row r="89">
      <c r="A89" s="136">
        <f>IFERROR(__xludf.DUMMYFUNCTION("""COMPUTED_VALUE"""),22.0)</f>
        <v>22</v>
      </c>
      <c r="B89" s="54">
        <f>IFERROR(__xludf.DUMMYFUNCTION("""COMPUTED_VALUE"""),4.0)</f>
        <v>4</v>
      </c>
      <c r="C89" s="55">
        <v>15.0</v>
      </c>
      <c r="D89" s="55">
        <v>18.0</v>
      </c>
      <c r="E89" s="55">
        <v>1.0</v>
      </c>
      <c r="F89" s="55">
        <v>1.0</v>
      </c>
    </row>
    <row r="90">
      <c r="A90" s="136">
        <f>IFERROR(__xludf.DUMMYFUNCTION("""COMPUTED_VALUE"""),23.0)</f>
        <v>23</v>
      </c>
      <c r="B90" s="54">
        <f>IFERROR(__xludf.DUMMYFUNCTION("""COMPUTED_VALUE"""),1.0)</f>
        <v>1</v>
      </c>
      <c r="C90" s="55">
        <v>25.0</v>
      </c>
      <c r="D90" s="55">
        <v>25.0</v>
      </c>
      <c r="E90" s="55">
        <v>1.0</v>
      </c>
      <c r="F90" s="55">
        <v>1.0</v>
      </c>
    </row>
    <row r="91">
      <c r="A91" s="136">
        <f>IFERROR(__xludf.DUMMYFUNCTION("""COMPUTED_VALUE"""),23.0)</f>
        <v>23</v>
      </c>
      <c r="B91" s="54">
        <f>IFERROR(__xludf.DUMMYFUNCTION("""COMPUTED_VALUE"""),2.0)</f>
        <v>2</v>
      </c>
      <c r="C91" s="55">
        <v>25.0</v>
      </c>
      <c r="D91" s="55">
        <v>25.0</v>
      </c>
      <c r="E91" s="55">
        <v>1.0</v>
      </c>
      <c r="F91" s="55">
        <v>1.0</v>
      </c>
    </row>
    <row r="92">
      <c r="A92" s="136">
        <f>IFERROR(__xludf.DUMMYFUNCTION("""COMPUTED_VALUE"""),23.0)</f>
        <v>23</v>
      </c>
      <c r="B92" s="54">
        <f>IFERROR(__xludf.DUMMYFUNCTION("""COMPUTED_VALUE"""),3.0)</f>
        <v>3</v>
      </c>
      <c r="C92" s="55">
        <v>25.0</v>
      </c>
      <c r="D92" s="55">
        <v>25.0</v>
      </c>
      <c r="E92" s="55">
        <v>1.0</v>
      </c>
      <c r="F92" s="55">
        <v>1.0</v>
      </c>
    </row>
    <row r="93">
      <c r="A93" s="136">
        <f>IFERROR(__xludf.DUMMYFUNCTION("""COMPUTED_VALUE"""),23.0)</f>
        <v>23</v>
      </c>
      <c r="B93" s="54">
        <f>IFERROR(__xludf.DUMMYFUNCTION("""COMPUTED_VALUE"""),4.0)</f>
        <v>4</v>
      </c>
      <c r="C93" s="55">
        <v>25.0</v>
      </c>
      <c r="D93" s="55">
        <v>25.0</v>
      </c>
      <c r="E93" s="55">
        <v>1.0</v>
      </c>
      <c r="F93" s="55">
        <v>1.0</v>
      </c>
    </row>
    <row r="94">
      <c r="A94" s="136">
        <f>IFERROR(__xludf.DUMMYFUNCTION("""COMPUTED_VALUE"""),24.0)</f>
        <v>24</v>
      </c>
      <c r="B94" s="54">
        <f>IFERROR(__xludf.DUMMYFUNCTION("""COMPUTED_VALUE"""),1.0)</f>
        <v>1</v>
      </c>
      <c r="C94" s="55">
        <v>3.0</v>
      </c>
      <c r="D94" s="55">
        <v>3.0</v>
      </c>
      <c r="E94" s="55">
        <v>1.0</v>
      </c>
      <c r="F94" s="55">
        <v>1.0</v>
      </c>
    </row>
    <row r="95">
      <c r="A95" s="136">
        <f>IFERROR(__xludf.DUMMYFUNCTION("""COMPUTED_VALUE"""),24.0)</f>
        <v>24</v>
      </c>
      <c r="B95" s="54">
        <f>IFERROR(__xludf.DUMMYFUNCTION("""COMPUTED_VALUE"""),2.0)</f>
        <v>2</v>
      </c>
      <c r="C95" s="55">
        <v>50.0</v>
      </c>
      <c r="D95" s="55">
        <v>55.0</v>
      </c>
      <c r="E95" s="55">
        <v>1.0</v>
      </c>
      <c r="F95" s="55">
        <v>1.0</v>
      </c>
    </row>
    <row r="96">
      <c r="A96" s="136">
        <f>IFERROR(__xludf.DUMMYFUNCTION("""COMPUTED_VALUE"""),24.0)</f>
        <v>24</v>
      </c>
      <c r="B96" s="54">
        <f>IFERROR(__xludf.DUMMYFUNCTION("""COMPUTED_VALUE"""),3.0)</f>
        <v>3</v>
      </c>
      <c r="C96" s="55">
        <v>8.0</v>
      </c>
      <c r="D96" s="55">
        <v>8.0</v>
      </c>
      <c r="E96" s="55">
        <v>1.0</v>
      </c>
      <c r="F96" s="55">
        <v>1.0</v>
      </c>
    </row>
    <row r="97">
      <c r="A97" s="136">
        <f>IFERROR(__xludf.DUMMYFUNCTION("""COMPUTED_VALUE"""),24.0)</f>
        <v>24</v>
      </c>
      <c r="B97" s="54">
        <f>IFERROR(__xludf.DUMMYFUNCTION("""COMPUTED_VALUE"""),4.0)</f>
        <v>4</v>
      </c>
      <c r="C97" s="55">
        <v>10.0</v>
      </c>
      <c r="D97" s="55">
        <v>12.0</v>
      </c>
      <c r="E97" s="55">
        <v>1.0</v>
      </c>
      <c r="F97" s="55">
        <v>1.0</v>
      </c>
    </row>
    <row r="98">
      <c r="A98" s="136">
        <f>IFERROR(__xludf.DUMMYFUNCTION("""COMPUTED_VALUE"""),25.0)</f>
        <v>25</v>
      </c>
      <c r="B98" s="54">
        <f>IFERROR(__xludf.DUMMYFUNCTION("""COMPUTED_VALUE"""),1.0)</f>
        <v>1</v>
      </c>
      <c r="C98" s="55">
        <v>5.0</v>
      </c>
      <c r="D98" s="55">
        <v>5.0</v>
      </c>
      <c r="E98" s="55">
        <v>1.0</v>
      </c>
      <c r="F98" s="55">
        <v>1.0</v>
      </c>
    </row>
    <row r="99">
      <c r="A99" s="136">
        <f>IFERROR(__xludf.DUMMYFUNCTION("""COMPUTED_VALUE"""),25.0)</f>
        <v>25</v>
      </c>
      <c r="B99" s="54">
        <f>IFERROR(__xludf.DUMMYFUNCTION("""COMPUTED_VALUE"""),2.0)</f>
        <v>2</v>
      </c>
      <c r="C99" s="55">
        <v>45.0</v>
      </c>
      <c r="D99" s="55">
        <v>50.0</v>
      </c>
      <c r="E99" s="55">
        <v>1.0</v>
      </c>
      <c r="F99" s="55">
        <v>1.0</v>
      </c>
    </row>
    <row r="100">
      <c r="A100" s="136">
        <f>IFERROR(__xludf.DUMMYFUNCTION("""COMPUTED_VALUE"""),25.0)</f>
        <v>25</v>
      </c>
      <c r="B100" s="54">
        <f>IFERROR(__xludf.DUMMYFUNCTION("""COMPUTED_VALUE"""),3.0)</f>
        <v>3</v>
      </c>
      <c r="C100" s="55">
        <v>5.0</v>
      </c>
      <c r="D100" s="55">
        <v>8.0</v>
      </c>
      <c r="E100" s="55">
        <v>1.0</v>
      </c>
      <c r="F100" s="55">
        <v>1.0</v>
      </c>
    </row>
    <row r="101">
      <c r="A101" s="136">
        <f>IFERROR(__xludf.DUMMYFUNCTION("""COMPUTED_VALUE"""),25.0)</f>
        <v>25</v>
      </c>
      <c r="B101" s="54">
        <f>IFERROR(__xludf.DUMMYFUNCTION("""COMPUTED_VALUE"""),4.0)</f>
        <v>4</v>
      </c>
      <c r="C101" s="55">
        <v>25.0</v>
      </c>
      <c r="D101" s="55">
        <v>30.0</v>
      </c>
      <c r="E101" s="55">
        <v>1.0</v>
      </c>
      <c r="F101" s="55">
        <v>1.0</v>
      </c>
    </row>
    <row r="102">
      <c r="A102" s="136">
        <f>IFERROR(__xludf.DUMMYFUNCTION("""COMPUTED_VALUE"""),26.0)</f>
        <v>26</v>
      </c>
      <c r="B102" s="54">
        <f>IFERROR(__xludf.DUMMYFUNCTION("""COMPUTED_VALUE"""),1.0)</f>
        <v>1</v>
      </c>
      <c r="C102" s="55">
        <v>3.0</v>
      </c>
      <c r="D102" s="55">
        <v>3.0</v>
      </c>
      <c r="E102" s="55">
        <v>1.0</v>
      </c>
      <c r="F102" s="55">
        <v>1.0</v>
      </c>
    </row>
    <row r="103">
      <c r="A103" s="136">
        <f>IFERROR(__xludf.DUMMYFUNCTION("""COMPUTED_VALUE"""),26.0)</f>
        <v>26</v>
      </c>
      <c r="B103" s="54">
        <f>IFERROR(__xludf.DUMMYFUNCTION("""COMPUTED_VALUE"""),2.0)</f>
        <v>2</v>
      </c>
      <c r="C103" s="55">
        <v>40.0</v>
      </c>
      <c r="D103" s="55">
        <v>45.0</v>
      </c>
      <c r="E103" s="55">
        <v>1.0</v>
      </c>
      <c r="F103" s="55">
        <v>1.0</v>
      </c>
    </row>
    <row r="104">
      <c r="A104" s="136">
        <f>IFERROR(__xludf.DUMMYFUNCTION("""COMPUTED_VALUE"""),26.0)</f>
        <v>26</v>
      </c>
      <c r="B104" s="54">
        <f>IFERROR(__xludf.DUMMYFUNCTION("""COMPUTED_VALUE"""),3.0)</f>
        <v>3</v>
      </c>
      <c r="C104" s="55">
        <v>10.0</v>
      </c>
      <c r="D104" s="55">
        <v>12.0</v>
      </c>
      <c r="E104" s="55">
        <v>1.0</v>
      </c>
      <c r="F104" s="55">
        <v>1.0</v>
      </c>
    </row>
    <row r="105">
      <c r="A105" s="136">
        <f>IFERROR(__xludf.DUMMYFUNCTION("""COMPUTED_VALUE"""),26.0)</f>
        <v>26</v>
      </c>
      <c r="B105" s="54">
        <f>IFERROR(__xludf.DUMMYFUNCTION("""COMPUTED_VALUE"""),4.0)</f>
        <v>4</v>
      </c>
      <c r="C105" s="55">
        <v>10.0</v>
      </c>
      <c r="D105" s="55">
        <v>12.0</v>
      </c>
      <c r="E105" s="55">
        <v>1.0</v>
      </c>
      <c r="F105" s="55">
        <v>1.0</v>
      </c>
    </row>
    <row r="106">
      <c r="A106" s="136">
        <f>IFERROR(__xludf.DUMMYFUNCTION("""COMPUTED_VALUE"""),27.0)</f>
        <v>27</v>
      </c>
      <c r="B106" s="54">
        <f>IFERROR(__xludf.DUMMYFUNCTION("""COMPUTED_VALUE"""),1.0)</f>
        <v>1</v>
      </c>
      <c r="C106" s="55">
        <v>3.0</v>
      </c>
      <c r="D106" s="55">
        <v>3.0</v>
      </c>
      <c r="E106" s="55">
        <v>1.0</v>
      </c>
      <c r="F106" s="55">
        <v>1.0</v>
      </c>
    </row>
    <row r="107">
      <c r="A107" s="136">
        <f>IFERROR(__xludf.DUMMYFUNCTION("""COMPUTED_VALUE"""),27.0)</f>
        <v>27</v>
      </c>
      <c r="B107" s="54">
        <f>IFERROR(__xludf.DUMMYFUNCTION("""COMPUTED_VALUE"""),2.0)</f>
        <v>2</v>
      </c>
      <c r="C107" s="55">
        <v>30.0</v>
      </c>
      <c r="D107" s="55">
        <v>35.0</v>
      </c>
      <c r="E107" s="55">
        <v>1.0</v>
      </c>
      <c r="F107" s="55">
        <v>1.0</v>
      </c>
    </row>
    <row r="108">
      <c r="A108" s="136">
        <f>IFERROR(__xludf.DUMMYFUNCTION("""COMPUTED_VALUE"""),27.0)</f>
        <v>27</v>
      </c>
      <c r="B108" s="54">
        <f>IFERROR(__xludf.DUMMYFUNCTION("""COMPUTED_VALUE"""),3.0)</f>
        <v>3</v>
      </c>
      <c r="C108" s="55">
        <v>8.0</v>
      </c>
      <c r="D108" s="55">
        <v>10.0</v>
      </c>
      <c r="E108" s="55">
        <v>1.0</v>
      </c>
      <c r="F108" s="55">
        <v>1.0</v>
      </c>
    </row>
    <row r="109">
      <c r="A109" s="136">
        <f>IFERROR(__xludf.DUMMYFUNCTION("""COMPUTED_VALUE"""),27.0)</f>
        <v>27</v>
      </c>
      <c r="B109" s="54">
        <f>IFERROR(__xludf.DUMMYFUNCTION("""COMPUTED_VALUE"""),4.0)</f>
        <v>4</v>
      </c>
      <c r="C109" s="55">
        <v>20.0</v>
      </c>
      <c r="D109" s="55">
        <v>25.0</v>
      </c>
      <c r="E109" s="55">
        <v>1.0</v>
      </c>
      <c r="F109" s="55">
        <v>1.0</v>
      </c>
    </row>
    <row r="110">
      <c r="A110" s="136">
        <f>IFERROR(__xludf.DUMMYFUNCTION("""COMPUTED_VALUE"""),28.0)</f>
        <v>28</v>
      </c>
      <c r="B110" s="54">
        <f>IFERROR(__xludf.DUMMYFUNCTION("""COMPUTED_VALUE"""),1.0)</f>
        <v>1</v>
      </c>
      <c r="C110" s="55">
        <v>8.0</v>
      </c>
      <c r="D110" s="55">
        <v>10.0</v>
      </c>
      <c r="E110" s="55">
        <v>1.0</v>
      </c>
      <c r="F110" s="55">
        <v>1.0</v>
      </c>
    </row>
    <row r="111">
      <c r="A111" s="136">
        <f>IFERROR(__xludf.DUMMYFUNCTION("""COMPUTED_VALUE"""),28.0)</f>
        <v>28</v>
      </c>
      <c r="B111" s="54">
        <f>IFERROR(__xludf.DUMMYFUNCTION("""COMPUTED_VALUE"""),2.0)</f>
        <v>2</v>
      </c>
      <c r="C111" s="55">
        <v>5.0</v>
      </c>
      <c r="D111" s="55">
        <v>8.0</v>
      </c>
      <c r="E111" s="55">
        <v>1.0</v>
      </c>
      <c r="F111" s="55">
        <v>1.0</v>
      </c>
    </row>
    <row r="112">
      <c r="A112" s="136">
        <f>IFERROR(__xludf.DUMMYFUNCTION("""COMPUTED_VALUE"""),28.0)</f>
        <v>28</v>
      </c>
      <c r="B112" s="54">
        <f>IFERROR(__xludf.DUMMYFUNCTION("""COMPUTED_VALUE"""),3.0)</f>
        <v>3</v>
      </c>
      <c r="C112" s="55">
        <v>12.0</v>
      </c>
      <c r="D112" s="55">
        <v>15.0</v>
      </c>
      <c r="E112" s="55">
        <v>1.0</v>
      </c>
      <c r="F112" s="55">
        <v>1.0</v>
      </c>
    </row>
    <row r="113">
      <c r="A113" s="136">
        <f>IFERROR(__xludf.DUMMYFUNCTION("""COMPUTED_VALUE"""),28.0)</f>
        <v>28</v>
      </c>
      <c r="B113" s="54">
        <f>IFERROR(__xludf.DUMMYFUNCTION("""COMPUTED_VALUE"""),4.0)</f>
        <v>4</v>
      </c>
      <c r="C113" s="55">
        <v>40.0</v>
      </c>
      <c r="D113" s="55">
        <v>45.0</v>
      </c>
      <c r="E113" s="55">
        <v>1.0</v>
      </c>
      <c r="F113" s="55">
        <v>1.0</v>
      </c>
    </row>
    <row r="114">
      <c r="A114" s="136">
        <f>IFERROR(__xludf.DUMMYFUNCTION("""COMPUTED_VALUE"""),29.0)</f>
        <v>29</v>
      </c>
      <c r="B114" s="54">
        <f>IFERROR(__xludf.DUMMYFUNCTION("""COMPUTED_VALUE"""),1.0)</f>
        <v>1</v>
      </c>
      <c r="C114" s="55">
        <v>5.0</v>
      </c>
      <c r="D114" s="55">
        <v>8.0</v>
      </c>
      <c r="E114" s="55">
        <v>1.0</v>
      </c>
      <c r="F114" s="55">
        <v>1.0</v>
      </c>
    </row>
    <row r="115">
      <c r="A115" s="136">
        <f>IFERROR(__xludf.DUMMYFUNCTION("""COMPUTED_VALUE"""),29.0)</f>
        <v>29</v>
      </c>
      <c r="B115" s="54">
        <f>IFERROR(__xludf.DUMMYFUNCTION("""COMPUTED_VALUE"""),2.0)</f>
        <v>2</v>
      </c>
      <c r="C115" s="55">
        <v>5.0</v>
      </c>
      <c r="D115" s="55">
        <v>5.0</v>
      </c>
      <c r="E115" s="55">
        <v>1.0</v>
      </c>
      <c r="F115" s="55">
        <v>1.0</v>
      </c>
    </row>
    <row r="116">
      <c r="A116" s="136">
        <f>IFERROR(__xludf.DUMMYFUNCTION("""COMPUTED_VALUE"""),29.0)</f>
        <v>29</v>
      </c>
      <c r="B116" s="54">
        <f>IFERROR(__xludf.DUMMYFUNCTION("""COMPUTED_VALUE"""),3.0)</f>
        <v>3</v>
      </c>
      <c r="C116" s="55">
        <v>5.0</v>
      </c>
      <c r="D116" s="55">
        <v>5.0</v>
      </c>
      <c r="E116" s="55">
        <v>1.0</v>
      </c>
      <c r="F116" s="55">
        <v>1.0</v>
      </c>
    </row>
    <row r="117">
      <c r="A117" s="136">
        <f>IFERROR(__xludf.DUMMYFUNCTION("""COMPUTED_VALUE"""),29.0)</f>
        <v>29</v>
      </c>
      <c r="B117" s="54">
        <f>IFERROR(__xludf.DUMMYFUNCTION("""COMPUTED_VALUE"""),4.0)</f>
        <v>4</v>
      </c>
      <c r="C117" s="55">
        <v>45.0</v>
      </c>
      <c r="D117" s="55">
        <v>50.0</v>
      </c>
      <c r="E117" s="55">
        <v>1.0</v>
      </c>
      <c r="F117" s="55">
        <v>1.0</v>
      </c>
    </row>
    <row r="118">
      <c r="A118" s="136">
        <f>IFERROR(__xludf.DUMMYFUNCTION("""COMPUTED_VALUE"""),30.0)</f>
        <v>30</v>
      </c>
      <c r="B118" s="54">
        <f>IFERROR(__xludf.DUMMYFUNCTION("""COMPUTED_VALUE"""),1.0)</f>
        <v>1</v>
      </c>
      <c r="C118" s="55">
        <v>5.0</v>
      </c>
      <c r="D118" s="55">
        <v>5.0</v>
      </c>
      <c r="E118" s="55">
        <v>1.0</v>
      </c>
      <c r="F118" s="55">
        <v>1.0</v>
      </c>
    </row>
    <row r="119">
      <c r="A119" s="136">
        <f>IFERROR(__xludf.DUMMYFUNCTION("""COMPUTED_VALUE"""),30.0)</f>
        <v>30</v>
      </c>
      <c r="B119" s="54">
        <f>IFERROR(__xludf.DUMMYFUNCTION("""COMPUTED_VALUE"""),2.0)</f>
        <v>2</v>
      </c>
      <c r="C119" s="55">
        <v>3.0</v>
      </c>
      <c r="D119" s="55">
        <v>3.0</v>
      </c>
      <c r="E119" s="55">
        <v>1.0</v>
      </c>
      <c r="F119" s="55">
        <v>1.0</v>
      </c>
    </row>
    <row r="120">
      <c r="A120" s="136">
        <f>IFERROR(__xludf.DUMMYFUNCTION("""COMPUTED_VALUE"""),30.0)</f>
        <v>30</v>
      </c>
      <c r="B120" s="54">
        <f>IFERROR(__xludf.DUMMYFUNCTION("""COMPUTED_VALUE"""),3.0)</f>
        <v>3</v>
      </c>
      <c r="C120" s="55">
        <v>3.0</v>
      </c>
      <c r="D120" s="55">
        <v>3.0</v>
      </c>
      <c r="E120" s="55">
        <v>1.0</v>
      </c>
      <c r="F120" s="55">
        <v>1.0</v>
      </c>
    </row>
    <row r="121">
      <c r="A121" s="136">
        <f>IFERROR(__xludf.DUMMYFUNCTION("""COMPUTED_VALUE"""),30.0)</f>
        <v>30</v>
      </c>
      <c r="B121" s="54">
        <f>IFERROR(__xludf.DUMMYFUNCTION("""COMPUTED_VALUE"""),4.0)</f>
        <v>4</v>
      </c>
      <c r="C121" s="55">
        <v>35.0</v>
      </c>
      <c r="D121" s="55">
        <v>40.0</v>
      </c>
      <c r="E121" s="55">
        <v>1.0</v>
      </c>
      <c r="F121" s="55">
        <v>1.0</v>
      </c>
    </row>
    <row r="122">
      <c r="A122" s="136">
        <f>IFERROR(__xludf.DUMMYFUNCTION("""COMPUTED_VALUE"""),31.0)</f>
        <v>31</v>
      </c>
      <c r="B122" s="54">
        <f>IFERROR(__xludf.DUMMYFUNCTION("""COMPUTED_VALUE"""),1.0)</f>
        <v>1</v>
      </c>
      <c r="C122" s="55">
        <v>10.0</v>
      </c>
      <c r="D122" s="55">
        <v>12.0</v>
      </c>
      <c r="E122" s="55">
        <v>1.0</v>
      </c>
      <c r="F122" s="55">
        <v>1.0</v>
      </c>
    </row>
    <row r="123">
      <c r="A123" s="136">
        <f>IFERROR(__xludf.DUMMYFUNCTION("""COMPUTED_VALUE"""),31.0)</f>
        <v>31</v>
      </c>
      <c r="B123" s="54">
        <f>IFERROR(__xludf.DUMMYFUNCTION("""COMPUTED_VALUE"""),2.0)</f>
        <v>2</v>
      </c>
      <c r="C123" s="55">
        <v>8.0</v>
      </c>
      <c r="D123" s="55">
        <v>10.0</v>
      </c>
      <c r="E123" s="55">
        <v>1.0</v>
      </c>
      <c r="F123" s="55">
        <v>1.0</v>
      </c>
    </row>
    <row r="124">
      <c r="A124" s="136">
        <f>IFERROR(__xludf.DUMMYFUNCTION("""COMPUTED_VALUE"""),31.0)</f>
        <v>31</v>
      </c>
      <c r="B124" s="54">
        <f>IFERROR(__xludf.DUMMYFUNCTION("""COMPUTED_VALUE"""),3.0)</f>
        <v>3</v>
      </c>
      <c r="C124" s="55">
        <v>45.0</v>
      </c>
      <c r="D124" s="55">
        <v>50.0</v>
      </c>
      <c r="E124" s="55">
        <v>1.0</v>
      </c>
      <c r="F124" s="55">
        <v>1.0</v>
      </c>
    </row>
    <row r="125">
      <c r="A125" s="136">
        <f>IFERROR(__xludf.DUMMYFUNCTION("""COMPUTED_VALUE"""),31.0)</f>
        <v>31</v>
      </c>
      <c r="B125" s="54">
        <f>IFERROR(__xludf.DUMMYFUNCTION("""COMPUTED_VALUE"""),4.0)</f>
        <v>4</v>
      </c>
      <c r="C125" s="55">
        <v>12.0</v>
      </c>
      <c r="D125" s="55">
        <v>15.0</v>
      </c>
      <c r="E125" s="55">
        <v>1.0</v>
      </c>
      <c r="F125" s="55">
        <v>1.0</v>
      </c>
    </row>
    <row r="126">
      <c r="A126" s="136">
        <f>IFERROR(__xludf.DUMMYFUNCTION("""COMPUTED_VALUE"""),32.0)</f>
        <v>32</v>
      </c>
      <c r="B126" s="54">
        <f>IFERROR(__xludf.DUMMYFUNCTION("""COMPUTED_VALUE"""),1.0)</f>
        <v>1</v>
      </c>
      <c r="C126" s="55">
        <v>8.0</v>
      </c>
      <c r="D126" s="55">
        <v>10.0</v>
      </c>
      <c r="E126" s="55">
        <v>1.0</v>
      </c>
      <c r="F126" s="55">
        <v>1.0</v>
      </c>
    </row>
    <row r="127">
      <c r="A127" s="136">
        <f>IFERROR(__xludf.DUMMYFUNCTION("""COMPUTED_VALUE"""),32.0)</f>
        <v>32</v>
      </c>
      <c r="B127" s="54">
        <f>IFERROR(__xludf.DUMMYFUNCTION("""COMPUTED_VALUE"""),2.0)</f>
        <v>2</v>
      </c>
      <c r="C127" s="55">
        <v>25.0</v>
      </c>
      <c r="D127" s="55">
        <v>30.0</v>
      </c>
      <c r="E127" s="55">
        <v>1.0</v>
      </c>
      <c r="F127" s="55">
        <v>1.0</v>
      </c>
    </row>
    <row r="128">
      <c r="A128" s="136">
        <f>IFERROR(__xludf.DUMMYFUNCTION("""COMPUTED_VALUE"""),32.0)</f>
        <v>32</v>
      </c>
      <c r="B128" s="54">
        <f>IFERROR(__xludf.DUMMYFUNCTION("""COMPUTED_VALUE"""),3.0)</f>
        <v>3</v>
      </c>
      <c r="C128" s="55">
        <v>40.0</v>
      </c>
      <c r="D128" s="55">
        <v>45.0</v>
      </c>
      <c r="E128" s="55">
        <v>1.0</v>
      </c>
      <c r="F128" s="55">
        <v>1.0</v>
      </c>
    </row>
    <row r="129">
      <c r="A129" s="136">
        <f>IFERROR(__xludf.DUMMYFUNCTION("""COMPUTED_VALUE"""),32.0)</f>
        <v>32</v>
      </c>
      <c r="B129" s="54">
        <f>IFERROR(__xludf.DUMMYFUNCTION("""COMPUTED_VALUE"""),4.0)</f>
        <v>4</v>
      </c>
      <c r="C129" s="55">
        <v>5.0</v>
      </c>
      <c r="D129" s="55">
        <v>8.0</v>
      </c>
      <c r="E129" s="55">
        <v>1.0</v>
      </c>
      <c r="F129" s="55">
        <v>1.0</v>
      </c>
    </row>
    <row r="130">
      <c r="A130" s="136">
        <f>IFERROR(__xludf.DUMMYFUNCTION("""COMPUTED_VALUE"""),33.0)</f>
        <v>33</v>
      </c>
      <c r="B130" s="54">
        <f>IFERROR(__xludf.DUMMYFUNCTION("""COMPUTED_VALUE"""),1.0)</f>
        <v>1</v>
      </c>
      <c r="C130" s="55">
        <v>3.0</v>
      </c>
      <c r="D130" s="55">
        <v>3.0</v>
      </c>
      <c r="E130" s="55">
        <v>1.0</v>
      </c>
      <c r="F130" s="55">
        <v>1.0</v>
      </c>
    </row>
    <row r="131">
      <c r="A131" s="136">
        <f>IFERROR(__xludf.DUMMYFUNCTION("""COMPUTED_VALUE"""),33.0)</f>
        <v>33</v>
      </c>
      <c r="B131" s="54">
        <f>IFERROR(__xludf.DUMMYFUNCTION("""COMPUTED_VALUE"""),2.0)</f>
        <v>2</v>
      </c>
      <c r="C131" s="55">
        <v>35.0</v>
      </c>
      <c r="D131" s="55">
        <v>40.0</v>
      </c>
      <c r="E131" s="55">
        <v>1.0</v>
      </c>
      <c r="F131" s="55">
        <v>1.0</v>
      </c>
    </row>
    <row r="132">
      <c r="A132" s="136">
        <f>IFERROR(__xludf.DUMMYFUNCTION("""COMPUTED_VALUE"""),33.0)</f>
        <v>33</v>
      </c>
      <c r="B132" s="54">
        <f>IFERROR(__xludf.DUMMYFUNCTION("""COMPUTED_VALUE"""),3.0)</f>
        <v>3</v>
      </c>
      <c r="C132" s="55">
        <v>15.0</v>
      </c>
      <c r="D132" s="55">
        <v>18.0</v>
      </c>
      <c r="E132" s="55">
        <v>1.0</v>
      </c>
      <c r="F132" s="55">
        <v>1.0</v>
      </c>
    </row>
    <row r="133">
      <c r="A133" s="136">
        <f>IFERROR(__xludf.DUMMYFUNCTION("""COMPUTED_VALUE"""),33.0)</f>
        <v>33</v>
      </c>
      <c r="B133" s="54">
        <f>IFERROR(__xludf.DUMMYFUNCTION("""COMPUTED_VALUE"""),4.0)</f>
        <v>4</v>
      </c>
      <c r="C133" s="55">
        <v>15.0</v>
      </c>
      <c r="D133" s="55">
        <v>18.0</v>
      </c>
      <c r="E133" s="55">
        <v>1.0</v>
      </c>
      <c r="F133" s="55">
        <v>1.0</v>
      </c>
    </row>
    <row r="134">
      <c r="A134" s="136">
        <f>IFERROR(__xludf.DUMMYFUNCTION("""COMPUTED_VALUE"""),34.0)</f>
        <v>34</v>
      </c>
      <c r="B134" s="54">
        <f>IFERROR(__xludf.DUMMYFUNCTION("""COMPUTED_VALUE"""),1.0)</f>
        <v>1</v>
      </c>
      <c r="C134" s="55">
        <v>5.0</v>
      </c>
      <c r="D134" s="55">
        <v>5.0</v>
      </c>
      <c r="E134" s="55">
        <v>1.0</v>
      </c>
      <c r="F134" s="55">
        <v>1.0</v>
      </c>
    </row>
    <row r="135">
      <c r="A135" s="136">
        <f>IFERROR(__xludf.DUMMYFUNCTION("""COMPUTED_VALUE"""),34.0)</f>
        <v>34</v>
      </c>
      <c r="B135" s="54">
        <f>IFERROR(__xludf.DUMMYFUNCTION("""COMPUTED_VALUE"""),2.0)</f>
        <v>2</v>
      </c>
      <c r="C135" s="55">
        <v>20.0</v>
      </c>
      <c r="D135" s="55">
        <v>25.0</v>
      </c>
      <c r="E135" s="55">
        <v>1.0</v>
      </c>
      <c r="F135" s="55">
        <v>1.0</v>
      </c>
    </row>
    <row r="136">
      <c r="A136" s="136">
        <f>IFERROR(__xludf.DUMMYFUNCTION("""COMPUTED_VALUE"""),34.0)</f>
        <v>34</v>
      </c>
      <c r="B136" s="54">
        <f>IFERROR(__xludf.DUMMYFUNCTION("""COMPUTED_VALUE"""),3.0)</f>
        <v>3</v>
      </c>
      <c r="C136" s="55">
        <v>8.0</v>
      </c>
      <c r="D136" s="55">
        <v>10.0</v>
      </c>
      <c r="E136" s="55">
        <v>1.0</v>
      </c>
      <c r="F136" s="55">
        <v>1.0</v>
      </c>
    </row>
    <row r="137">
      <c r="A137" s="136">
        <f>IFERROR(__xludf.DUMMYFUNCTION("""COMPUTED_VALUE"""),34.0)</f>
        <v>34</v>
      </c>
      <c r="B137" s="54">
        <f>IFERROR(__xludf.DUMMYFUNCTION("""COMPUTED_VALUE"""),4.0)</f>
        <v>4</v>
      </c>
      <c r="C137" s="55">
        <v>35.0</v>
      </c>
      <c r="D137" s="55">
        <v>40.0</v>
      </c>
      <c r="E137" s="55">
        <v>1.0</v>
      </c>
      <c r="F137" s="55">
        <v>1.0</v>
      </c>
    </row>
    <row r="138">
      <c r="A138" s="136">
        <f>IFERROR(__xludf.DUMMYFUNCTION("""COMPUTED_VALUE"""),35.0)</f>
        <v>35</v>
      </c>
      <c r="B138" s="54">
        <f>IFERROR(__xludf.DUMMYFUNCTION("""COMPUTED_VALUE"""),1.0)</f>
        <v>1</v>
      </c>
      <c r="C138" s="55">
        <v>40.0</v>
      </c>
      <c r="D138" s="55">
        <v>45.0</v>
      </c>
      <c r="E138" s="55">
        <v>1.0</v>
      </c>
      <c r="F138" s="55">
        <v>1.0</v>
      </c>
    </row>
    <row r="139">
      <c r="A139" s="136">
        <f>IFERROR(__xludf.DUMMYFUNCTION("""COMPUTED_VALUE"""),35.0)</f>
        <v>35</v>
      </c>
      <c r="B139" s="54">
        <f>IFERROR(__xludf.DUMMYFUNCTION("""COMPUTED_VALUE"""),2.0)</f>
        <v>2</v>
      </c>
      <c r="C139" s="55">
        <v>3.0</v>
      </c>
      <c r="D139" s="55">
        <v>3.0</v>
      </c>
      <c r="E139" s="55">
        <v>1.0</v>
      </c>
      <c r="F139" s="55">
        <v>1.0</v>
      </c>
    </row>
    <row r="140">
      <c r="A140" s="136">
        <f>IFERROR(__xludf.DUMMYFUNCTION("""COMPUTED_VALUE"""),35.0)</f>
        <v>35</v>
      </c>
      <c r="B140" s="54">
        <f>IFERROR(__xludf.DUMMYFUNCTION("""COMPUTED_VALUE"""),3.0)</f>
        <v>3</v>
      </c>
      <c r="C140" s="55">
        <v>5.0</v>
      </c>
      <c r="D140" s="55">
        <v>8.0</v>
      </c>
      <c r="E140" s="55">
        <v>1.0</v>
      </c>
      <c r="F140" s="55">
        <v>1.0</v>
      </c>
    </row>
    <row r="141">
      <c r="A141" s="136">
        <f>IFERROR(__xludf.DUMMYFUNCTION("""COMPUTED_VALUE"""),35.0)</f>
        <v>35</v>
      </c>
      <c r="B141" s="54">
        <f>IFERROR(__xludf.DUMMYFUNCTION("""COMPUTED_VALUE"""),4.0)</f>
        <v>4</v>
      </c>
      <c r="C141" s="55">
        <v>10.0</v>
      </c>
      <c r="D141" s="55">
        <v>12.0</v>
      </c>
      <c r="E141" s="55">
        <v>1.0</v>
      </c>
      <c r="F141" s="55">
        <v>1.0</v>
      </c>
    </row>
    <row r="142">
      <c r="A142" s="136">
        <f>IFERROR(__xludf.DUMMYFUNCTION("""COMPUTED_VALUE"""),36.0)</f>
        <v>36</v>
      </c>
      <c r="B142" s="54">
        <f>IFERROR(__xludf.DUMMYFUNCTION("""COMPUTED_VALUE"""),1.0)</f>
        <v>1</v>
      </c>
      <c r="C142" s="55">
        <v>50.0</v>
      </c>
      <c r="D142" s="55">
        <v>55.0</v>
      </c>
      <c r="E142" s="55">
        <v>1.0</v>
      </c>
      <c r="F142" s="55">
        <v>1.0</v>
      </c>
    </row>
    <row r="143">
      <c r="A143" s="136">
        <f>IFERROR(__xludf.DUMMYFUNCTION("""COMPUTED_VALUE"""),36.0)</f>
        <v>36</v>
      </c>
      <c r="B143" s="54">
        <f>IFERROR(__xludf.DUMMYFUNCTION("""COMPUTED_VALUE"""),2.0)</f>
        <v>2</v>
      </c>
      <c r="C143" s="55">
        <v>5.0</v>
      </c>
      <c r="D143" s="55">
        <v>5.0</v>
      </c>
      <c r="E143" s="55">
        <v>1.0</v>
      </c>
      <c r="F143" s="55">
        <v>1.0</v>
      </c>
    </row>
    <row r="144">
      <c r="A144" s="136">
        <f>IFERROR(__xludf.DUMMYFUNCTION("""COMPUTED_VALUE"""),36.0)</f>
        <v>36</v>
      </c>
      <c r="B144" s="54">
        <f>IFERROR(__xludf.DUMMYFUNCTION("""COMPUTED_VALUE"""),3.0)</f>
        <v>3</v>
      </c>
      <c r="C144" s="55">
        <v>15.0</v>
      </c>
      <c r="D144" s="55">
        <v>18.0</v>
      </c>
      <c r="E144" s="55">
        <v>1.0</v>
      </c>
      <c r="F144" s="55">
        <v>1.0</v>
      </c>
    </row>
    <row r="145">
      <c r="A145" s="136">
        <f>IFERROR(__xludf.DUMMYFUNCTION("""COMPUTED_VALUE"""),36.0)</f>
        <v>36</v>
      </c>
      <c r="B145" s="54">
        <f>IFERROR(__xludf.DUMMYFUNCTION("""COMPUTED_VALUE"""),4.0)</f>
        <v>4</v>
      </c>
      <c r="C145" s="55">
        <v>8.0</v>
      </c>
      <c r="D145" s="55">
        <v>10.0</v>
      </c>
      <c r="E145" s="55">
        <v>1.0</v>
      </c>
      <c r="F145" s="55">
        <v>1.0</v>
      </c>
    </row>
    <row r="146">
      <c r="A146" s="136">
        <f>IFERROR(__xludf.DUMMYFUNCTION("""COMPUTED_VALUE"""),37.0)</f>
        <v>37</v>
      </c>
      <c r="B146" s="54">
        <f>IFERROR(__xludf.DUMMYFUNCTION("""COMPUTED_VALUE"""),1.0)</f>
        <v>1</v>
      </c>
      <c r="C146" s="55">
        <v>35.0</v>
      </c>
      <c r="D146" s="55">
        <v>40.0</v>
      </c>
      <c r="E146" s="55">
        <v>1.0</v>
      </c>
      <c r="F146" s="55">
        <v>1.0</v>
      </c>
    </row>
    <row r="147">
      <c r="A147" s="136">
        <f>IFERROR(__xludf.DUMMYFUNCTION("""COMPUTED_VALUE"""),37.0)</f>
        <v>37</v>
      </c>
      <c r="B147" s="54">
        <f>IFERROR(__xludf.DUMMYFUNCTION("""COMPUTED_VALUE"""),2.0)</f>
        <v>2</v>
      </c>
      <c r="C147" s="55">
        <v>3.0</v>
      </c>
      <c r="D147" s="55">
        <v>3.0</v>
      </c>
      <c r="E147" s="55">
        <v>1.0</v>
      </c>
      <c r="F147" s="55">
        <v>1.0</v>
      </c>
    </row>
    <row r="148">
      <c r="A148" s="136">
        <f>IFERROR(__xludf.DUMMYFUNCTION("""COMPUTED_VALUE"""),37.0)</f>
        <v>37</v>
      </c>
      <c r="B148" s="54">
        <f>IFERROR(__xludf.DUMMYFUNCTION("""COMPUTED_VALUE"""),3.0)</f>
        <v>3</v>
      </c>
      <c r="C148" s="55">
        <v>3.0</v>
      </c>
      <c r="D148" s="55">
        <v>3.0</v>
      </c>
      <c r="E148" s="55">
        <v>1.0</v>
      </c>
      <c r="F148" s="55">
        <v>1.0</v>
      </c>
    </row>
    <row r="149">
      <c r="A149" s="136">
        <f>IFERROR(__xludf.DUMMYFUNCTION("""COMPUTED_VALUE"""),37.0)</f>
        <v>37</v>
      </c>
      <c r="B149" s="54">
        <f>IFERROR(__xludf.DUMMYFUNCTION("""COMPUTED_VALUE"""),4.0)</f>
        <v>4</v>
      </c>
      <c r="C149" s="55">
        <v>3.0</v>
      </c>
      <c r="D149" s="55">
        <v>3.0</v>
      </c>
      <c r="E149" s="55">
        <v>1.0</v>
      </c>
      <c r="F149" s="55">
        <v>1.0</v>
      </c>
    </row>
    <row r="150">
      <c r="A150" s="136">
        <f>IFERROR(__xludf.DUMMYFUNCTION("""COMPUTED_VALUE"""),38.0)</f>
        <v>38</v>
      </c>
      <c r="B150" s="54">
        <f>IFERROR(__xludf.DUMMYFUNCTION("""COMPUTED_VALUE"""),1.0)</f>
        <v>1</v>
      </c>
      <c r="C150" s="55">
        <v>5.0</v>
      </c>
      <c r="D150" s="55">
        <v>5.0</v>
      </c>
      <c r="E150" s="55">
        <v>1.0</v>
      </c>
      <c r="F150" s="55">
        <v>1.0</v>
      </c>
    </row>
    <row r="151">
      <c r="A151" s="136">
        <f>IFERROR(__xludf.DUMMYFUNCTION("""COMPUTED_VALUE"""),38.0)</f>
        <v>38</v>
      </c>
      <c r="B151" s="54">
        <f>IFERROR(__xludf.DUMMYFUNCTION("""COMPUTED_VALUE"""),2.0)</f>
        <v>2</v>
      </c>
      <c r="C151" s="55">
        <v>10.0</v>
      </c>
      <c r="D151" s="55">
        <v>12.0</v>
      </c>
      <c r="E151" s="55">
        <v>1.0</v>
      </c>
      <c r="F151" s="55">
        <v>1.0</v>
      </c>
    </row>
    <row r="152">
      <c r="A152" s="136">
        <f>IFERROR(__xludf.DUMMYFUNCTION("""COMPUTED_VALUE"""),38.0)</f>
        <v>38</v>
      </c>
      <c r="B152" s="54">
        <f>IFERROR(__xludf.DUMMYFUNCTION("""COMPUTED_VALUE"""),3.0)</f>
        <v>3</v>
      </c>
      <c r="C152" s="55">
        <v>20.0</v>
      </c>
      <c r="D152" s="55">
        <v>25.0</v>
      </c>
      <c r="E152" s="55">
        <v>1.0</v>
      </c>
      <c r="F152" s="55">
        <v>1.0</v>
      </c>
    </row>
    <row r="153">
      <c r="A153" s="136">
        <f>IFERROR(__xludf.DUMMYFUNCTION("""COMPUTED_VALUE"""),38.0)</f>
        <v>38</v>
      </c>
      <c r="B153" s="54">
        <f>IFERROR(__xludf.DUMMYFUNCTION("""COMPUTED_VALUE"""),4.0)</f>
        <v>4</v>
      </c>
      <c r="C153" s="55">
        <v>25.0</v>
      </c>
      <c r="D153" s="55">
        <v>30.0</v>
      </c>
      <c r="E153" s="55">
        <v>1.0</v>
      </c>
      <c r="F153" s="55">
        <v>1.0</v>
      </c>
    </row>
    <row r="154">
      <c r="A154" s="136">
        <f>IFERROR(__xludf.DUMMYFUNCTION("""COMPUTED_VALUE"""),39.0)</f>
        <v>39</v>
      </c>
      <c r="B154" s="54">
        <f>IFERROR(__xludf.DUMMYFUNCTION("""COMPUTED_VALUE"""),1.0)</f>
        <v>1</v>
      </c>
      <c r="C154" s="55">
        <v>10.0</v>
      </c>
      <c r="D154" s="55">
        <v>12.0</v>
      </c>
      <c r="E154" s="55">
        <v>1.0</v>
      </c>
      <c r="F154" s="55">
        <v>1.0</v>
      </c>
    </row>
    <row r="155">
      <c r="A155" s="136">
        <f>IFERROR(__xludf.DUMMYFUNCTION("""COMPUTED_VALUE"""),39.0)</f>
        <v>39</v>
      </c>
      <c r="B155" s="54">
        <f>IFERROR(__xludf.DUMMYFUNCTION("""COMPUTED_VALUE"""),2.0)</f>
        <v>2</v>
      </c>
      <c r="C155" s="55">
        <v>20.0</v>
      </c>
      <c r="D155" s="55">
        <v>25.0</v>
      </c>
      <c r="E155" s="55">
        <v>1.0</v>
      </c>
      <c r="F155" s="55">
        <v>1.0</v>
      </c>
    </row>
    <row r="156">
      <c r="A156" s="136">
        <f>IFERROR(__xludf.DUMMYFUNCTION("""COMPUTED_VALUE"""),39.0)</f>
        <v>39</v>
      </c>
      <c r="B156" s="54">
        <f>IFERROR(__xludf.DUMMYFUNCTION("""COMPUTED_VALUE"""),3.0)</f>
        <v>3</v>
      </c>
      <c r="C156" s="55">
        <v>45.0</v>
      </c>
      <c r="D156" s="55">
        <v>50.0</v>
      </c>
      <c r="E156" s="55">
        <v>1.0</v>
      </c>
      <c r="F156" s="55">
        <v>1.0</v>
      </c>
    </row>
    <row r="157">
      <c r="A157" s="136">
        <f>IFERROR(__xludf.DUMMYFUNCTION("""COMPUTED_VALUE"""),39.0)</f>
        <v>39</v>
      </c>
      <c r="B157" s="54">
        <f>IFERROR(__xludf.DUMMYFUNCTION("""COMPUTED_VALUE"""),4.0)</f>
        <v>4</v>
      </c>
      <c r="C157" s="55">
        <v>5.0</v>
      </c>
      <c r="D157" s="55">
        <v>8.0</v>
      </c>
      <c r="E157" s="55">
        <v>1.0</v>
      </c>
      <c r="F157" s="55">
        <v>1.0</v>
      </c>
    </row>
    <row r="158">
      <c r="A158" s="136">
        <f>IFERROR(__xludf.DUMMYFUNCTION("""COMPUTED_VALUE"""),40.0)</f>
        <v>40</v>
      </c>
      <c r="B158" s="54">
        <f>IFERROR(__xludf.DUMMYFUNCTION("""COMPUTED_VALUE"""),1.0)</f>
        <v>1</v>
      </c>
      <c r="C158" s="55">
        <v>15.0</v>
      </c>
      <c r="D158" s="55">
        <v>18.0</v>
      </c>
      <c r="E158" s="55">
        <v>1.0</v>
      </c>
      <c r="F158" s="55">
        <v>1.0</v>
      </c>
    </row>
    <row r="159">
      <c r="A159" s="136">
        <f>IFERROR(__xludf.DUMMYFUNCTION("""COMPUTED_VALUE"""),40.0)</f>
        <v>40</v>
      </c>
      <c r="B159" s="54">
        <f>IFERROR(__xludf.DUMMYFUNCTION("""COMPUTED_VALUE"""),2.0)</f>
        <v>2</v>
      </c>
      <c r="C159" s="55">
        <v>25.0</v>
      </c>
      <c r="D159" s="55">
        <v>30.0</v>
      </c>
      <c r="E159" s="55">
        <v>1.0</v>
      </c>
      <c r="F159" s="55">
        <v>1.0</v>
      </c>
    </row>
    <row r="160">
      <c r="A160" s="136">
        <f>IFERROR(__xludf.DUMMYFUNCTION("""COMPUTED_VALUE"""),40.0)</f>
        <v>40</v>
      </c>
      <c r="B160" s="54">
        <f>IFERROR(__xludf.DUMMYFUNCTION("""COMPUTED_VALUE"""),3.0)</f>
        <v>3</v>
      </c>
      <c r="C160" s="55">
        <v>20.0</v>
      </c>
      <c r="D160" s="55">
        <v>25.0</v>
      </c>
      <c r="E160" s="55">
        <v>1.0</v>
      </c>
      <c r="F160" s="55">
        <v>1.0</v>
      </c>
    </row>
    <row r="161">
      <c r="A161" s="136">
        <f>IFERROR(__xludf.DUMMYFUNCTION("""COMPUTED_VALUE"""),40.0)</f>
        <v>40</v>
      </c>
      <c r="B161" s="54">
        <f>IFERROR(__xludf.DUMMYFUNCTION("""COMPUTED_VALUE"""),4.0)</f>
        <v>4</v>
      </c>
      <c r="C161" s="55">
        <v>8.0</v>
      </c>
      <c r="D161" s="55">
        <v>10.0</v>
      </c>
      <c r="E161" s="55">
        <v>1.0</v>
      </c>
      <c r="F161" s="55">
        <v>1.0</v>
      </c>
    </row>
    <row r="162">
      <c r="A162" s="136">
        <f>IFERROR(__xludf.DUMMYFUNCTION("""COMPUTED_VALUE"""),41.0)</f>
        <v>41</v>
      </c>
      <c r="B162" s="54">
        <f>IFERROR(__xludf.DUMMYFUNCTION("""COMPUTED_VALUE"""),1.0)</f>
        <v>1</v>
      </c>
      <c r="C162" s="55">
        <v>20.0</v>
      </c>
      <c r="D162" s="55">
        <v>25.0</v>
      </c>
      <c r="E162" s="55">
        <v>1.0</v>
      </c>
      <c r="F162" s="55">
        <v>1.0</v>
      </c>
    </row>
    <row r="163">
      <c r="A163" s="136">
        <f>IFERROR(__xludf.DUMMYFUNCTION("""COMPUTED_VALUE"""),41.0)</f>
        <v>41</v>
      </c>
      <c r="B163" s="54">
        <f>IFERROR(__xludf.DUMMYFUNCTION("""COMPUTED_VALUE"""),2.0)</f>
        <v>2</v>
      </c>
      <c r="C163" s="55">
        <v>5.0</v>
      </c>
      <c r="D163" s="55">
        <v>8.0</v>
      </c>
      <c r="E163" s="55">
        <v>1.0</v>
      </c>
      <c r="F163" s="55">
        <v>1.0</v>
      </c>
    </row>
    <row r="164">
      <c r="A164" s="136">
        <f>IFERROR(__xludf.DUMMYFUNCTION("""COMPUTED_VALUE"""),41.0)</f>
        <v>41</v>
      </c>
      <c r="B164" s="54">
        <f>IFERROR(__xludf.DUMMYFUNCTION("""COMPUTED_VALUE"""),3.0)</f>
        <v>3</v>
      </c>
      <c r="C164" s="55">
        <v>15.0</v>
      </c>
      <c r="D164" s="55">
        <v>18.0</v>
      </c>
      <c r="E164" s="55">
        <v>1.0</v>
      </c>
      <c r="F164" s="55">
        <v>1.0</v>
      </c>
    </row>
    <row r="165">
      <c r="A165" s="136">
        <f>IFERROR(__xludf.DUMMYFUNCTION("""COMPUTED_VALUE"""),41.0)</f>
        <v>41</v>
      </c>
      <c r="B165" s="54">
        <f>IFERROR(__xludf.DUMMYFUNCTION("""COMPUTED_VALUE"""),4.0)</f>
        <v>4</v>
      </c>
      <c r="C165" s="55">
        <v>10.0</v>
      </c>
      <c r="D165" s="55">
        <v>12.0</v>
      </c>
      <c r="E165" s="55">
        <v>1.0</v>
      </c>
      <c r="F165" s="55">
        <v>1.0</v>
      </c>
    </row>
    <row r="166">
      <c r="A166" s="136">
        <f>IFERROR(__xludf.DUMMYFUNCTION("""COMPUTED_VALUE"""),42.0)</f>
        <v>42</v>
      </c>
      <c r="B166" s="54">
        <f>IFERROR(__xludf.DUMMYFUNCTION("""COMPUTED_VALUE"""),1.0)</f>
        <v>1</v>
      </c>
      <c r="C166" s="55">
        <v>20.0</v>
      </c>
      <c r="D166" s="55">
        <v>25.0</v>
      </c>
      <c r="E166" s="55">
        <v>1.0</v>
      </c>
      <c r="F166" s="55">
        <v>1.0</v>
      </c>
    </row>
    <row r="167">
      <c r="A167" s="136">
        <f>IFERROR(__xludf.DUMMYFUNCTION("""COMPUTED_VALUE"""),42.0)</f>
        <v>42</v>
      </c>
      <c r="B167" s="54">
        <f>IFERROR(__xludf.DUMMYFUNCTION("""COMPUTED_VALUE"""),2.0)</f>
        <v>2</v>
      </c>
      <c r="C167" s="55">
        <v>15.0</v>
      </c>
      <c r="D167" s="55">
        <v>18.0</v>
      </c>
      <c r="E167" s="55">
        <v>1.0</v>
      </c>
      <c r="F167" s="55">
        <v>1.0</v>
      </c>
    </row>
    <row r="168">
      <c r="A168" s="136">
        <f>IFERROR(__xludf.DUMMYFUNCTION("""COMPUTED_VALUE"""),42.0)</f>
        <v>42</v>
      </c>
      <c r="B168" s="54">
        <f>IFERROR(__xludf.DUMMYFUNCTION("""COMPUTED_VALUE"""),3.0)</f>
        <v>3</v>
      </c>
      <c r="C168" s="55">
        <v>5.0</v>
      </c>
      <c r="D168" s="55">
        <v>8.0</v>
      </c>
      <c r="E168" s="55">
        <v>1.0</v>
      </c>
      <c r="F168" s="55">
        <v>1.0</v>
      </c>
    </row>
    <row r="169">
      <c r="A169" s="136">
        <f>IFERROR(__xludf.DUMMYFUNCTION("""COMPUTED_VALUE"""),42.0)</f>
        <v>42</v>
      </c>
      <c r="B169" s="54">
        <f>IFERROR(__xludf.DUMMYFUNCTION("""COMPUTED_VALUE"""),4.0)</f>
        <v>4</v>
      </c>
      <c r="C169" s="55">
        <v>12.0</v>
      </c>
      <c r="D169" s="55">
        <v>15.0</v>
      </c>
      <c r="E169" s="55">
        <v>1.0</v>
      </c>
      <c r="F169" s="55">
        <v>1.0</v>
      </c>
    </row>
    <row r="170">
      <c r="A170" s="136">
        <f>IFERROR(__xludf.DUMMYFUNCTION("""COMPUTED_VALUE"""),43.0)</f>
        <v>43</v>
      </c>
      <c r="B170" s="54">
        <f>IFERROR(__xludf.DUMMYFUNCTION("""COMPUTED_VALUE"""),1.0)</f>
        <v>1</v>
      </c>
      <c r="C170" s="55">
        <v>5.0</v>
      </c>
      <c r="D170" s="55">
        <v>8.0</v>
      </c>
      <c r="E170" s="55">
        <v>1.0</v>
      </c>
      <c r="F170" s="55">
        <v>1.0</v>
      </c>
    </row>
    <row r="171">
      <c r="A171" s="136">
        <f>IFERROR(__xludf.DUMMYFUNCTION("""COMPUTED_VALUE"""),43.0)</f>
        <v>43</v>
      </c>
      <c r="B171" s="54">
        <f>IFERROR(__xludf.DUMMYFUNCTION("""COMPUTED_VALUE"""),2.0)</f>
        <v>2</v>
      </c>
      <c r="C171" s="55">
        <v>20.0</v>
      </c>
      <c r="D171" s="55">
        <v>25.0</v>
      </c>
      <c r="E171" s="55">
        <v>1.0</v>
      </c>
      <c r="F171" s="55">
        <v>1.0</v>
      </c>
    </row>
    <row r="172">
      <c r="A172" s="136">
        <f>IFERROR(__xludf.DUMMYFUNCTION("""COMPUTED_VALUE"""),43.0)</f>
        <v>43</v>
      </c>
      <c r="B172" s="54">
        <f>IFERROR(__xludf.DUMMYFUNCTION("""COMPUTED_VALUE"""),3.0)</f>
        <v>3</v>
      </c>
      <c r="C172" s="55">
        <v>10.0</v>
      </c>
      <c r="D172" s="55">
        <v>12.0</v>
      </c>
      <c r="E172" s="55">
        <v>1.0</v>
      </c>
      <c r="F172" s="55">
        <v>1.0</v>
      </c>
    </row>
    <row r="173">
      <c r="A173" s="136">
        <f>IFERROR(__xludf.DUMMYFUNCTION("""COMPUTED_VALUE"""),43.0)</f>
        <v>43</v>
      </c>
      <c r="B173" s="54">
        <f>IFERROR(__xludf.DUMMYFUNCTION("""COMPUTED_VALUE"""),4.0)</f>
        <v>4</v>
      </c>
      <c r="C173" s="55">
        <v>20.0</v>
      </c>
      <c r="D173" s="55">
        <v>25.0</v>
      </c>
      <c r="E173" s="55">
        <v>1.0</v>
      </c>
      <c r="F173" s="55">
        <v>1.0</v>
      </c>
    </row>
    <row r="174">
      <c r="A174" s="136"/>
      <c r="B174" s="54"/>
      <c r="C174" s="55" t="s">
        <v>311</v>
      </c>
      <c r="D174" s="55" t="s">
        <v>311</v>
      </c>
      <c r="E174" s="55" t="s">
        <v>311</v>
      </c>
      <c r="F174" s="55" t="s">
        <v>311</v>
      </c>
    </row>
    <row r="175">
      <c r="A175" s="136"/>
      <c r="B175" s="54"/>
      <c r="C175" s="55" t="s">
        <v>311</v>
      </c>
      <c r="D175" s="55" t="s">
        <v>311</v>
      </c>
      <c r="E175" s="55" t="s">
        <v>311</v>
      </c>
      <c r="F175" s="55" t="s">
        <v>311</v>
      </c>
    </row>
    <row r="176">
      <c r="A176" s="136"/>
      <c r="B176" s="54"/>
      <c r="C176" s="55" t="s">
        <v>311</v>
      </c>
      <c r="D176" s="55" t="s">
        <v>311</v>
      </c>
      <c r="E176" s="55" t="s">
        <v>311</v>
      </c>
      <c r="F176" s="55" t="s">
        <v>311</v>
      </c>
    </row>
    <row r="177">
      <c r="A177" s="136"/>
      <c r="B177" s="54"/>
      <c r="C177" s="55" t="s">
        <v>311</v>
      </c>
      <c r="D177" s="55" t="s">
        <v>311</v>
      </c>
      <c r="E177" s="55" t="s">
        <v>311</v>
      </c>
      <c r="F177" s="55" t="s">
        <v>311</v>
      </c>
    </row>
    <row r="178">
      <c r="A178" s="136"/>
      <c r="B178" s="54"/>
      <c r="C178" s="55" t="s">
        <v>311</v>
      </c>
      <c r="D178" s="55" t="s">
        <v>311</v>
      </c>
      <c r="E178" s="55" t="s">
        <v>311</v>
      </c>
      <c r="F178" s="55" t="s">
        <v>311</v>
      </c>
    </row>
    <row r="179">
      <c r="A179" s="136"/>
      <c r="B179" s="54"/>
      <c r="C179" s="55" t="s">
        <v>311</v>
      </c>
      <c r="D179" s="55" t="s">
        <v>311</v>
      </c>
      <c r="E179" s="55" t="s">
        <v>311</v>
      </c>
      <c r="F179" s="55" t="s">
        <v>311</v>
      </c>
    </row>
    <row r="180">
      <c r="A180" s="136"/>
      <c r="B180" s="54"/>
      <c r="C180" s="55" t="s">
        <v>311</v>
      </c>
      <c r="D180" s="55" t="s">
        <v>311</v>
      </c>
      <c r="E180" s="55" t="s">
        <v>311</v>
      </c>
      <c r="F180" s="55" t="s">
        <v>311</v>
      </c>
    </row>
    <row r="181">
      <c r="A181" s="136"/>
      <c r="B181" s="54"/>
      <c r="C181" s="55" t="s">
        <v>311</v>
      </c>
      <c r="D181" s="55" t="s">
        <v>311</v>
      </c>
      <c r="E181" s="55" t="s">
        <v>311</v>
      </c>
      <c r="F181" s="55" t="s">
        <v>311</v>
      </c>
    </row>
    <row r="182">
      <c r="A182" s="136"/>
      <c r="B182" s="54"/>
      <c r="C182" s="55" t="s">
        <v>311</v>
      </c>
      <c r="D182" s="55" t="s">
        <v>311</v>
      </c>
      <c r="E182" s="55" t="s">
        <v>311</v>
      </c>
      <c r="F182" s="55" t="s">
        <v>311</v>
      </c>
    </row>
    <row r="183">
      <c r="A183" s="136"/>
      <c r="B183" s="54"/>
      <c r="C183" s="55" t="s">
        <v>311</v>
      </c>
      <c r="D183" s="55" t="s">
        <v>311</v>
      </c>
      <c r="E183" s="55" t="s">
        <v>311</v>
      </c>
      <c r="F183" s="55" t="s">
        <v>311</v>
      </c>
    </row>
    <row r="184">
      <c r="A184" s="136"/>
      <c r="B184" s="54"/>
      <c r="C184" s="55" t="s">
        <v>311</v>
      </c>
      <c r="D184" s="55" t="s">
        <v>311</v>
      </c>
      <c r="E184" s="55" t="s">
        <v>311</v>
      </c>
      <c r="F184" s="55" t="s">
        <v>311</v>
      </c>
    </row>
    <row r="185">
      <c r="A185" s="136"/>
      <c r="B185" s="54"/>
      <c r="C185" s="55" t="s">
        <v>311</v>
      </c>
      <c r="D185" s="55" t="s">
        <v>311</v>
      </c>
      <c r="E185" s="55" t="s">
        <v>311</v>
      </c>
      <c r="F185" s="55" t="s">
        <v>311</v>
      </c>
    </row>
    <row r="186">
      <c r="A186" s="136"/>
      <c r="B186" s="54"/>
      <c r="C186" s="55" t="s">
        <v>311</v>
      </c>
      <c r="D186" s="55" t="s">
        <v>311</v>
      </c>
      <c r="E186" s="55" t="s">
        <v>311</v>
      </c>
      <c r="F186" s="55" t="s">
        <v>311</v>
      </c>
    </row>
    <row r="187">
      <c r="A187" s="136"/>
      <c r="B187" s="54"/>
      <c r="C187" s="55" t="s">
        <v>311</v>
      </c>
      <c r="D187" s="55" t="s">
        <v>311</v>
      </c>
      <c r="E187" s="55" t="s">
        <v>311</v>
      </c>
      <c r="F187" s="55" t="s">
        <v>311</v>
      </c>
    </row>
    <row r="188">
      <c r="A188" s="136"/>
      <c r="B188" s="54"/>
      <c r="C188" s="55" t="s">
        <v>311</v>
      </c>
      <c r="D188" s="55" t="s">
        <v>311</v>
      </c>
      <c r="E188" s="55" t="s">
        <v>311</v>
      </c>
      <c r="F188" s="55" t="s">
        <v>311</v>
      </c>
    </row>
    <row r="189">
      <c r="A189" s="136"/>
      <c r="B189" s="54"/>
      <c r="C189" s="55" t="s">
        <v>311</v>
      </c>
      <c r="D189" s="55" t="s">
        <v>311</v>
      </c>
      <c r="E189" s="55" t="s">
        <v>311</v>
      </c>
      <c r="F189" s="55" t="s">
        <v>311</v>
      </c>
    </row>
    <row r="190">
      <c r="A190" s="136"/>
      <c r="B190" s="54"/>
      <c r="C190" s="55" t="s">
        <v>311</v>
      </c>
      <c r="D190" s="55" t="s">
        <v>311</v>
      </c>
      <c r="E190" s="55" t="s">
        <v>311</v>
      </c>
      <c r="F190" s="55" t="s">
        <v>311</v>
      </c>
    </row>
    <row r="191">
      <c r="A191" s="136"/>
      <c r="B191" s="54"/>
      <c r="C191" s="55" t="s">
        <v>311</v>
      </c>
      <c r="D191" s="55" t="s">
        <v>311</v>
      </c>
      <c r="E191" s="55" t="s">
        <v>311</v>
      </c>
      <c r="F191" s="55" t="s">
        <v>311</v>
      </c>
    </row>
    <row r="192">
      <c r="A192" s="136"/>
      <c r="B192" s="54"/>
      <c r="C192" s="55" t="s">
        <v>311</v>
      </c>
      <c r="D192" s="55" t="s">
        <v>311</v>
      </c>
      <c r="E192" s="55" t="s">
        <v>311</v>
      </c>
      <c r="F192" s="55" t="s">
        <v>311</v>
      </c>
    </row>
    <row r="193">
      <c r="A193" s="136"/>
      <c r="B193" s="54"/>
      <c r="C193" s="55" t="s">
        <v>311</v>
      </c>
      <c r="D193" s="55" t="s">
        <v>311</v>
      </c>
      <c r="E193" s="55" t="s">
        <v>311</v>
      </c>
      <c r="F193" s="55" t="s">
        <v>311</v>
      </c>
    </row>
    <row r="194">
      <c r="A194" s="136"/>
      <c r="B194" s="54"/>
      <c r="C194" s="55" t="s">
        <v>311</v>
      </c>
      <c r="D194" s="55" t="s">
        <v>311</v>
      </c>
      <c r="E194" s="55" t="s">
        <v>311</v>
      </c>
      <c r="F194" s="55" t="s">
        <v>311</v>
      </c>
    </row>
    <row r="195">
      <c r="A195" s="136"/>
      <c r="B195" s="54"/>
      <c r="C195" s="55" t="s">
        <v>311</v>
      </c>
      <c r="D195" s="55" t="s">
        <v>311</v>
      </c>
      <c r="E195" s="55" t="s">
        <v>311</v>
      </c>
      <c r="F195" s="55" t="s">
        <v>311</v>
      </c>
    </row>
    <row r="196">
      <c r="A196" s="136"/>
      <c r="B196" s="54"/>
      <c r="C196" s="55" t="s">
        <v>311</v>
      </c>
      <c r="D196" s="55" t="s">
        <v>311</v>
      </c>
      <c r="E196" s="55" t="s">
        <v>311</v>
      </c>
      <c r="F196" s="55" t="s">
        <v>311</v>
      </c>
    </row>
    <row r="197">
      <c r="A197" s="136"/>
      <c r="B197" s="54"/>
      <c r="C197" s="55" t="s">
        <v>311</v>
      </c>
      <c r="D197" s="55" t="s">
        <v>311</v>
      </c>
      <c r="E197" s="55" t="s">
        <v>311</v>
      </c>
      <c r="F197" s="55" t="s">
        <v>311</v>
      </c>
    </row>
    <row r="198">
      <c r="A198" s="136"/>
      <c r="B198" s="54"/>
      <c r="C198" s="55" t="s">
        <v>311</v>
      </c>
      <c r="D198" s="55" t="s">
        <v>311</v>
      </c>
      <c r="E198" s="55" t="s">
        <v>311</v>
      </c>
      <c r="F198" s="55" t="s">
        <v>311</v>
      </c>
    </row>
    <row r="199">
      <c r="A199" s="136"/>
      <c r="B199" s="54"/>
      <c r="C199" s="55" t="s">
        <v>311</v>
      </c>
      <c r="D199" s="55" t="s">
        <v>311</v>
      </c>
      <c r="E199" s="55" t="s">
        <v>311</v>
      </c>
      <c r="F199" s="55" t="s">
        <v>311</v>
      </c>
    </row>
    <row r="200">
      <c r="A200" s="136"/>
      <c r="B200" s="54"/>
      <c r="C200" s="55" t="s">
        <v>311</v>
      </c>
      <c r="D200" s="55" t="s">
        <v>311</v>
      </c>
      <c r="E200" s="55" t="s">
        <v>311</v>
      </c>
      <c r="F200" s="55" t="s">
        <v>311</v>
      </c>
    </row>
    <row r="201">
      <c r="A201" s="136"/>
      <c r="B201" s="54"/>
      <c r="C201" s="55" t="s">
        <v>311</v>
      </c>
      <c r="D201" s="55" t="s">
        <v>311</v>
      </c>
      <c r="E201" s="55" t="s">
        <v>311</v>
      </c>
      <c r="F201" s="55" t="s">
        <v>311</v>
      </c>
    </row>
    <row r="202">
      <c r="A202" s="136"/>
      <c r="B202" s="54"/>
      <c r="C202" s="55" t="s">
        <v>311</v>
      </c>
      <c r="D202" s="55" t="s">
        <v>311</v>
      </c>
      <c r="E202" s="55" t="s">
        <v>311</v>
      </c>
      <c r="F202" s="55" t="s">
        <v>311</v>
      </c>
    </row>
    <row r="203">
      <c r="A203" s="136"/>
      <c r="B203" s="54"/>
      <c r="C203" s="55" t="s">
        <v>311</v>
      </c>
      <c r="D203" s="55" t="s">
        <v>311</v>
      </c>
      <c r="E203" s="55" t="s">
        <v>311</v>
      </c>
      <c r="F203" s="55" t="s">
        <v>311</v>
      </c>
    </row>
    <row r="204">
      <c r="A204" s="136"/>
      <c r="B204" s="54"/>
      <c r="C204" s="55" t="s">
        <v>311</v>
      </c>
      <c r="D204" s="55" t="s">
        <v>311</v>
      </c>
      <c r="E204" s="55" t="s">
        <v>311</v>
      </c>
      <c r="F204" s="55" t="s">
        <v>311</v>
      </c>
    </row>
    <row r="205">
      <c r="A205" s="136"/>
      <c r="B205" s="54"/>
      <c r="C205" s="55" t="s">
        <v>311</v>
      </c>
      <c r="D205" s="55" t="s">
        <v>311</v>
      </c>
      <c r="E205" s="55" t="s">
        <v>311</v>
      </c>
      <c r="F205" s="55" t="s">
        <v>311</v>
      </c>
    </row>
    <row r="206">
      <c r="A206" s="136"/>
      <c r="B206" s="54"/>
      <c r="C206" s="55" t="s">
        <v>311</v>
      </c>
      <c r="D206" s="55" t="s">
        <v>311</v>
      </c>
      <c r="E206" s="55" t="s">
        <v>311</v>
      </c>
      <c r="F206" s="55" t="s">
        <v>311</v>
      </c>
    </row>
    <row r="207">
      <c r="A207" s="136"/>
      <c r="B207" s="54"/>
      <c r="C207" s="55" t="s">
        <v>311</v>
      </c>
      <c r="D207" s="55" t="s">
        <v>311</v>
      </c>
      <c r="E207" s="55" t="s">
        <v>311</v>
      </c>
      <c r="F207" s="55" t="s">
        <v>311</v>
      </c>
    </row>
    <row r="208">
      <c r="A208" s="136"/>
      <c r="B208" s="54"/>
      <c r="C208" s="55" t="s">
        <v>311</v>
      </c>
      <c r="D208" s="55" t="s">
        <v>311</v>
      </c>
      <c r="E208" s="55" t="s">
        <v>311</v>
      </c>
      <c r="F208" s="55" t="s">
        <v>311</v>
      </c>
    </row>
    <row r="209">
      <c r="A209" s="136"/>
      <c r="B209" s="54"/>
      <c r="C209" s="55" t="s">
        <v>311</v>
      </c>
      <c r="D209" s="55" t="s">
        <v>311</v>
      </c>
      <c r="E209" s="55" t="s">
        <v>311</v>
      </c>
      <c r="F209" s="55" t="s">
        <v>311</v>
      </c>
    </row>
    <row r="210">
      <c r="A210" s="136"/>
      <c r="B210" s="54"/>
      <c r="C210" s="55" t="s">
        <v>311</v>
      </c>
      <c r="D210" s="55" t="s">
        <v>311</v>
      </c>
      <c r="E210" s="55" t="s">
        <v>311</v>
      </c>
      <c r="F210" s="55" t="s">
        <v>311</v>
      </c>
    </row>
    <row r="211">
      <c r="A211" s="136"/>
      <c r="B211" s="54"/>
      <c r="C211" s="55" t="s">
        <v>311</v>
      </c>
      <c r="D211" s="55" t="s">
        <v>311</v>
      </c>
      <c r="E211" s="55" t="s">
        <v>311</v>
      </c>
      <c r="F211" s="55" t="s">
        <v>311</v>
      </c>
    </row>
    <row r="212">
      <c r="A212" s="136"/>
      <c r="B212" s="54"/>
      <c r="C212" s="55" t="s">
        <v>311</v>
      </c>
      <c r="D212" s="55" t="s">
        <v>311</v>
      </c>
      <c r="E212" s="55" t="s">
        <v>311</v>
      </c>
      <c r="F212" s="55" t="s">
        <v>311</v>
      </c>
    </row>
    <row r="213">
      <c r="A213" s="136"/>
      <c r="B213" s="54"/>
      <c r="C213" s="55" t="s">
        <v>311</v>
      </c>
      <c r="D213" s="55" t="s">
        <v>311</v>
      </c>
      <c r="E213" s="55" t="s">
        <v>311</v>
      </c>
      <c r="F213" s="55" t="s">
        <v>311</v>
      </c>
    </row>
    <row r="214">
      <c r="A214" s="136"/>
      <c r="B214" s="54"/>
      <c r="C214" s="55" t="s">
        <v>311</v>
      </c>
      <c r="D214" s="55" t="s">
        <v>311</v>
      </c>
      <c r="E214" s="55" t="s">
        <v>311</v>
      </c>
      <c r="F214" s="55" t="s">
        <v>311</v>
      </c>
    </row>
    <row r="215">
      <c r="A215" s="136"/>
      <c r="B215" s="54"/>
      <c r="C215" s="55" t="s">
        <v>311</v>
      </c>
      <c r="D215" s="55" t="s">
        <v>311</v>
      </c>
      <c r="E215" s="55" t="s">
        <v>311</v>
      </c>
      <c r="F215" s="55" t="s">
        <v>311</v>
      </c>
    </row>
    <row r="216">
      <c r="A216" s="136"/>
      <c r="B216" s="54"/>
      <c r="C216" s="55" t="s">
        <v>311</v>
      </c>
      <c r="D216" s="55" t="s">
        <v>311</v>
      </c>
      <c r="E216" s="55" t="s">
        <v>311</v>
      </c>
      <c r="F216" s="55" t="s">
        <v>311</v>
      </c>
    </row>
    <row r="217">
      <c r="A217" s="136"/>
      <c r="B217" s="54"/>
      <c r="C217" s="55" t="s">
        <v>311</v>
      </c>
      <c r="D217" s="55" t="s">
        <v>311</v>
      </c>
      <c r="E217" s="55" t="s">
        <v>311</v>
      </c>
      <c r="F217" s="55" t="s">
        <v>311</v>
      </c>
    </row>
    <row r="218">
      <c r="A218" s="136"/>
      <c r="B218" s="54"/>
      <c r="C218" s="55" t="s">
        <v>311</v>
      </c>
      <c r="D218" s="55" t="s">
        <v>311</v>
      </c>
      <c r="E218" s="55" t="s">
        <v>311</v>
      </c>
      <c r="F218" s="55" t="s">
        <v>311</v>
      </c>
    </row>
    <row r="219">
      <c r="A219" s="136"/>
      <c r="B219" s="54"/>
      <c r="C219" s="55" t="s">
        <v>311</v>
      </c>
      <c r="D219" s="55" t="s">
        <v>311</v>
      </c>
      <c r="E219" s="55" t="s">
        <v>311</v>
      </c>
      <c r="F219" s="55" t="s">
        <v>311</v>
      </c>
    </row>
    <row r="220">
      <c r="A220" s="136"/>
      <c r="B220" s="54"/>
      <c r="C220" s="55" t="s">
        <v>311</v>
      </c>
      <c r="D220" s="55" t="s">
        <v>311</v>
      </c>
      <c r="E220" s="55" t="s">
        <v>311</v>
      </c>
      <c r="F220" s="55" t="s">
        <v>311</v>
      </c>
    </row>
    <row r="221">
      <c r="A221" s="136"/>
      <c r="B221" s="54"/>
      <c r="C221" s="55" t="s">
        <v>311</v>
      </c>
      <c r="D221" s="55" t="s">
        <v>311</v>
      </c>
      <c r="E221" s="55" t="s">
        <v>311</v>
      </c>
      <c r="F221" s="55" t="s">
        <v>311</v>
      </c>
    </row>
    <row r="222">
      <c r="A222" s="136"/>
      <c r="B222" s="54"/>
      <c r="C222" s="55" t="s">
        <v>311</v>
      </c>
      <c r="D222" s="55" t="s">
        <v>311</v>
      </c>
      <c r="E222" s="55" t="s">
        <v>311</v>
      </c>
      <c r="F222" s="55" t="s">
        <v>311</v>
      </c>
    </row>
    <row r="223">
      <c r="A223" s="136"/>
      <c r="B223" s="54"/>
      <c r="C223" s="55" t="s">
        <v>311</v>
      </c>
      <c r="D223" s="55" t="s">
        <v>311</v>
      </c>
      <c r="E223" s="55" t="s">
        <v>311</v>
      </c>
      <c r="F223" s="55" t="s">
        <v>311</v>
      </c>
    </row>
    <row r="224">
      <c r="A224" s="136"/>
      <c r="B224" s="54"/>
      <c r="C224" s="55" t="s">
        <v>311</v>
      </c>
      <c r="D224" s="55" t="s">
        <v>311</v>
      </c>
      <c r="E224" s="55" t="s">
        <v>311</v>
      </c>
      <c r="F224" s="55" t="s">
        <v>311</v>
      </c>
    </row>
    <row r="225">
      <c r="A225" s="136"/>
      <c r="B225" s="54"/>
      <c r="C225" s="55" t="s">
        <v>311</v>
      </c>
      <c r="D225" s="55" t="s">
        <v>311</v>
      </c>
      <c r="E225" s="55" t="s">
        <v>311</v>
      </c>
      <c r="F225" s="55" t="s">
        <v>311</v>
      </c>
    </row>
    <row r="226">
      <c r="A226" s="136"/>
      <c r="B226" s="54"/>
      <c r="C226" s="55" t="s">
        <v>311</v>
      </c>
      <c r="D226" s="55" t="s">
        <v>311</v>
      </c>
      <c r="E226" s="55" t="s">
        <v>311</v>
      </c>
      <c r="F226" s="55" t="s">
        <v>311</v>
      </c>
    </row>
    <row r="227">
      <c r="A227" s="136"/>
      <c r="B227" s="54"/>
      <c r="C227" s="55" t="s">
        <v>311</v>
      </c>
      <c r="D227" s="55" t="s">
        <v>311</v>
      </c>
      <c r="E227" s="55" t="s">
        <v>311</v>
      </c>
      <c r="F227" s="55" t="s">
        <v>311</v>
      </c>
    </row>
    <row r="228">
      <c r="A228" s="136"/>
      <c r="B228" s="54"/>
      <c r="C228" s="55" t="s">
        <v>311</v>
      </c>
      <c r="D228" s="55" t="s">
        <v>311</v>
      </c>
      <c r="E228" s="55" t="s">
        <v>311</v>
      </c>
      <c r="F228" s="55" t="s">
        <v>311</v>
      </c>
    </row>
    <row r="229">
      <c r="A229" s="136"/>
      <c r="B229" s="54"/>
      <c r="C229" s="55" t="s">
        <v>311</v>
      </c>
      <c r="D229" s="55" t="s">
        <v>311</v>
      </c>
      <c r="E229" s="55" t="s">
        <v>311</v>
      </c>
      <c r="F229" s="55" t="s">
        <v>311</v>
      </c>
    </row>
    <row r="230">
      <c r="A230" s="136"/>
      <c r="B230" s="54"/>
      <c r="C230" s="55" t="s">
        <v>311</v>
      </c>
      <c r="D230" s="55" t="s">
        <v>311</v>
      </c>
      <c r="E230" s="55" t="s">
        <v>311</v>
      </c>
      <c r="F230" s="55" t="s">
        <v>311</v>
      </c>
    </row>
    <row r="231">
      <c r="A231" s="136"/>
      <c r="B231" s="54"/>
      <c r="C231" s="55" t="s">
        <v>311</v>
      </c>
      <c r="D231" s="55" t="s">
        <v>311</v>
      </c>
      <c r="E231" s="55" t="s">
        <v>311</v>
      </c>
      <c r="F231" s="55" t="s">
        <v>311</v>
      </c>
    </row>
    <row r="232">
      <c r="A232" s="136"/>
      <c r="B232" s="54"/>
      <c r="C232" s="55" t="s">
        <v>311</v>
      </c>
      <c r="D232" s="55" t="s">
        <v>311</v>
      </c>
      <c r="E232" s="55" t="s">
        <v>311</v>
      </c>
      <c r="F232" s="55" t="s">
        <v>311</v>
      </c>
    </row>
    <row r="233">
      <c r="A233" s="136"/>
      <c r="B233" s="54"/>
      <c r="C233" s="55" t="s">
        <v>311</v>
      </c>
      <c r="D233" s="55" t="s">
        <v>311</v>
      </c>
      <c r="E233" s="55" t="s">
        <v>311</v>
      </c>
      <c r="F233" s="55" t="s">
        <v>311</v>
      </c>
    </row>
    <row r="234">
      <c r="A234" s="136"/>
      <c r="B234" s="54"/>
      <c r="C234" s="55" t="s">
        <v>311</v>
      </c>
      <c r="D234" s="55" t="s">
        <v>311</v>
      </c>
      <c r="E234" s="55" t="s">
        <v>311</v>
      </c>
      <c r="F234" s="55" t="s">
        <v>311</v>
      </c>
    </row>
    <row r="235">
      <c r="A235" s="136"/>
      <c r="B235" s="54"/>
      <c r="C235" s="55" t="s">
        <v>311</v>
      </c>
      <c r="D235" s="55" t="s">
        <v>311</v>
      </c>
      <c r="E235" s="55" t="s">
        <v>311</v>
      </c>
      <c r="F235" s="55" t="s">
        <v>311</v>
      </c>
    </row>
    <row r="236">
      <c r="A236" s="136"/>
      <c r="B236" s="54"/>
      <c r="C236" s="55" t="s">
        <v>311</v>
      </c>
      <c r="D236" s="55" t="s">
        <v>311</v>
      </c>
      <c r="E236" s="55" t="s">
        <v>311</v>
      </c>
      <c r="F236" s="55" t="s">
        <v>311</v>
      </c>
    </row>
    <row r="237">
      <c r="A237" s="136"/>
      <c r="B237" s="54"/>
      <c r="C237" s="55" t="s">
        <v>311</v>
      </c>
      <c r="D237" s="55" t="s">
        <v>311</v>
      </c>
      <c r="E237" s="55" t="s">
        <v>311</v>
      </c>
      <c r="F237" s="55" t="s">
        <v>311</v>
      </c>
    </row>
    <row r="238">
      <c r="A238" s="136"/>
      <c r="B238" s="54"/>
      <c r="C238" s="55" t="s">
        <v>311</v>
      </c>
      <c r="D238" s="55" t="s">
        <v>311</v>
      </c>
      <c r="E238" s="55" t="s">
        <v>311</v>
      </c>
      <c r="F238" s="55" t="s">
        <v>311</v>
      </c>
    </row>
    <row r="239">
      <c r="A239" s="136"/>
      <c r="B239" s="54"/>
      <c r="C239" s="55" t="s">
        <v>311</v>
      </c>
      <c r="D239" s="55" t="s">
        <v>311</v>
      </c>
      <c r="E239" s="55" t="s">
        <v>311</v>
      </c>
      <c r="F239" s="55" t="s">
        <v>311</v>
      </c>
    </row>
    <row r="240">
      <c r="A240" s="136"/>
      <c r="B240" s="54"/>
      <c r="C240" s="55" t="s">
        <v>311</v>
      </c>
      <c r="D240" s="55" t="s">
        <v>311</v>
      </c>
      <c r="E240" s="55" t="s">
        <v>311</v>
      </c>
      <c r="F240" s="55" t="s">
        <v>311</v>
      </c>
    </row>
    <row r="241">
      <c r="A241" s="136"/>
      <c r="B241" s="54"/>
      <c r="C241" s="55" t="s">
        <v>311</v>
      </c>
      <c r="D241" s="55" t="s">
        <v>311</v>
      </c>
      <c r="E241" s="55" t="s">
        <v>311</v>
      </c>
      <c r="F241" s="55" t="s">
        <v>311</v>
      </c>
    </row>
    <row r="242">
      <c r="A242" s="136"/>
      <c r="B242" s="54"/>
      <c r="C242" s="55" t="s">
        <v>311</v>
      </c>
      <c r="D242" s="55" t="s">
        <v>311</v>
      </c>
      <c r="E242" s="55" t="s">
        <v>311</v>
      </c>
      <c r="F242" s="55" t="s">
        <v>311</v>
      </c>
    </row>
    <row r="243">
      <c r="A243" s="136"/>
      <c r="B243" s="54"/>
      <c r="C243" s="55" t="s">
        <v>311</v>
      </c>
      <c r="D243" s="55" t="s">
        <v>311</v>
      </c>
      <c r="E243" s="55" t="s">
        <v>311</v>
      </c>
      <c r="F243" s="55" t="s">
        <v>311</v>
      </c>
    </row>
    <row r="244">
      <c r="A244" s="136"/>
      <c r="B244" s="54"/>
      <c r="C244" s="55" t="s">
        <v>311</v>
      </c>
      <c r="D244" s="55" t="s">
        <v>311</v>
      </c>
      <c r="E244" s="55" t="s">
        <v>311</v>
      </c>
      <c r="F244" s="55" t="s">
        <v>311</v>
      </c>
    </row>
    <row r="245">
      <c r="A245" s="136"/>
      <c r="B245" s="54"/>
      <c r="C245" s="55" t="s">
        <v>311</v>
      </c>
      <c r="D245" s="55" t="s">
        <v>311</v>
      </c>
      <c r="E245" s="55" t="s">
        <v>311</v>
      </c>
      <c r="F245" s="55" t="s">
        <v>311</v>
      </c>
    </row>
    <row r="246">
      <c r="A246" s="136"/>
      <c r="B246" s="54"/>
      <c r="C246" s="55" t="s">
        <v>311</v>
      </c>
      <c r="D246" s="55" t="s">
        <v>311</v>
      </c>
      <c r="E246" s="55" t="s">
        <v>311</v>
      </c>
      <c r="F246" s="55" t="s">
        <v>311</v>
      </c>
    </row>
    <row r="247">
      <c r="A247" s="136"/>
      <c r="B247" s="54"/>
      <c r="C247" s="55" t="s">
        <v>311</v>
      </c>
      <c r="D247" s="55" t="s">
        <v>311</v>
      </c>
      <c r="E247" s="55" t="s">
        <v>311</v>
      </c>
      <c r="F247" s="55" t="s">
        <v>311</v>
      </c>
    </row>
    <row r="248">
      <c r="A248" s="136"/>
      <c r="B248" s="54"/>
      <c r="C248" s="55" t="s">
        <v>311</v>
      </c>
      <c r="D248" s="55" t="s">
        <v>311</v>
      </c>
      <c r="E248" s="55" t="s">
        <v>311</v>
      </c>
      <c r="F248" s="55" t="s">
        <v>311</v>
      </c>
    </row>
    <row r="249">
      <c r="A249" s="136"/>
      <c r="B249" s="54"/>
      <c r="C249" s="55" t="s">
        <v>311</v>
      </c>
      <c r="D249" s="55" t="s">
        <v>311</v>
      </c>
      <c r="E249" s="55" t="s">
        <v>311</v>
      </c>
      <c r="F249" s="55" t="s">
        <v>311</v>
      </c>
    </row>
    <row r="250">
      <c r="A250" s="136"/>
      <c r="B250" s="54"/>
      <c r="C250" s="55" t="s">
        <v>311</v>
      </c>
      <c r="D250" s="55" t="s">
        <v>311</v>
      </c>
      <c r="E250" s="55" t="s">
        <v>311</v>
      </c>
      <c r="F250" s="55" t="s">
        <v>311</v>
      </c>
    </row>
    <row r="251">
      <c r="A251" s="136"/>
      <c r="B251" s="54"/>
      <c r="C251" s="55" t="s">
        <v>311</v>
      </c>
      <c r="D251" s="55" t="s">
        <v>311</v>
      </c>
      <c r="E251" s="55" t="s">
        <v>311</v>
      </c>
      <c r="F251" s="55" t="s">
        <v>311</v>
      </c>
    </row>
    <row r="252">
      <c r="A252" s="136"/>
      <c r="B252" s="54"/>
      <c r="C252" s="55" t="s">
        <v>311</v>
      </c>
      <c r="D252" s="55" t="s">
        <v>311</v>
      </c>
      <c r="E252" s="55" t="s">
        <v>311</v>
      </c>
      <c r="F252" s="55" t="s">
        <v>311</v>
      </c>
    </row>
    <row r="253">
      <c r="A253" s="136"/>
      <c r="B253" s="54"/>
      <c r="C253" s="55" t="s">
        <v>311</v>
      </c>
      <c r="D253" s="55" t="s">
        <v>311</v>
      </c>
      <c r="E253" s="55" t="s">
        <v>311</v>
      </c>
      <c r="F253" s="55" t="s">
        <v>311</v>
      </c>
    </row>
    <row r="254">
      <c r="A254" s="136"/>
      <c r="B254" s="54"/>
      <c r="C254" s="55" t="s">
        <v>311</v>
      </c>
      <c r="D254" s="55" t="s">
        <v>311</v>
      </c>
      <c r="E254" s="55" t="s">
        <v>311</v>
      </c>
      <c r="F254" s="55" t="s">
        <v>311</v>
      </c>
    </row>
    <row r="255">
      <c r="A255" s="136"/>
      <c r="B255" s="54"/>
      <c r="C255" s="55" t="s">
        <v>311</v>
      </c>
      <c r="D255" s="55" t="s">
        <v>311</v>
      </c>
      <c r="E255" s="55" t="s">
        <v>311</v>
      </c>
      <c r="F255" s="55" t="s">
        <v>311</v>
      </c>
    </row>
    <row r="256">
      <c r="A256" s="136"/>
      <c r="B256" s="54"/>
      <c r="C256" s="55" t="s">
        <v>311</v>
      </c>
      <c r="D256" s="55" t="s">
        <v>311</v>
      </c>
      <c r="E256" s="55" t="s">
        <v>311</v>
      </c>
      <c r="F256" s="55" t="s">
        <v>311</v>
      </c>
    </row>
    <row r="257">
      <c r="A257" s="136"/>
      <c r="B257" s="54"/>
      <c r="C257" s="55" t="s">
        <v>311</v>
      </c>
      <c r="D257" s="55" t="s">
        <v>311</v>
      </c>
      <c r="E257" s="55" t="s">
        <v>311</v>
      </c>
      <c r="F257" s="55" t="s">
        <v>311</v>
      </c>
    </row>
    <row r="258">
      <c r="A258" s="136"/>
      <c r="B258" s="54"/>
      <c r="C258" s="55" t="s">
        <v>311</v>
      </c>
      <c r="D258" s="55" t="s">
        <v>311</v>
      </c>
      <c r="E258" s="55" t="s">
        <v>311</v>
      </c>
      <c r="F258" s="55" t="s">
        <v>311</v>
      </c>
    </row>
    <row r="259">
      <c r="A259" s="136"/>
      <c r="B259" s="54"/>
      <c r="C259" s="55" t="s">
        <v>311</v>
      </c>
      <c r="D259" s="55" t="s">
        <v>311</v>
      </c>
      <c r="E259" s="55" t="s">
        <v>311</v>
      </c>
      <c r="F259" s="55" t="s">
        <v>311</v>
      </c>
    </row>
    <row r="260">
      <c r="A260" s="136"/>
      <c r="B260" s="54"/>
      <c r="C260" s="55" t="s">
        <v>311</v>
      </c>
      <c r="D260" s="55" t="s">
        <v>311</v>
      </c>
      <c r="E260" s="55" t="s">
        <v>311</v>
      </c>
      <c r="F260" s="55" t="s">
        <v>311</v>
      </c>
    </row>
    <row r="261">
      <c r="A261" s="136"/>
      <c r="B261" s="54"/>
      <c r="C261" s="55" t="s">
        <v>311</v>
      </c>
      <c r="D261" s="55" t="s">
        <v>311</v>
      </c>
      <c r="E261" s="55" t="s">
        <v>311</v>
      </c>
      <c r="F261" s="55" t="s">
        <v>311</v>
      </c>
    </row>
    <row r="262">
      <c r="A262" s="136"/>
      <c r="B262" s="54"/>
      <c r="C262" s="55" t="s">
        <v>311</v>
      </c>
      <c r="D262" s="55" t="s">
        <v>311</v>
      </c>
      <c r="E262" s="55" t="s">
        <v>311</v>
      </c>
      <c r="F262" s="55" t="s">
        <v>311</v>
      </c>
    </row>
    <row r="263">
      <c r="A263" s="136"/>
      <c r="B263" s="54"/>
      <c r="C263" s="55" t="s">
        <v>311</v>
      </c>
      <c r="D263" s="55" t="s">
        <v>311</v>
      </c>
      <c r="E263" s="55" t="s">
        <v>311</v>
      </c>
      <c r="F263" s="55" t="s">
        <v>311</v>
      </c>
    </row>
    <row r="264">
      <c r="A264" s="136"/>
      <c r="B264" s="54"/>
      <c r="C264" s="55" t="s">
        <v>311</v>
      </c>
      <c r="D264" s="55" t="s">
        <v>311</v>
      </c>
      <c r="E264" s="55" t="s">
        <v>311</v>
      </c>
      <c r="F264" s="55" t="s">
        <v>311</v>
      </c>
    </row>
    <row r="265">
      <c r="A265" s="136"/>
      <c r="B265" s="54"/>
      <c r="C265" s="55" t="s">
        <v>311</v>
      </c>
      <c r="D265" s="55" t="s">
        <v>311</v>
      </c>
      <c r="E265" s="55" t="s">
        <v>311</v>
      </c>
      <c r="F265" s="55" t="s">
        <v>311</v>
      </c>
    </row>
    <row r="266">
      <c r="A266" s="136"/>
      <c r="B266" s="54"/>
      <c r="C266" s="55" t="s">
        <v>311</v>
      </c>
      <c r="D266" s="55" t="s">
        <v>311</v>
      </c>
      <c r="E266" s="55" t="s">
        <v>311</v>
      </c>
      <c r="F266" s="55" t="s">
        <v>311</v>
      </c>
    </row>
    <row r="267">
      <c r="A267" s="136"/>
      <c r="B267" s="54"/>
      <c r="C267" s="55" t="s">
        <v>311</v>
      </c>
      <c r="D267" s="55" t="s">
        <v>311</v>
      </c>
      <c r="E267" s="55" t="s">
        <v>311</v>
      </c>
      <c r="F267" s="55" t="s">
        <v>311</v>
      </c>
    </row>
    <row r="268">
      <c r="A268" s="136"/>
      <c r="B268" s="54"/>
      <c r="C268" s="55" t="s">
        <v>311</v>
      </c>
      <c r="D268" s="55" t="s">
        <v>311</v>
      </c>
      <c r="E268" s="55" t="s">
        <v>311</v>
      </c>
      <c r="F268" s="55" t="s">
        <v>311</v>
      </c>
    </row>
    <row r="269">
      <c r="A269" s="136"/>
      <c r="B269" s="54"/>
      <c r="C269" s="55" t="s">
        <v>311</v>
      </c>
      <c r="D269" s="55" t="s">
        <v>311</v>
      </c>
      <c r="E269" s="55" t="s">
        <v>311</v>
      </c>
      <c r="F269" s="55" t="s">
        <v>311</v>
      </c>
    </row>
    <row r="270">
      <c r="A270" s="136"/>
      <c r="B270" s="54"/>
      <c r="C270" s="55" t="s">
        <v>311</v>
      </c>
      <c r="D270" s="55" t="s">
        <v>311</v>
      </c>
      <c r="E270" s="55" t="s">
        <v>311</v>
      </c>
      <c r="F270" s="55" t="s">
        <v>311</v>
      </c>
    </row>
    <row r="271">
      <c r="A271" s="136"/>
      <c r="B271" s="54"/>
      <c r="C271" s="55" t="s">
        <v>311</v>
      </c>
      <c r="D271" s="55" t="s">
        <v>311</v>
      </c>
      <c r="E271" s="55" t="s">
        <v>311</v>
      </c>
      <c r="F271" s="55" t="s">
        <v>311</v>
      </c>
    </row>
    <row r="272">
      <c r="A272" s="136"/>
      <c r="B272" s="54"/>
      <c r="C272" s="55" t="s">
        <v>311</v>
      </c>
      <c r="D272" s="55" t="s">
        <v>311</v>
      </c>
      <c r="E272" s="55" t="s">
        <v>311</v>
      </c>
      <c r="F272" s="55" t="s">
        <v>311</v>
      </c>
    </row>
    <row r="273">
      <c r="A273" s="136"/>
      <c r="B273" s="54"/>
      <c r="C273" s="55" t="s">
        <v>311</v>
      </c>
      <c r="D273" s="55" t="s">
        <v>311</v>
      </c>
      <c r="E273" s="55" t="s">
        <v>311</v>
      </c>
      <c r="F273" s="55" t="s">
        <v>311</v>
      </c>
    </row>
    <row r="274">
      <c r="A274" s="136"/>
      <c r="B274" s="54"/>
      <c r="C274" s="55" t="s">
        <v>311</v>
      </c>
      <c r="D274" s="55" t="s">
        <v>311</v>
      </c>
      <c r="E274" s="55" t="s">
        <v>311</v>
      </c>
      <c r="F274" s="55" t="s">
        <v>311</v>
      </c>
    </row>
    <row r="275">
      <c r="A275" s="136"/>
      <c r="B275" s="54"/>
      <c r="C275" s="55" t="s">
        <v>311</v>
      </c>
      <c r="D275" s="55" t="s">
        <v>311</v>
      </c>
      <c r="E275" s="55" t="s">
        <v>311</v>
      </c>
      <c r="F275" s="55" t="s">
        <v>311</v>
      </c>
    </row>
    <row r="276">
      <c r="A276" s="136"/>
      <c r="B276" s="54"/>
      <c r="C276" s="55" t="s">
        <v>311</v>
      </c>
      <c r="D276" s="55" t="s">
        <v>311</v>
      </c>
      <c r="E276" s="55" t="s">
        <v>311</v>
      </c>
      <c r="F276" s="55" t="s">
        <v>311</v>
      </c>
    </row>
    <row r="277">
      <c r="A277" s="136"/>
      <c r="B277" s="54"/>
      <c r="C277" s="55" t="s">
        <v>311</v>
      </c>
      <c r="D277" s="55" t="s">
        <v>311</v>
      </c>
      <c r="E277" s="55" t="s">
        <v>311</v>
      </c>
      <c r="F277" s="55" t="s">
        <v>311</v>
      </c>
    </row>
    <row r="278">
      <c r="A278" s="136"/>
      <c r="B278" s="54"/>
      <c r="C278" s="55" t="s">
        <v>311</v>
      </c>
      <c r="D278" s="55" t="s">
        <v>311</v>
      </c>
      <c r="E278" s="55" t="s">
        <v>311</v>
      </c>
      <c r="F278" s="55" t="s">
        <v>311</v>
      </c>
    </row>
    <row r="279">
      <c r="A279" s="136"/>
      <c r="B279" s="54"/>
      <c r="C279" s="55" t="s">
        <v>311</v>
      </c>
      <c r="D279" s="55" t="s">
        <v>311</v>
      </c>
      <c r="E279" s="55" t="s">
        <v>311</v>
      </c>
      <c r="F279" s="55" t="s">
        <v>311</v>
      </c>
    </row>
    <row r="280">
      <c r="A280" s="136"/>
      <c r="B280" s="54"/>
      <c r="C280" s="55" t="s">
        <v>311</v>
      </c>
      <c r="D280" s="55" t="s">
        <v>311</v>
      </c>
      <c r="E280" s="55" t="s">
        <v>311</v>
      </c>
      <c r="F280" s="55" t="s">
        <v>311</v>
      </c>
    </row>
    <row r="281">
      <c r="A281" s="136"/>
      <c r="B281" s="54"/>
      <c r="C281" s="55" t="s">
        <v>311</v>
      </c>
      <c r="D281" s="55" t="s">
        <v>311</v>
      </c>
      <c r="E281" s="55" t="s">
        <v>311</v>
      </c>
      <c r="F281" s="55" t="s">
        <v>311</v>
      </c>
    </row>
    <row r="282">
      <c r="A282" s="136"/>
      <c r="B282" s="54"/>
      <c r="C282" s="55" t="s">
        <v>311</v>
      </c>
      <c r="D282" s="55" t="s">
        <v>311</v>
      </c>
      <c r="E282" s="55" t="s">
        <v>311</v>
      </c>
      <c r="F282" s="55" t="s">
        <v>311</v>
      </c>
    </row>
    <row r="283">
      <c r="A283" s="136"/>
      <c r="B283" s="54"/>
      <c r="C283" s="55" t="s">
        <v>311</v>
      </c>
      <c r="D283" s="55" t="s">
        <v>311</v>
      </c>
      <c r="E283" s="55" t="s">
        <v>311</v>
      </c>
      <c r="F283" s="55" t="s">
        <v>311</v>
      </c>
    </row>
    <row r="284">
      <c r="A284" s="136"/>
      <c r="B284" s="54"/>
      <c r="C284" s="55" t="s">
        <v>311</v>
      </c>
      <c r="D284" s="55" t="s">
        <v>311</v>
      </c>
      <c r="E284" s="55" t="s">
        <v>311</v>
      </c>
      <c r="F284" s="55" t="s">
        <v>311</v>
      </c>
    </row>
    <row r="285">
      <c r="A285" s="136"/>
      <c r="B285" s="54"/>
      <c r="C285" s="55" t="s">
        <v>311</v>
      </c>
      <c r="D285" s="55" t="s">
        <v>311</v>
      </c>
      <c r="E285" s="55" t="s">
        <v>311</v>
      </c>
      <c r="F285" s="55" t="s">
        <v>311</v>
      </c>
    </row>
    <row r="286">
      <c r="A286" s="136"/>
      <c r="B286" s="54"/>
      <c r="C286" s="55" t="s">
        <v>311</v>
      </c>
      <c r="D286" s="55" t="s">
        <v>311</v>
      </c>
      <c r="E286" s="55" t="s">
        <v>311</v>
      </c>
      <c r="F286" s="55" t="s">
        <v>311</v>
      </c>
    </row>
    <row r="287">
      <c r="A287" s="136"/>
      <c r="B287" s="54"/>
      <c r="C287" s="55" t="s">
        <v>311</v>
      </c>
      <c r="D287" s="55" t="s">
        <v>311</v>
      </c>
      <c r="E287" s="55" t="s">
        <v>311</v>
      </c>
      <c r="F287" s="55" t="s">
        <v>311</v>
      </c>
    </row>
    <row r="288">
      <c r="A288" s="136"/>
      <c r="B288" s="54"/>
      <c r="C288" s="55" t="s">
        <v>311</v>
      </c>
      <c r="D288" s="55" t="s">
        <v>311</v>
      </c>
      <c r="E288" s="55" t="s">
        <v>311</v>
      </c>
      <c r="F288" s="55" t="s">
        <v>311</v>
      </c>
    </row>
    <row r="289">
      <c r="A289" s="136"/>
      <c r="B289" s="54"/>
      <c r="C289" s="55" t="s">
        <v>311</v>
      </c>
      <c r="D289" s="55" t="s">
        <v>311</v>
      </c>
      <c r="E289" s="55" t="s">
        <v>311</v>
      </c>
      <c r="F289" s="55" t="s">
        <v>311</v>
      </c>
    </row>
    <row r="290">
      <c r="A290" s="136"/>
      <c r="B290" s="54"/>
      <c r="C290" s="55" t="s">
        <v>311</v>
      </c>
      <c r="D290" s="55" t="s">
        <v>311</v>
      </c>
      <c r="E290" s="55" t="s">
        <v>311</v>
      </c>
      <c r="F290" s="55" t="s">
        <v>311</v>
      </c>
    </row>
    <row r="291">
      <c r="A291" s="136"/>
      <c r="B291" s="54"/>
      <c r="C291" s="55" t="s">
        <v>311</v>
      </c>
      <c r="D291" s="55" t="s">
        <v>311</v>
      </c>
      <c r="E291" s="55" t="s">
        <v>311</v>
      </c>
      <c r="F291" s="55" t="s">
        <v>311</v>
      </c>
    </row>
    <row r="292">
      <c r="A292" s="136"/>
      <c r="B292" s="54"/>
      <c r="C292" s="55" t="s">
        <v>311</v>
      </c>
      <c r="D292" s="55" t="s">
        <v>311</v>
      </c>
      <c r="E292" s="55" t="s">
        <v>311</v>
      </c>
      <c r="F292" s="55" t="s">
        <v>311</v>
      </c>
    </row>
    <row r="293">
      <c r="A293" s="136"/>
      <c r="B293" s="54"/>
      <c r="C293" s="55" t="s">
        <v>311</v>
      </c>
      <c r="D293" s="55" t="s">
        <v>311</v>
      </c>
      <c r="E293" s="55" t="s">
        <v>311</v>
      </c>
      <c r="F293" s="55" t="s">
        <v>311</v>
      </c>
    </row>
    <row r="294">
      <c r="A294" s="136"/>
      <c r="B294" s="54"/>
      <c r="C294" s="55" t="s">
        <v>311</v>
      </c>
      <c r="D294" s="55" t="s">
        <v>311</v>
      </c>
      <c r="E294" s="55" t="s">
        <v>311</v>
      </c>
      <c r="F294" s="55" t="s">
        <v>311</v>
      </c>
    </row>
    <row r="295">
      <c r="A295" s="136"/>
      <c r="B295" s="54"/>
      <c r="C295" s="55" t="s">
        <v>311</v>
      </c>
      <c r="D295" s="55" t="s">
        <v>311</v>
      </c>
      <c r="E295" s="55" t="s">
        <v>311</v>
      </c>
      <c r="F295" s="55" t="s">
        <v>311</v>
      </c>
    </row>
    <row r="296">
      <c r="A296" s="136"/>
      <c r="B296" s="54"/>
      <c r="C296" s="55" t="s">
        <v>311</v>
      </c>
      <c r="D296" s="55" t="s">
        <v>311</v>
      </c>
      <c r="E296" s="55" t="s">
        <v>311</v>
      </c>
      <c r="F296" s="55" t="s">
        <v>311</v>
      </c>
    </row>
    <row r="297">
      <c r="A297" s="136"/>
      <c r="B297" s="54"/>
      <c r="C297" s="55" t="s">
        <v>311</v>
      </c>
      <c r="D297" s="55" t="s">
        <v>311</v>
      </c>
      <c r="E297" s="55" t="s">
        <v>311</v>
      </c>
      <c r="F297" s="55" t="s">
        <v>311</v>
      </c>
    </row>
    <row r="298">
      <c r="A298" s="136"/>
      <c r="B298" s="54"/>
      <c r="C298" s="55" t="s">
        <v>311</v>
      </c>
      <c r="D298" s="55" t="s">
        <v>311</v>
      </c>
      <c r="E298" s="55" t="s">
        <v>311</v>
      </c>
      <c r="F298" s="55" t="s">
        <v>311</v>
      </c>
    </row>
    <row r="299">
      <c r="A299" s="136"/>
      <c r="B299" s="54"/>
      <c r="C299" s="55" t="s">
        <v>311</v>
      </c>
      <c r="D299" s="55" t="s">
        <v>311</v>
      </c>
      <c r="E299" s="55" t="s">
        <v>311</v>
      </c>
      <c r="F299" s="55" t="s">
        <v>311</v>
      </c>
    </row>
    <row r="300">
      <c r="A300" s="136"/>
      <c r="B300" s="54"/>
      <c r="C300" s="55" t="s">
        <v>311</v>
      </c>
      <c r="D300" s="55" t="s">
        <v>311</v>
      </c>
      <c r="E300" s="55" t="s">
        <v>311</v>
      </c>
      <c r="F300" s="55" t="s">
        <v>311</v>
      </c>
    </row>
    <row r="301">
      <c r="A301" s="136"/>
      <c r="B301" s="54"/>
      <c r="C301" s="55" t="s">
        <v>311</v>
      </c>
      <c r="D301" s="55" t="s">
        <v>311</v>
      </c>
      <c r="E301" s="55" t="s">
        <v>311</v>
      </c>
      <c r="F301" s="55" t="s">
        <v>311</v>
      </c>
    </row>
    <row r="302">
      <c r="A302" s="136"/>
      <c r="B302" s="54"/>
      <c r="C302" s="55" t="s">
        <v>311</v>
      </c>
      <c r="D302" s="55" t="s">
        <v>311</v>
      </c>
      <c r="E302" s="55" t="s">
        <v>311</v>
      </c>
      <c r="F302" s="55" t="s">
        <v>311</v>
      </c>
    </row>
    <row r="303">
      <c r="A303" s="136"/>
      <c r="B303" s="54"/>
      <c r="C303" s="55" t="s">
        <v>311</v>
      </c>
      <c r="D303" s="55" t="s">
        <v>311</v>
      </c>
      <c r="E303" s="55" t="s">
        <v>311</v>
      </c>
      <c r="F303" s="55" t="s">
        <v>311</v>
      </c>
    </row>
    <row r="304">
      <c r="A304" s="136"/>
      <c r="B304" s="54"/>
      <c r="C304" s="55" t="s">
        <v>311</v>
      </c>
      <c r="D304" s="55" t="s">
        <v>311</v>
      </c>
      <c r="E304" s="55" t="s">
        <v>311</v>
      </c>
      <c r="F304" s="55" t="s">
        <v>311</v>
      </c>
    </row>
    <row r="305">
      <c r="A305" s="136"/>
      <c r="B305" s="54"/>
      <c r="C305" s="55" t="s">
        <v>311</v>
      </c>
      <c r="D305" s="55" t="s">
        <v>311</v>
      </c>
      <c r="E305" s="55" t="s">
        <v>311</v>
      </c>
      <c r="F305" s="55" t="s">
        <v>311</v>
      </c>
    </row>
    <row r="306">
      <c r="A306" s="136"/>
      <c r="B306" s="54"/>
      <c r="C306" s="55" t="s">
        <v>311</v>
      </c>
      <c r="D306" s="55" t="s">
        <v>311</v>
      </c>
      <c r="E306" s="55" t="s">
        <v>311</v>
      </c>
      <c r="F306" s="55" t="s">
        <v>311</v>
      </c>
    </row>
    <row r="307">
      <c r="A307" s="136"/>
      <c r="B307" s="54"/>
      <c r="C307" s="55" t="s">
        <v>311</v>
      </c>
      <c r="D307" s="55" t="s">
        <v>311</v>
      </c>
      <c r="E307" s="55" t="s">
        <v>311</v>
      </c>
      <c r="F307" s="55" t="s">
        <v>311</v>
      </c>
    </row>
    <row r="308">
      <c r="A308" s="136"/>
      <c r="B308" s="54"/>
      <c r="C308" s="55" t="s">
        <v>311</v>
      </c>
      <c r="D308" s="55" t="s">
        <v>311</v>
      </c>
      <c r="E308" s="55" t="s">
        <v>311</v>
      </c>
      <c r="F308" s="55" t="s">
        <v>311</v>
      </c>
    </row>
    <row r="309">
      <c r="A309" s="136"/>
      <c r="B309" s="54"/>
      <c r="C309" s="55" t="s">
        <v>311</v>
      </c>
      <c r="D309" s="55" t="s">
        <v>311</v>
      </c>
      <c r="E309" s="55" t="s">
        <v>311</v>
      </c>
      <c r="F309" s="55" t="s">
        <v>311</v>
      </c>
    </row>
    <row r="310">
      <c r="A310" s="136"/>
      <c r="B310" s="54"/>
      <c r="C310" s="55" t="s">
        <v>311</v>
      </c>
      <c r="D310" s="55" t="s">
        <v>311</v>
      </c>
      <c r="E310" s="55" t="s">
        <v>311</v>
      </c>
      <c r="F310" s="55" t="s">
        <v>311</v>
      </c>
    </row>
    <row r="311">
      <c r="A311" s="136"/>
      <c r="B311" s="54"/>
      <c r="C311" s="55" t="s">
        <v>311</v>
      </c>
      <c r="D311" s="55" t="s">
        <v>311</v>
      </c>
      <c r="E311" s="55" t="s">
        <v>311</v>
      </c>
      <c r="F311" s="55" t="s">
        <v>311</v>
      </c>
    </row>
    <row r="312">
      <c r="A312" s="136"/>
      <c r="B312" s="54"/>
      <c r="C312" s="55" t="s">
        <v>311</v>
      </c>
      <c r="D312" s="55" t="s">
        <v>311</v>
      </c>
      <c r="E312" s="55" t="s">
        <v>311</v>
      </c>
      <c r="F312" s="55" t="s">
        <v>311</v>
      </c>
    </row>
    <row r="313">
      <c r="A313" s="136"/>
      <c r="B313" s="54"/>
      <c r="C313" s="55" t="s">
        <v>311</v>
      </c>
      <c r="D313" s="55" t="s">
        <v>311</v>
      </c>
      <c r="E313" s="55" t="s">
        <v>311</v>
      </c>
      <c r="F313" s="55" t="s">
        <v>311</v>
      </c>
    </row>
    <row r="314">
      <c r="A314" s="136"/>
      <c r="B314" s="54"/>
      <c r="C314" s="55" t="s">
        <v>311</v>
      </c>
      <c r="D314" s="55" t="s">
        <v>311</v>
      </c>
      <c r="E314" s="55" t="s">
        <v>311</v>
      </c>
      <c r="F314" s="55" t="s">
        <v>311</v>
      </c>
    </row>
    <row r="315">
      <c r="A315" s="136"/>
      <c r="B315" s="54"/>
      <c r="C315" s="55" t="s">
        <v>311</v>
      </c>
      <c r="D315" s="55" t="s">
        <v>311</v>
      </c>
      <c r="E315" s="55" t="s">
        <v>311</v>
      </c>
      <c r="F315" s="55" t="s">
        <v>311</v>
      </c>
    </row>
    <row r="316">
      <c r="A316" s="136"/>
      <c r="B316" s="54"/>
      <c r="C316" s="55" t="s">
        <v>311</v>
      </c>
      <c r="D316" s="55" t="s">
        <v>311</v>
      </c>
      <c r="E316" s="55" t="s">
        <v>311</v>
      </c>
      <c r="F316" s="55" t="s">
        <v>311</v>
      </c>
    </row>
    <row r="317">
      <c r="A317" s="136"/>
      <c r="B317" s="54"/>
      <c r="C317" s="55" t="s">
        <v>311</v>
      </c>
      <c r="D317" s="55" t="s">
        <v>311</v>
      </c>
      <c r="E317" s="55" t="s">
        <v>311</v>
      </c>
      <c r="F317" s="55" t="s">
        <v>311</v>
      </c>
    </row>
    <row r="318">
      <c r="A318" s="136"/>
      <c r="B318" s="54"/>
      <c r="C318" s="55" t="s">
        <v>311</v>
      </c>
      <c r="D318" s="55" t="s">
        <v>311</v>
      </c>
      <c r="E318" s="55" t="s">
        <v>311</v>
      </c>
      <c r="F318" s="55" t="s">
        <v>311</v>
      </c>
    </row>
    <row r="319">
      <c r="A319" s="136"/>
      <c r="B319" s="54"/>
      <c r="C319" s="55" t="s">
        <v>311</v>
      </c>
      <c r="D319" s="55" t="s">
        <v>311</v>
      </c>
      <c r="E319" s="55" t="s">
        <v>311</v>
      </c>
      <c r="F319" s="55" t="s">
        <v>311</v>
      </c>
    </row>
    <row r="320">
      <c r="A320" s="136"/>
      <c r="B320" s="54"/>
      <c r="C320" s="55" t="s">
        <v>311</v>
      </c>
      <c r="D320" s="55" t="s">
        <v>311</v>
      </c>
      <c r="E320" s="55" t="s">
        <v>311</v>
      </c>
      <c r="F320" s="55" t="s">
        <v>311</v>
      </c>
    </row>
    <row r="321">
      <c r="A321" s="136"/>
      <c r="B321" s="54"/>
      <c r="C321" s="55" t="s">
        <v>311</v>
      </c>
      <c r="D321" s="55" t="s">
        <v>311</v>
      </c>
      <c r="E321" s="55" t="s">
        <v>311</v>
      </c>
      <c r="F321" s="55" t="s">
        <v>311</v>
      </c>
    </row>
    <row r="322">
      <c r="A322" s="136"/>
      <c r="B322" s="54"/>
      <c r="C322" s="55" t="s">
        <v>311</v>
      </c>
      <c r="D322" s="55" t="s">
        <v>311</v>
      </c>
      <c r="E322" s="55" t="s">
        <v>311</v>
      </c>
      <c r="F322" s="55" t="s">
        <v>311</v>
      </c>
    </row>
    <row r="323">
      <c r="A323" s="136"/>
      <c r="B323" s="54"/>
      <c r="C323" s="55" t="s">
        <v>311</v>
      </c>
      <c r="D323" s="55" t="s">
        <v>311</v>
      </c>
      <c r="E323" s="55" t="s">
        <v>311</v>
      </c>
      <c r="F323" s="55" t="s">
        <v>311</v>
      </c>
    </row>
    <row r="324">
      <c r="A324" s="136"/>
      <c r="B324" s="54"/>
      <c r="C324" s="55" t="s">
        <v>311</v>
      </c>
      <c r="D324" s="55" t="s">
        <v>311</v>
      </c>
      <c r="E324" s="55" t="s">
        <v>311</v>
      </c>
      <c r="F324" s="55" t="s">
        <v>311</v>
      </c>
    </row>
    <row r="325">
      <c r="A325" s="136"/>
      <c r="B325" s="54"/>
      <c r="C325" s="55" t="s">
        <v>311</v>
      </c>
      <c r="D325" s="55" t="s">
        <v>311</v>
      </c>
      <c r="E325" s="55" t="s">
        <v>311</v>
      </c>
      <c r="F325" s="55" t="s">
        <v>311</v>
      </c>
    </row>
    <row r="326">
      <c r="A326" s="136"/>
      <c r="B326" s="54"/>
      <c r="C326" s="55" t="s">
        <v>311</v>
      </c>
      <c r="D326" s="55" t="s">
        <v>311</v>
      </c>
      <c r="E326" s="55" t="s">
        <v>311</v>
      </c>
      <c r="F326" s="55" t="s">
        <v>311</v>
      </c>
    </row>
    <row r="327">
      <c r="A327" s="136"/>
      <c r="B327" s="54"/>
      <c r="C327" s="55" t="s">
        <v>311</v>
      </c>
      <c r="D327" s="55" t="s">
        <v>311</v>
      </c>
      <c r="E327" s="55" t="s">
        <v>311</v>
      </c>
      <c r="F327" s="55" t="s">
        <v>311</v>
      </c>
    </row>
    <row r="328">
      <c r="A328" s="136"/>
      <c r="B328" s="54"/>
      <c r="C328" s="55" t="s">
        <v>311</v>
      </c>
      <c r="D328" s="55" t="s">
        <v>311</v>
      </c>
      <c r="E328" s="55" t="s">
        <v>311</v>
      </c>
      <c r="F328" s="55" t="s">
        <v>311</v>
      </c>
    </row>
    <row r="329">
      <c r="A329" s="136"/>
      <c r="B329" s="54"/>
      <c r="C329" s="55" t="s">
        <v>311</v>
      </c>
      <c r="D329" s="55" t="s">
        <v>311</v>
      </c>
      <c r="E329" s="55" t="s">
        <v>311</v>
      </c>
      <c r="F329" s="55" t="s">
        <v>311</v>
      </c>
    </row>
    <row r="330">
      <c r="A330" s="136"/>
      <c r="B330" s="54"/>
      <c r="C330" s="55" t="s">
        <v>311</v>
      </c>
      <c r="D330" s="55" t="s">
        <v>311</v>
      </c>
      <c r="E330" s="55" t="s">
        <v>311</v>
      </c>
      <c r="F330" s="55" t="s">
        <v>311</v>
      </c>
    </row>
    <row r="331">
      <c r="A331" s="136"/>
      <c r="B331" s="54"/>
      <c r="C331" s="55" t="s">
        <v>311</v>
      </c>
      <c r="D331" s="55" t="s">
        <v>311</v>
      </c>
      <c r="E331" s="55" t="s">
        <v>311</v>
      </c>
      <c r="F331" s="55" t="s">
        <v>311</v>
      </c>
    </row>
    <row r="332">
      <c r="A332" s="136"/>
      <c r="B332" s="54"/>
      <c r="C332" s="55" t="s">
        <v>311</v>
      </c>
      <c r="D332" s="55" t="s">
        <v>311</v>
      </c>
      <c r="E332" s="55" t="s">
        <v>311</v>
      </c>
      <c r="F332" s="55" t="s">
        <v>311</v>
      </c>
    </row>
    <row r="333">
      <c r="A333" s="136"/>
      <c r="B333" s="54"/>
      <c r="C333" s="55" t="s">
        <v>311</v>
      </c>
      <c r="D333" s="55" t="s">
        <v>311</v>
      </c>
      <c r="E333" s="55" t="s">
        <v>311</v>
      </c>
      <c r="F333" s="55" t="s">
        <v>311</v>
      </c>
    </row>
    <row r="334">
      <c r="A334" s="136"/>
      <c r="B334" s="54"/>
      <c r="C334" s="55" t="s">
        <v>311</v>
      </c>
      <c r="D334" s="55" t="s">
        <v>311</v>
      </c>
      <c r="E334" s="55" t="s">
        <v>311</v>
      </c>
      <c r="F334" s="55" t="s">
        <v>311</v>
      </c>
    </row>
    <row r="335">
      <c r="A335" s="136"/>
      <c r="B335" s="54"/>
      <c r="C335" s="55" t="s">
        <v>311</v>
      </c>
      <c r="D335" s="55" t="s">
        <v>311</v>
      </c>
      <c r="E335" s="55" t="s">
        <v>311</v>
      </c>
      <c r="F335" s="55" t="s">
        <v>311</v>
      </c>
    </row>
    <row r="336">
      <c r="A336" s="136"/>
      <c r="B336" s="54"/>
      <c r="C336" s="55" t="s">
        <v>311</v>
      </c>
      <c r="D336" s="55" t="s">
        <v>311</v>
      </c>
      <c r="E336" s="55" t="s">
        <v>311</v>
      </c>
      <c r="F336" s="55" t="s">
        <v>311</v>
      </c>
    </row>
    <row r="337">
      <c r="A337" s="136"/>
      <c r="B337" s="54"/>
      <c r="C337" s="55" t="s">
        <v>311</v>
      </c>
      <c r="D337" s="55" t="s">
        <v>311</v>
      </c>
      <c r="E337" s="55" t="s">
        <v>311</v>
      </c>
      <c r="F337" s="55" t="s">
        <v>311</v>
      </c>
    </row>
    <row r="338">
      <c r="A338" s="136"/>
      <c r="B338" s="54"/>
      <c r="C338" s="55" t="s">
        <v>311</v>
      </c>
      <c r="D338" s="55" t="s">
        <v>311</v>
      </c>
      <c r="E338" s="55" t="s">
        <v>311</v>
      </c>
      <c r="F338" s="55" t="s">
        <v>311</v>
      </c>
    </row>
    <row r="339">
      <c r="A339" s="136"/>
      <c r="B339" s="54"/>
      <c r="C339" s="55" t="s">
        <v>311</v>
      </c>
      <c r="D339" s="55" t="s">
        <v>311</v>
      </c>
      <c r="E339" s="55" t="s">
        <v>311</v>
      </c>
      <c r="F339" s="55" t="s">
        <v>311</v>
      </c>
    </row>
    <row r="340">
      <c r="A340" s="136"/>
      <c r="B340" s="54"/>
      <c r="C340" s="55" t="s">
        <v>311</v>
      </c>
      <c r="D340" s="55" t="s">
        <v>311</v>
      </c>
      <c r="E340" s="55" t="s">
        <v>311</v>
      </c>
      <c r="F340" s="55" t="s">
        <v>311</v>
      </c>
    </row>
    <row r="341">
      <c r="A341" s="136"/>
      <c r="B341" s="54"/>
      <c r="C341" s="55" t="s">
        <v>311</v>
      </c>
      <c r="D341" s="55" t="s">
        <v>311</v>
      </c>
      <c r="E341" s="55" t="s">
        <v>311</v>
      </c>
      <c r="F341" s="55" t="s">
        <v>311</v>
      </c>
    </row>
    <row r="342">
      <c r="A342" s="136"/>
      <c r="B342" s="54"/>
      <c r="C342" s="55" t="s">
        <v>311</v>
      </c>
      <c r="D342" s="55" t="s">
        <v>311</v>
      </c>
      <c r="E342" s="55" t="s">
        <v>311</v>
      </c>
      <c r="F342" s="55" t="s">
        <v>311</v>
      </c>
    </row>
    <row r="343">
      <c r="A343" s="136"/>
      <c r="B343" s="54"/>
      <c r="C343" s="55" t="s">
        <v>311</v>
      </c>
      <c r="D343" s="55" t="s">
        <v>311</v>
      </c>
      <c r="E343" s="55" t="s">
        <v>311</v>
      </c>
      <c r="F343" s="55" t="s">
        <v>311</v>
      </c>
    </row>
    <row r="344">
      <c r="A344" s="136"/>
      <c r="B344" s="54"/>
      <c r="C344" s="55" t="s">
        <v>311</v>
      </c>
      <c r="D344" s="55" t="s">
        <v>311</v>
      </c>
      <c r="E344" s="55" t="s">
        <v>311</v>
      </c>
      <c r="F344" s="55" t="s">
        <v>311</v>
      </c>
    </row>
    <row r="345">
      <c r="A345" s="136"/>
      <c r="B345" s="54"/>
      <c r="C345" s="55" t="s">
        <v>311</v>
      </c>
      <c r="D345" s="55" t="s">
        <v>311</v>
      </c>
      <c r="E345" s="55" t="s">
        <v>311</v>
      </c>
      <c r="F345" s="55" t="s">
        <v>311</v>
      </c>
    </row>
    <row r="346">
      <c r="A346" s="136"/>
      <c r="B346" s="54"/>
      <c r="C346" s="55" t="s">
        <v>311</v>
      </c>
      <c r="D346" s="55" t="s">
        <v>311</v>
      </c>
      <c r="E346" s="55" t="s">
        <v>311</v>
      </c>
      <c r="F346" s="55" t="s">
        <v>311</v>
      </c>
    </row>
    <row r="347">
      <c r="A347" s="136"/>
      <c r="B347" s="54"/>
      <c r="C347" s="55" t="s">
        <v>311</v>
      </c>
      <c r="D347" s="55" t="s">
        <v>311</v>
      </c>
      <c r="E347" s="55" t="s">
        <v>311</v>
      </c>
      <c r="F347" s="55" t="s">
        <v>311</v>
      </c>
    </row>
    <row r="348">
      <c r="A348" s="136"/>
      <c r="B348" s="54"/>
      <c r="C348" s="55" t="s">
        <v>311</v>
      </c>
      <c r="D348" s="55" t="s">
        <v>311</v>
      </c>
      <c r="E348" s="55" t="s">
        <v>311</v>
      </c>
      <c r="F348" s="55" t="s">
        <v>311</v>
      </c>
    </row>
    <row r="349">
      <c r="A349" s="136"/>
      <c r="B349" s="54"/>
      <c r="C349" s="55" t="s">
        <v>311</v>
      </c>
      <c r="D349" s="55" t="s">
        <v>311</v>
      </c>
      <c r="E349" s="55" t="s">
        <v>311</v>
      </c>
      <c r="F349" s="55" t="s">
        <v>311</v>
      </c>
    </row>
    <row r="350">
      <c r="A350" s="136"/>
      <c r="B350" s="54"/>
      <c r="C350" s="55" t="s">
        <v>311</v>
      </c>
      <c r="D350" s="55" t="s">
        <v>311</v>
      </c>
      <c r="E350" s="55" t="s">
        <v>311</v>
      </c>
      <c r="F350" s="55" t="s">
        <v>311</v>
      </c>
    </row>
    <row r="351">
      <c r="A351" s="136"/>
      <c r="B351" s="54"/>
      <c r="C351" s="55" t="s">
        <v>311</v>
      </c>
      <c r="D351" s="55" t="s">
        <v>311</v>
      </c>
      <c r="E351" s="55" t="s">
        <v>311</v>
      </c>
      <c r="F351" s="55" t="s">
        <v>311</v>
      </c>
    </row>
    <row r="352">
      <c r="A352" s="136"/>
      <c r="B352" s="54"/>
      <c r="C352" s="55" t="s">
        <v>311</v>
      </c>
      <c r="D352" s="55" t="s">
        <v>311</v>
      </c>
      <c r="E352" s="55" t="s">
        <v>311</v>
      </c>
      <c r="F352" s="55" t="s">
        <v>311</v>
      </c>
    </row>
    <row r="353">
      <c r="A353" s="136"/>
      <c r="B353" s="54"/>
      <c r="C353" s="55" t="s">
        <v>311</v>
      </c>
      <c r="D353" s="55" t="s">
        <v>311</v>
      </c>
      <c r="E353" s="55" t="s">
        <v>311</v>
      </c>
      <c r="F353" s="55" t="s">
        <v>311</v>
      </c>
    </row>
    <row r="354">
      <c r="A354" s="136"/>
      <c r="B354" s="54"/>
      <c r="C354" s="55" t="s">
        <v>311</v>
      </c>
      <c r="D354" s="55" t="s">
        <v>311</v>
      </c>
      <c r="E354" s="55" t="s">
        <v>311</v>
      </c>
      <c r="F354" s="55" t="s">
        <v>311</v>
      </c>
    </row>
    <row r="355">
      <c r="A355" s="136"/>
      <c r="B355" s="54"/>
      <c r="C355" s="55" t="s">
        <v>311</v>
      </c>
      <c r="D355" s="55" t="s">
        <v>311</v>
      </c>
      <c r="E355" s="55" t="s">
        <v>311</v>
      </c>
      <c r="F355" s="55" t="s">
        <v>311</v>
      </c>
    </row>
    <row r="356">
      <c r="A356" s="136"/>
      <c r="B356" s="54"/>
      <c r="C356" s="55" t="s">
        <v>311</v>
      </c>
      <c r="D356" s="55" t="s">
        <v>311</v>
      </c>
      <c r="E356" s="55" t="s">
        <v>311</v>
      </c>
      <c r="F356" s="55" t="s">
        <v>311</v>
      </c>
    </row>
    <row r="357">
      <c r="A357" s="136"/>
      <c r="B357" s="54"/>
      <c r="C357" s="55" t="s">
        <v>311</v>
      </c>
      <c r="D357" s="55" t="s">
        <v>311</v>
      </c>
      <c r="E357" s="55" t="s">
        <v>311</v>
      </c>
      <c r="F357" s="55" t="s">
        <v>311</v>
      </c>
    </row>
    <row r="358">
      <c r="A358" s="136"/>
      <c r="B358" s="54"/>
      <c r="C358" s="55" t="s">
        <v>311</v>
      </c>
      <c r="D358" s="55" t="s">
        <v>311</v>
      </c>
      <c r="E358" s="55" t="s">
        <v>311</v>
      </c>
      <c r="F358" s="55" t="s">
        <v>311</v>
      </c>
    </row>
    <row r="359">
      <c r="A359" s="136"/>
      <c r="B359" s="54"/>
      <c r="C359" s="55" t="s">
        <v>311</v>
      </c>
      <c r="D359" s="55" t="s">
        <v>311</v>
      </c>
      <c r="E359" s="55" t="s">
        <v>311</v>
      </c>
      <c r="F359" s="55" t="s">
        <v>311</v>
      </c>
    </row>
    <row r="360">
      <c r="A360" s="136"/>
      <c r="B360" s="54"/>
      <c r="C360" s="55" t="s">
        <v>311</v>
      </c>
      <c r="D360" s="55" t="s">
        <v>311</v>
      </c>
      <c r="E360" s="55" t="s">
        <v>311</v>
      </c>
      <c r="F360" s="55" t="s">
        <v>311</v>
      </c>
    </row>
    <row r="361">
      <c r="A361" s="136"/>
      <c r="B361" s="54"/>
      <c r="C361" s="55" t="s">
        <v>311</v>
      </c>
      <c r="D361" s="55" t="s">
        <v>311</v>
      </c>
      <c r="E361" s="55" t="s">
        <v>311</v>
      </c>
      <c r="F361" s="55" t="s">
        <v>311</v>
      </c>
    </row>
    <row r="362">
      <c r="A362" s="136"/>
      <c r="B362" s="54"/>
      <c r="C362" s="55" t="s">
        <v>311</v>
      </c>
      <c r="D362" s="55" t="s">
        <v>311</v>
      </c>
      <c r="E362" s="55" t="s">
        <v>311</v>
      </c>
      <c r="F362" s="55" t="s">
        <v>311</v>
      </c>
    </row>
    <row r="363">
      <c r="A363" s="136"/>
      <c r="B363" s="54"/>
      <c r="C363" s="55" t="s">
        <v>311</v>
      </c>
      <c r="D363" s="55" t="s">
        <v>311</v>
      </c>
      <c r="E363" s="55" t="s">
        <v>311</v>
      </c>
      <c r="F363" s="55" t="s">
        <v>311</v>
      </c>
    </row>
    <row r="364">
      <c r="A364" s="136"/>
      <c r="B364" s="54"/>
      <c r="C364" s="55" t="s">
        <v>311</v>
      </c>
      <c r="D364" s="55" t="s">
        <v>311</v>
      </c>
      <c r="E364" s="55" t="s">
        <v>311</v>
      </c>
      <c r="F364" s="55" t="s">
        <v>311</v>
      </c>
    </row>
    <row r="365">
      <c r="A365" s="136"/>
      <c r="B365" s="54"/>
      <c r="C365" s="55" t="s">
        <v>311</v>
      </c>
      <c r="D365" s="55" t="s">
        <v>311</v>
      </c>
      <c r="E365" s="55" t="s">
        <v>311</v>
      </c>
      <c r="F365" s="55" t="s">
        <v>311</v>
      </c>
    </row>
    <row r="366">
      <c r="A366" s="136"/>
      <c r="B366" s="54"/>
      <c r="C366" s="55" t="s">
        <v>311</v>
      </c>
      <c r="D366" s="55" t="s">
        <v>311</v>
      </c>
      <c r="E366" s="55" t="s">
        <v>311</v>
      </c>
      <c r="F366" s="55" t="s">
        <v>311</v>
      </c>
    </row>
    <row r="367">
      <c r="A367" s="136"/>
      <c r="B367" s="54"/>
      <c r="C367" s="55" t="s">
        <v>311</v>
      </c>
      <c r="D367" s="55" t="s">
        <v>311</v>
      </c>
      <c r="E367" s="55" t="s">
        <v>311</v>
      </c>
      <c r="F367" s="55" t="s">
        <v>311</v>
      </c>
    </row>
    <row r="368">
      <c r="A368" s="136"/>
      <c r="B368" s="54"/>
      <c r="C368" s="55" t="s">
        <v>311</v>
      </c>
      <c r="D368" s="55" t="s">
        <v>311</v>
      </c>
      <c r="E368" s="55" t="s">
        <v>311</v>
      </c>
      <c r="F368" s="55" t="s">
        <v>311</v>
      </c>
    </row>
    <row r="369">
      <c r="A369" s="136"/>
      <c r="B369" s="54"/>
      <c r="C369" s="55" t="s">
        <v>311</v>
      </c>
      <c r="D369" s="55" t="s">
        <v>311</v>
      </c>
      <c r="E369" s="55" t="s">
        <v>311</v>
      </c>
      <c r="F369" s="55" t="s">
        <v>311</v>
      </c>
    </row>
    <row r="370">
      <c r="A370" s="136"/>
      <c r="B370" s="54"/>
      <c r="C370" s="55" t="s">
        <v>311</v>
      </c>
      <c r="D370" s="55" t="s">
        <v>311</v>
      </c>
      <c r="E370" s="55" t="s">
        <v>311</v>
      </c>
      <c r="F370" s="55" t="s">
        <v>311</v>
      </c>
    </row>
    <row r="371">
      <c r="A371" s="136"/>
      <c r="B371" s="54"/>
      <c r="C371" s="55" t="s">
        <v>311</v>
      </c>
      <c r="D371" s="55" t="s">
        <v>311</v>
      </c>
      <c r="E371" s="55" t="s">
        <v>311</v>
      </c>
      <c r="F371" s="55" t="s">
        <v>311</v>
      </c>
    </row>
    <row r="372">
      <c r="A372" s="136"/>
      <c r="B372" s="54"/>
      <c r="C372" s="55" t="s">
        <v>311</v>
      </c>
      <c r="D372" s="55" t="s">
        <v>311</v>
      </c>
      <c r="E372" s="55" t="s">
        <v>311</v>
      </c>
      <c r="F372" s="55" t="s">
        <v>311</v>
      </c>
    </row>
    <row r="373">
      <c r="A373" s="136"/>
      <c r="B373" s="54"/>
      <c r="C373" s="55" t="s">
        <v>311</v>
      </c>
      <c r="D373" s="55" t="s">
        <v>311</v>
      </c>
      <c r="E373" s="55" t="s">
        <v>311</v>
      </c>
      <c r="F373" s="55" t="s">
        <v>311</v>
      </c>
    </row>
    <row r="374">
      <c r="A374" s="136"/>
      <c r="B374" s="54"/>
      <c r="C374" s="55" t="s">
        <v>311</v>
      </c>
      <c r="D374" s="55" t="s">
        <v>311</v>
      </c>
      <c r="E374" s="55" t="s">
        <v>311</v>
      </c>
      <c r="F374" s="55" t="s">
        <v>311</v>
      </c>
    </row>
    <row r="375">
      <c r="A375" s="136"/>
      <c r="B375" s="54"/>
      <c r="C375" s="55" t="s">
        <v>311</v>
      </c>
      <c r="D375" s="55" t="s">
        <v>311</v>
      </c>
      <c r="E375" s="55" t="s">
        <v>311</v>
      </c>
      <c r="F375" s="55" t="s">
        <v>311</v>
      </c>
    </row>
    <row r="376">
      <c r="A376" s="136"/>
      <c r="B376" s="54"/>
      <c r="C376" s="55" t="s">
        <v>311</v>
      </c>
      <c r="D376" s="55" t="s">
        <v>311</v>
      </c>
      <c r="E376" s="55" t="s">
        <v>311</v>
      </c>
      <c r="F376" s="55" t="s">
        <v>311</v>
      </c>
    </row>
    <row r="377">
      <c r="A377" s="136"/>
      <c r="B377" s="54"/>
      <c r="C377" s="55" t="s">
        <v>311</v>
      </c>
      <c r="D377" s="55" t="s">
        <v>311</v>
      </c>
      <c r="E377" s="55" t="s">
        <v>311</v>
      </c>
      <c r="F377" s="55" t="s">
        <v>311</v>
      </c>
    </row>
    <row r="378">
      <c r="A378" s="136"/>
      <c r="B378" s="54"/>
      <c r="C378" s="55" t="s">
        <v>311</v>
      </c>
      <c r="D378" s="55" t="s">
        <v>311</v>
      </c>
      <c r="E378" s="55" t="s">
        <v>311</v>
      </c>
      <c r="F378" s="55" t="s">
        <v>311</v>
      </c>
    </row>
    <row r="379">
      <c r="A379" s="136"/>
      <c r="B379" s="54"/>
      <c r="C379" s="55" t="s">
        <v>311</v>
      </c>
      <c r="D379" s="55" t="s">
        <v>311</v>
      </c>
      <c r="E379" s="55" t="s">
        <v>311</v>
      </c>
      <c r="F379" s="55" t="s">
        <v>311</v>
      </c>
    </row>
    <row r="380">
      <c r="A380" s="136"/>
      <c r="B380" s="54"/>
      <c r="C380" s="55" t="s">
        <v>311</v>
      </c>
      <c r="D380" s="55" t="s">
        <v>311</v>
      </c>
      <c r="E380" s="55" t="s">
        <v>311</v>
      </c>
      <c r="F380" s="55" t="s">
        <v>311</v>
      </c>
    </row>
    <row r="381">
      <c r="A381" s="136"/>
      <c r="B381" s="54"/>
      <c r="C381" s="55" t="s">
        <v>311</v>
      </c>
      <c r="D381" s="55" t="s">
        <v>311</v>
      </c>
      <c r="E381" s="55" t="s">
        <v>311</v>
      </c>
      <c r="F381" s="55" t="s">
        <v>311</v>
      </c>
    </row>
    <row r="382">
      <c r="A382" s="136"/>
      <c r="B382" s="54"/>
      <c r="C382" s="55" t="s">
        <v>311</v>
      </c>
      <c r="D382" s="55" t="s">
        <v>311</v>
      </c>
      <c r="E382" s="55" t="s">
        <v>311</v>
      </c>
      <c r="F382" s="55" t="s">
        <v>311</v>
      </c>
    </row>
    <row r="383">
      <c r="A383" s="136"/>
      <c r="B383" s="54"/>
      <c r="C383" s="55" t="s">
        <v>311</v>
      </c>
      <c r="D383" s="55" t="s">
        <v>311</v>
      </c>
      <c r="E383" s="55" t="s">
        <v>311</v>
      </c>
      <c r="F383" s="55" t="s">
        <v>311</v>
      </c>
    </row>
    <row r="384">
      <c r="A384" s="136"/>
      <c r="B384" s="54"/>
      <c r="C384" s="55" t="s">
        <v>311</v>
      </c>
      <c r="D384" s="55" t="s">
        <v>311</v>
      </c>
      <c r="E384" s="55" t="s">
        <v>311</v>
      </c>
      <c r="F384" s="55" t="s">
        <v>311</v>
      </c>
    </row>
    <row r="385">
      <c r="A385" s="136"/>
      <c r="B385" s="54"/>
      <c r="C385" s="55" t="s">
        <v>311</v>
      </c>
      <c r="D385" s="55" t="s">
        <v>311</v>
      </c>
      <c r="E385" s="55" t="s">
        <v>311</v>
      </c>
      <c r="F385" s="55" t="s">
        <v>311</v>
      </c>
    </row>
    <row r="386">
      <c r="A386" s="136"/>
      <c r="B386" s="54"/>
      <c r="C386" s="55" t="s">
        <v>311</v>
      </c>
      <c r="D386" s="55" t="s">
        <v>311</v>
      </c>
      <c r="E386" s="55" t="s">
        <v>311</v>
      </c>
      <c r="F386" s="55" t="s">
        <v>311</v>
      </c>
    </row>
    <row r="387">
      <c r="A387" s="136"/>
      <c r="B387" s="54"/>
      <c r="C387" s="55" t="s">
        <v>311</v>
      </c>
      <c r="D387" s="55" t="s">
        <v>311</v>
      </c>
      <c r="E387" s="55" t="s">
        <v>311</v>
      </c>
      <c r="F387" s="55" t="s">
        <v>311</v>
      </c>
    </row>
    <row r="388">
      <c r="A388" s="136"/>
      <c r="B388" s="54"/>
      <c r="C388" s="55" t="s">
        <v>311</v>
      </c>
      <c r="D388" s="55" t="s">
        <v>311</v>
      </c>
      <c r="E388" s="55" t="s">
        <v>311</v>
      </c>
      <c r="F388" s="55" t="s">
        <v>311</v>
      </c>
    </row>
    <row r="389">
      <c r="A389" s="136"/>
      <c r="B389" s="54"/>
      <c r="C389" s="55" t="s">
        <v>311</v>
      </c>
      <c r="D389" s="55" t="s">
        <v>311</v>
      </c>
      <c r="E389" s="55" t="s">
        <v>311</v>
      </c>
      <c r="F389" s="55" t="s">
        <v>311</v>
      </c>
    </row>
    <row r="390">
      <c r="A390" s="136"/>
      <c r="B390" s="54"/>
      <c r="C390" s="55" t="s">
        <v>311</v>
      </c>
      <c r="D390" s="55" t="s">
        <v>311</v>
      </c>
      <c r="E390" s="55" t="s">
        <v>311</v>
      </c>
      <c r="F390" s="55" t="s">
        <v>311</v>
      </c>
    </row>
    <row r="391">
      <c r="A391" s="136"/>
      <c r="B391" s="54"/>
      <c r="C391" s="55" t="s">
        <v>311</v>
      </c>
      <c r="D391" s="55" t="s">
        <v>311</v>
      </c>
      <c r="E391" s="55" t="s">
        <v>311</v>
      </c>
      <c r="F391" s="55" t="s">
        <v>311</v>
      </c>
    </row>
    <row r="392">
      <c r="A392" s="136"/>
      <c r="B392" s="54"/>
      <c r="C392" s="55" t="s">
        <v>311</v>
      </c>
      <c r="D392" s="55" t="s">
        <v>311</v>
      </c>
      <c r="E392" s="55" t="s">
        <v>311</v>
      </c>
      <c r="F392" s="55" t="s">
        <v>311</v>
      </c>
    </row>
    <row r="393">
      <c r="A393" s="136"/>
      <c r="B393" s="54"/>
      <c r="C393" s="55" t="s">
        <v>311</v>
      </c>
      <c r="D393" s="55" t="s">
        <v>311</v>
      </c>
      <c r="E393" s="55" t="s">
        <v>311</v>
      </c>
      <c r="F393" s="55" t="s">
        <v>311</v>
      </c>
    </row>
    <row r="394">
      <c r="A394" s="136"/>
      <c r="B394" s="54"/>
      <c r="C394" s="55" t="s">
        <v>311</v>
      </c>
      <c r="D394" s="55" t="s">
        <v>311</v>
      </c>
      <c r="E394" s="55" t="s">
        <v>311</v>
      </c>
      <c r="F394" s="55" t="s">
        <v>311</v>
      </c>
    </row>
    <row r="395">
      <c r="A395" s="136"/>
      <c r="B395" s="54"/>
      <c r="C395" s="55" t="s">
        <v>311</v>
      </c>
      <c r="D395" s="55" t="s">
        <v>311</v>
      </c>
      <c r="E395" s="55" t="s">
        <v>311</v>
      </c>
      <c r="F395" s="55" t="s">
        <v>311</v>
      </c>
    </row>
    <row r="396">
      <c r="A396" s="136"/>
      <c r="B396" s="54"/>
      <c r="C396" s="55" t="s">
        <v>311</v>
      </c>
      <c r="D396" s="55" t="s">
        <v>311</v>
      </c>
      <c r="E396" s="55" t="s">
        <v>311</v>
      </c>
      <c r="F396" s="55" t="s">
        <v>311</v>
      </c>
    </row>
    <row r="397">
      <c r="A397" s="136"/>
      <c r="B397" s="54"/>
      <c r="C397" s="55" t="s">
        <v>311</v>
      </c>
      <c r="D397" s="55" t="s">
        <v>311</v>
      </c>
      <c r="E397" s="55" t="s">
        <v>311</v>
      </c>
      <c r="F397" s="55" t="s">
        <v>311</v>
      </c>
    </row>
    <row r="398">
      <c r="A398" s="136"/>
      <c r="B398" s="54"/>
      <c r="C398" s="55" t="s">
        <v>311</v>
      </c>
      <c r="D398" s="55" t="s">
        <v>311</v>
      </c>
      <c r="E398" s="55" t="s">
        <v>311</v>
      </c>
      <c r="F398" s="55" t="s">
        <v>311</v>
      </c>
    </row>
    <row r="399">
      <c r="A399" s="136"/>
      <c r="B399" s="54"/>
      <c r="C399" s="55" t="s">
        <v>311</v>
      </c>
      <c r="D399" s="55" t="s">
        <v>311</v>
      </c>
      <c r="E399" s="55" t="s">
        <v>311</v>
      </c>
      <c r="F399" s="55" t="s">
        <v>311</v>
      </c>
    </row>
    <row r="400">
      <c r="A400" s="136"/>
      <c r="B400" s="54"/>
      <c r="C400" s="55" t="s">
        <v>311</v>
      </c>
      <c r="D400" s="55" t="s">
        <v>311</v>
      </c>
      <c r="E400" s="55" t="s">
        <v>311</v>
      </c>
      <c r="F400" s="55" t="s">
        <v>311</v>
      </c>
    </row>
    <row r="401">
      <c r="A401" s="136"/>
      <c r="B401" s="54"/>
      <c r="C401" s="55" t="s">
        <v>311</v>
      </c>
      <c r="D401" s="55" t="s">
        <v>311</v>
      </c>
      <c r="E401" s="55" t="s">
        <v>311</v>
      </c>
      <c r="F401" s="55" t="s">
        <v>311</v>
      </c>
    </row>
    <row r="402">
      <c r="A402" s="136"/>
      <c r="B402" s="54"/>
      <c r="C402" s="55" t="s">
        <v>311</v>
      </c>
      <c r="D402" s="55" t="s">
        <v>311</v>
      </c>
      <c r="E402" s="55" t="s">
        <v>311</v>
      </c>
      <c r="F402" s="55" t="s">
        <v>311</v>
      </c>
    </row>
    <row r="403">
      <c r="A403" s="136"/>
      <c r="B403" s="54"/>
      <c r="C403" s="55" t="s">
        <v>311</v>
      </c>
      <c r="D403" s="55" t="s">
        <v>311</v>
      </c>
      <c r="E403" s="55" t="s">
        <v>311</v>
      </c>
      <c r="F403" s="55" t="s">
        <v>311</v>
      </c>
    </row>
    <row r="404">
      <c r="A404" s="136"/>
      <c r="B404" s="54"/>
      <c r="C404" s="55" t="s">
        <v>311</v>
      </c>
      <c r="D404" s="55" t="s">
        <v>311</v>
      </c>
      <c r="E404" s="55" t="s">
        <v>311</v>
      </c>
      <c r="F404" s="55" t="s">
        <v>311</v>
      </c>
    </row>
    <row r="405">
      <c r="A405" s="136"/>
      <c r="B405" s="54"/>
      <c r="C405" s="55" t="s">
        <v>311</v>
      </c>
      <c r="D405" s="55" t="s">
        <v>311</v>
      </c>
      <c r="E405" s="55" t="s">
        <v>311</v>
      </c>
      <c r="F405" s="55" t="s">
        <v>311</v>
      </c>
    </row>
    <row r="406">
      <c r="A406" s="136"/>
      <c r="B406" s="54"/>
      <c r="C406" s="55" t="s">
        <v>311</v>
      </c>
      <c r="D406" s="55" t="s">
        <v>311</v>
      </c>
      <c r="E406" s="55" t="s">
        <v>311</v>
      </c>
      <c r="F406" s="55" t="s">
        <v>311</v>
      </c>
    </row>
    <row r="407">
      <c r="A407" s="136"/>
      <c r="B407" s="54"/>
      <c r="C407" s="55" t="s">
        <v>311</v>
      </c>
      <c r="D407" s="55" t="s">
        <v>311</v>
      </c>
      <c r="E407" s="55" t="s">
        <v>311</v>
      </c>
      <c r="F407" s="55" t="s">
        <v>311</v>
      </c>
    </row>
    <row r="408">
      <c r="A408" s="136"/>
      <c r="B408" s="54"/>
      <c r="C408" s="55" t="s">
        <v>311</v>
      </c>
      <c r="D408" s="55" t="s">
        <v>311</v>
      </c>
      <c r="E408" s="55" t="s">
        <v>311</v>
      </c>
      <c r="F408" s="55" t="s">
        <v>311</v>
      </c>
    </row>
    <row r="409">
      <c r="A409" s="136"/>
      <c r="B409" s="54"/>
      <c r="C409" s="55" t="s">
        <v>311</v>
      </c>
      <c r="D409" s="55" t="s">
        <v>311</v>
      </c>
      <c r="E409" s="55" t="s">
        <v>311</v>
      </c>
      <c r="F409" s="55" t="s">
        <v>311</v>
      </c>
    </row>
    <row r="410">
      <c r="A410" s="136"/>
      <c r="B410" s="54"/>
      <c r="C410" s="55" t="s">
        <v>311</v>
      </c>
      <c r="D410" s="55" t="s">
        <v>311</v>
      </c>
      <c r="E410" s="55" t="s">
        <v>311</v>
      </c>
      <c r="F410" s="55" t="s">
        <v>311</v>
      </c>
    </row>
    <row r="411">
      <c r="A411" s="136"/>
      <c r="B411" s="54"/>
      <c r="C411" s="55" t="s">
        <v>311</v>
      </c>
      <c r="D411" s="55" t="s">
        <v>311</v>
      </c>
      <c r="E411" s="55" t="s">
        <v>311</v>
      </c>
      <c r="F411" s="55" t="s">
        <v>311</v>
      </c>
    </row>
    <row r="412">
      <c r="A412" s="136"/>
      <c r="B412" s="54"/>
      <c r="C412" s="55" t="s">
        <v>311</v>
      </c>
      <c r="D412" s="55" t="s">
        <v>311</v>
      </c>
      <c r="E412" s="55" t="s">
        <v>311</v>
      </c>
      <c r="F412" s="55" t="s">
        <v>311</v>
      </c>
    </row>
    <row r="413">
      <c r="A413" s="136"/>
      <c r="B413" s="54"/>
      <c r="C413" s="55" t="s">
        <v>311</v>
      </c>
      <c r="D413" s="55" t="s">
        <v>311</v>
      </c>
      <c r="E413" s="55" t="s">
        <v>311</v>
      </c>
      <c r="F413" s="55" t="s">
        <v>311</v>
      </c>
    </row>
    <row r="414">
      <c r="A414" s="136"/>
      <c r="B414" s="54"/>
      <c r="C414" s="55" t="s">
        <v>311</v>
      </c>
      <c r="D414" s="55" t="s">
        <v>311</v>
      </c>
      <c r="E414" s="55" t="s">
        <v>311</v>
      </c>
      <c r="F414" s="55" t="s">
        <v>311</v>
      </c>
    </row>
    <row r="415">
      <c r="A415" s="136"/>
      <c r="B415" s="54"/>
      <c r="C415" s="55" t="s">
        <v>311</v>
      </c>
      <c r="D415" s="55" t="s">
        <v>311</v>
      </c>
      <c r="E415" s="55" t="s">
        <v>311</v>
      </c>
      <c r="F415" s="55" t="s">
        <v>311</v>
      </c>
    </row>
    <row r="416">
      <c r="A416" s="136"/>
      <c r="B416" s="54"/>
      <c r="C416" s="55" t="s">
        <v>311</v>
      </c>
      <c r="D416" s="55" t="s">
        <v>311</v>
      </c>
      <c r="E416" s="55" t="s">
        <v>311</v>
      </c>
      <c r="F416" s="55" t="s">
        <v>311</v>
      </c>
    </row>
    <row r="417">
      <c r="A417" s="136"/>
      <c r="B417" s="54"/>
      <c r="C417" s="55" t="s">
        <v>311</v>
      </c>
      <c r="D417" s="55" t="s">
        <v>311</v>
      </c>
      <c r="E417" s="55" t="s">
        <v>311</v>
      </c>
      <c r="F417" s="55" t="s">
        <v>311</v>
      </c>
    </row>
    <row r="418">
      <c r="A418" s="136"/>
      <c r="B418" s="54"/>
      <c r="C418" s="55" t="s">
        <v>311</v>
      </c>
      <c r="D418" s="55" t="s">
        <v>311</v>
      </c>
      <c r="E418" s="55" t="s">
        <v>311</v>
      </c>
      <c r="F418" s="55" t="s">
        <v>311</v>
      </c>
    </row>
    <row r="419">
      <c r="A419" s="136"/>
      <c r="B419" s="54"/>
      <c r="C419" s="55" t="s">
        <v>311</v>
      </c>
      <c r="D419" s="55" t="s">
        <v>311</v>
      </c>
      <c r="E419" s="55" t="s">
        <v>311</v>
      </c>
      <c r="F419" s="55" t="s">
        <v>311</v>
      </c>
    </row>
    <row r="420">
      <c r="A420" s="136"/>
      <c r="B420" s="54"/>
      <c r="C420" s="55" t="s">
        <v>311</v>
      </c>
      <c r="D420" s="55" t="s">
        <v>311</v>
      </c>
      <c r="E420" s="55" t="s">
        <v>311</v>
      </c>
      <c r="F420" s="55" t="s">
        <v>311</v>
      </c>
    </row>
    <row r="421">
      <c r="A421" s="136"/>
      <c r="B421" s="54"/>
      <c r="C421" s="55" t="s">
        <v>311</v>
      </c>
      <c r="D421" s="55" t="s">
        <v>311</v>
      </c>
      <c r="E421" s="55" t="s">
        <v>311</v>
      </c>
      <c r="F421" s="55" t="s">
        <v>311</v>
      </c>
    </row>
    <row r="422">
      <c r="A422" s="136"/>
      <c r="B422" s="54"/>
      <c r="C422" s="55" t="s">
        <v>311</v>
      </c>
      <c r="D422" s="55" t="s">
        <v>311</v>
      </c>
      <c r="E422" s="55" t="s">
        <v>311</v>
      </c>
      <c r="F422" s="55" t="s">
        <v>311</v>
      </c>
    </row>
    <row r="423">
      <c r="A423" s="136"/>
      <c r="B423" s="54"/>
      <c r="C423" s="55" t="s">
        <v>311</v>
      </c>
      <c r="D423" s="55" t="s">
        <v>311</v>
      </c>
      <c r="E423" s="55" t="s">
        <v>311</v>
      </c>
      <c r="F423" s="55" t="s">
        <v>311</v>
      </c>
    </row>
    <row r="424">
      <c r="A424" s="136"/>
      <c r="B424" s="54"/>
      <c r="C424" s="55" t="s">
        <v>311</v>
      </c>
      <c r="D424" s="55" t="s">
        <v>311</v>
      </c>
      <c r="E424" s="55" t="s">
        <v>311</v>
      </c>
      <c r="F424" s="55" t="s">
        <v>311</v>
      </c>
    </row>
    <row r="425">
      <c r="A425" s="136"/>
      <c r="B425" s="54"/>
      <c r="C425" s="55" t="s">
        <v>311</v>
      </c>
      <c r="D425" s="55" t="s">
        <v>311</v>
      </c>
      <c r="E425" s="55" t="s">
        <v>311</v>
      </c>
      <c r="F425" s="55" t="s">
        <v>311</v>
      </c>
    </row>
    <row r="426">
      <c r="A426" s="136"/>
      <c r="B426" s="54"/>
      <c r="C426" s="55" t="s">
        <v>311</v>
      </c>
      <c r="D426" s="55" t="s">
        <v>311</v>
      </c>
      <c r="E426" s="55" t="s">
        <v>311</v>
      </c>
      <c r="F426" s="55" t="s">
        <v>311</v>
      </c>
    </row>
    <row r="427">
      <c r="A427" s="136"/>
      <c r="B427" s="54"/>
      <c r="C427" s="55" t="s">
        <v>311</v>
      </c>
      <c r="D427" s="55" t="s">
        <v>311</v>
      </c>
      <c r="E427" s="55" t="s">
        <v>311</v>
      </c>
      <c r="F427" s="55" t="s">
        <v>311</v>
      </c>
    </row>
    <row r="428">
      <c r="A428" s="136"/>
      <c r="B428" s="54"/>
      <c r="C428" s="55" t="s">
        <v>311</v>
      </c>
      <c r="D428" s="55" t="s">
        <v>311</v>
      </c>
      <c r="E428" s="55" t="s">
        <v>311</v>
      </c>
      <c r="F428" s="55" t="s">
        <v>311</v>
      </c>
    </row>
    <row r="429">
      <c r="A429" s="136"/>
      <c r="B429" s="54"/>
      <c r="C429" s="55" t="s">
        <v>311</v>
      </c>
      <c r="D429" s="55" t="s">
        <v>311</v>
      </c>
      <c r="E429" s="55" t="s">
        <v>311</v>
      </c>
      <c r="F429" s="55" t="s">
        <v>311</v>
      </c>
    </row>
    <row r="430">
      <c r="A430" s="136"/>
      <c r="B430" s="54"/>
      <c r="C430" s="55" t="s">
        <v>311</v>
      </c>
      <c r="D430" s="55" t="s">
        <v>311</v>
      </c>
      <c r="E430" s="55" t="s">
        <v>311</v>
      </c>
      <c r="F430" s="55" t="s">
        <v>311</v>
      </c>
    </row>
    <row r="431">
      <c r="A431" s="136"/>
      <c r="B431" s="54"/>
      <c r="C431" s="55" t="s">
        <v>311</v>
      </c>
      <c r="D431" s="55" t="s">
        <v>311</v>
      </c>
      <c r="E431" s="55" t="s">
        <v>311</v>
      </c>
      <c r="F431" s="55" t="s">
        <v>311</v>
      </c>
    </row>
    <row r="432">
      <c r="A432" s="136"/>
      <c r="B432" s="54"/>
      <c r="C432" s="55" t="s">
        <v>311</v>
      </c>
      <c r="D432" s="55" t="s">
        <v>311</v>
      </c>
      <c r="E432" s="55" t="s">
        <v>311</v>
      </c>
      <c r="F432" s="55" t="s">
        <v>311</v>
      </c>
    </row>
    <row r="433">
      <c r="A433" s="136"/>
      <c r="B433" s="54"/>
      <c r="C433" s="55" t="s">
        <v>311</v>
      </c>
      <c r="D433" s="55" t="s">
        <v>311</v>
      </c>
      <c r="E433" s="55" t="s">
        <v>311</v>
      </c>
      <c r="F433" s="55" t="s">
        <v>311</v>
      </c>
    </row>
    <row r="434">
      <c r="A434" s="136"/>
      <c r="B434" s="54"/>
      <c r="C434" s="55" t="s">
        <v>311</v>
      </c>
      <c r="D434" s="55" t="s">
        <v>311</v>
      </c>
      <c r="E434" s="55" t="s">
        <v>311</v>
      </c>
      <c r="F434" s="55" t="s">
        <v>311</v>
      </c>
    </row>
    <row r="435">
      <c r="A435" s="136"/>
      <c r="B435" s="54"/>
      <c r="C435" s="55" t="s">
        <v>311</v>
      </c>
      <c r="D435" s="55" t="s">
        <v>311</v>
      </c>
      <c r="E435" s="55" t="s">
        <v>311</v>
      </c>
      <c r="F435" s="55" t="s">
        <v>311</v>
      </c>
    </row>
    <row r="436">
      <c r="A436" s="136"/>
      <c r="B436" s="54"/>
      <c r="C436" s="55" t="s">
        <v>311</v>
      </c>
      <c r="D436" s="55" t="s">
        <v>311</v>
      </c>
      <c r="E436" s="55" t="s">
        <v>311</v>
      </c>
      <c r="F436" s="55" t="s">
        <v>311</v>
      </c>
    </row>
    <row r="437">
      <c r="A437" s="136"/>
      <c r="B437" s="54"/>
      <c r="C437" s="55" t="s">
        <v>311</v>
      </c>
      <c r="D437" s="55" t="s">
        <v>311</v>
      </c>
      <c r="E437" s="55" t="s">
        <v>311</v>
      </c>
      <c r="F437" s="55" t="s">
        <v>311</v>
      </c>
    </row>
    <row r="438">
      <c r="A438" s="136"/>
      <c r="B438" s="54"/>
      <c r="C438" s="55" t="s">
        <v>311</v>
      </c>
      <c r="D438" s="55" t="s">
        <v>311</v>
      </c>
      <c r="E438" s="55" t="s">
        <v>311</v>
      </c>
      <c r="F438" s="55" t="s">
        <v>311</v>
      </c>
    </row>
    <row r="439">
      <c r="A439" s="136"/>
      <c r="B439" s="54"/>
      <c r="C439" s="55" t="s">
        <v>311</v>
      </c>
      <c r="D439" s="55" t="s">
        <v>311</v>
      </c>
      <c r="E439" s="55" t="s">
        <v>311</v>
      </c>
      <c r="F439" s="55" t="s">
        <v>311</v>
      </c>
    </row>
    <row r="440">
      <c r="A440" s="136"/>
      <c r="B440" s="54"/>
      <c r="C440" s="55" t="s">
        <v>311</v>
      </c>
      <c r="D440" s="55" t="s">
        <v>311</v>
      </c>
      <c r="E440" s="55" t="s">
        <v>311</v>
      </c>
      <c r="F440" s="55" t="s">
        <v>311</v>
      </c>
    </row>
    <row r="441">
      <c r="A441" s="136"/>
      <c r="B441" s="54"/>
      <c r="C441" s="55" t="s">
        <v>311</v>
      </c>
      <c r="D441" s="55" t="s">
        <v>311</v>
      </c>
      <c r="E441" s="55" t="s">
        <v>311</v>
      </c>
      <c r="F441" s="55" t="s">
        <v>311</v>
      </c>
    </row>
    <row r="442">
      <c r="A442" s="136"/>
      <c r="B442" s="54"/>
      <c r="C442" s="55" t="s">
        <v>311</v>
      </c>
      <c r="D442" s="55" t="s">
        <v>311</v>
      </c>
      <c r="E442" s="55" t="s">
        <v>311</v>
      </c>
      <c r="F442" s="55" t="s">
        <v>311</v>
      </c>
    </row>
    <row r="443">
      <c r="A443" s="136"/>
      <c r="B443" s="54"/>
      <c r="C443" s="55" t="s">
        <v>311</v>
      </c>
      <c r="D443" s="55" t="s">
        <v>311</v>
      </c>
      <c r="E443" s="55" t="s">
        <v>311</v>
      </c>
      <c r="F443" s="55" t="s">
        <v>311</v>
      </c>
    </row>
    <row r="444">
      <c r="A444" s="136"/>
      <c r="B444" s="54"/>
      <c r="C444" s="55" t="s">
        <v>311</v>
      </c>
      <c r="D444" s="55" t="s">
        <v>311</v>
      </c>
      <c r="E444" s="55" t="s">
        <v>311</v>
      </c>
      <c r="F444" s="55" t="s">
        <v>311</v>
      </c>
    </row>
    <row r="445">
      <c r="A445" s="136"/>
      <c r="B445" s="54"/>
      <c r="C445" s="55" t="s">
        <v>311</v>
      </c>
      <c r="D445" s="55" t="s">
        <v>311</v>
      </c>
      <c r="E445" s="55" t="s">
        <v>311</v>
      </c>
      <c r="F445" s="55" t="s">
        <v>311</v>
      </c>
    </row>
    <row r="446">
      <c r="A446" s="136"/>
      <c r="B446" s="54"/>
      <c r="C446" s="55" t="s">
        <v>311</v>
      </c>
      <c r="D446" s="55" t="s">
        <v>311</v>
      </c>
      <c r="E446" s="55" t="s">
        <v>311</v>
      </c>
      <c r="F446" s="55" t="s">
        <v>311</v>
      </c>
    </row>
    <row r="447">
      <c r="A447" s="136"/>
      <c r="B447" s="54"/>
      <c r="C447" s="55" t="s">
        <v>311</v>
      </c>
      <c r="D447" s="55" t="s">
        <v>311</v>
      </c>
      <c r="E447" s="55" t="s">
        <v>311</v>
      </c>
      <c r="F447" s="55" t="s">
        <v>311</v>
      </c>
    </row>
    <row r="448">
      <c r="A448" s="136"/>
      <c r="B448" s="54"/>
      <c r="C448" s="55" t="s">
        <v>311</v>
      </c>
      <c r="D448" s="55" t="s">
        <v>311</v>
      </c>
      <c r="E448" s="55" t="s">
        <v>311</v>
      </c>
      <c r="F448" s="55" t="s">
        <v>311</v>
      </c>
    </row>
    <row r="449">
      <c r="A449" s="136"/>
      <c r="B449" s="54"/>
      <c r="C449" s="55" t="s">
        <v>311</v>
      </c>
      <c r="D449" s="55" t="s">
        <v>311</v>
      </c>
      <c r="E449" s="55" t="s">
        <v>311</v>
      </c>
      <c r="F449" s="55" t="s">
        <v>311</v>
      </c>
    </row>
    <row r="450">
      <c r="A450" s="136"/>
      <c r="B450" s="54"/>
      <c r="C450" s="55" t="s">
        <v>311</v>
      </c>
      <c r="D450" s="55" t="s">
        <v>311</v>
      </c>
      <c r="E450" s="55" t="s">
        <v>311</v>
      </c>
      <c r="F450" s="55" t="s">
        <v>311</v>
      </c>
    </row>
    <row r="451">
      <c r="A451" s="136"/>
      <c r="B451" s="54"/>
      <c r="C451" s="55" t="s">
        <v>311</v>
      </c>
      <c r="D451" s="55" t="s">
        <v>311</v>
      </c>
      <c r="E451" s="55" t="s">
        <v>311</v>
      </c>
      <c r="F451" s="55" t="s">
        <v>311</v>
      </c>
    </row>
    <row r="452">
      <c r="A452" s="136"/>
      <c r="B452" s="54"/>
      <c r="C452" s="55" t="s">
        <v>311</v>
      </c>
      <c r="D452" s="55" t="s">
        <v>311</v>
      </c>
      <c r="E452" s="55" t="s">
        <v>311</v>
      </c>
      <c r="F452" s="55" t="s">
        <v>311</v>
      </c>
    </row>
    <row r="453">
      <c r="A453" s="136"/>
      <c r="B453" s="54"/>
      <c r="C453" s="55" t="s">
        <v>311</v>
      </c>
      <c r="D453" s="55" t="s">
        <v>311</v>
      </c>
      <c r="E453" s="55" t="s">
        <v>311</v>
      </c>
      <c r="F453" s="55" t="s">
        <v>311</v>
      </c>
    </row>
    <row r="454">
      <c r="A454" s="136"/>
      <c r="B454" s="54"/>
      <c r="C454" s="55" t="s">
        <v>311</v>
      </c>
      <c r="D454" s="55" t="s">
        <v>311</v>
      </c>
      <c r="E454" s="55" t="s">
        <v>311</v>
      </c>
      <c r="F454" s="55" t="s">
        <v>311</v>
      </c>
    </row>
    <row r="455">
      <c r="A455" s="136"/>
      <c r="B455" s="54"/>
      <c r="C455" s="55" t="s">
        <v>311</v>
      </c>
      <c r="D455" s="55" t="s">
        <v>311</v>
      </c>
      <c r="E455" s="55" t="s">
        <v>311</v>
      </c>
      <c r="F455" s="55" t="s">
        <v>311</v>
      </c>
    </row>
    <row r="456">
      <c r="A456" s="136"/>
      <c r="B456" s="54"/>
      <c r="C456" s="55" t="s">
        <v>311</v>
      </c>
      <c r="D456" s="55" t="s">
        <v>311</v>
      </c>
      <c r="E456" s="55" t="s">
        <v>311</v>
      </c>
      <c r="F456" s="55" t="s">
        <v>311</v>
      </c>
    </row>
    <row r="457">
      <c r="A457" s="136"/>
      <c r="B457" s="54"/>
      <c r="C457" s="55" t="s">
        <v>311</v>
      </c>
      <c r="D457" s="55" t="s">
        <v>311</v>
      </c>
      <c r="E457" s="55" t="s">
        <v>311</v>
      </c>
      <c r="F457" s="55" t="s">
        <v>311</v>
      </c>
    </row>
    <row r="458">
      <c r="A458" s="136"/>
      <c r="B458" s="54"/>
      <c r="C458" s="55" t="s">
        <v>311</v>
      </c>
      <c r="D458" s="55" t="s">
        <v>311</v>
      </c>
      <c r="E458" s="55" t="s">
        <v>311</v>
      </c>
      <c r="F458" s="55" t="s">
        <v>311</v>
      </c>
    </row>
    <row r="459">
      <c r="A459" s="136"/>
      <c r="B459" s="54"/>
      <c r="C459" s="55" t="s">
        <v>311</v>
      </c>
      <c r="D459" s="55" t="s">
        <v>311</v>
      </c>
      <c r="E459" s="55" t="s">
        <v>311</v>
      </c>
      <c r="F459" s="55" t="s">
        <v>311</v>
      </c>
    </row>
    <row r="460">
      <c r="A460" s="136"/>
      <c r="B460" s="54"/>
      <c r="C460" s="55" t="s">
        <v>311</v>
      </c>
      <c r="D460" s="55" t="s">
        <v>311</v>
      </c>
      <c r="E460" s="55" t="s">
        <v>311</v>
      </c>
      <c r="F460" s="55" t="s">
        <v>311</v>
      </c>
    </row>
    <row r="461">
      <c r="A461" s="136"/>
      <c r="B461" s="54"/>
      <c r="C461" s="55" t="s">
        <v>311</v>
      </c>
      <c r="D461" s="55" t="s">
        <v>311</v>
      </c>
      <c r="E461" s="55" t="s">
        <v>311</v>
      </c>
      <c r="F461" s="55" t="s">
        <v>311</v>
      </c>
    </row>
    <row r="462">
      <c r="A462" s="136"/>
      <c r="B462" s="54"/>
      <c r="C462" s="55" t="s">
        <v>311</v>
      </c>
      <c r="D462" s="55" t="s">
        <v>311</v>
      </c>
      <c r="E462" s="55" t="s">
        <v>311</v>
      </c>
      <c r="F462" s="55" t="s">
        <v>311</v>
      </c>
    </row>
    <row r="463">
      <c r="A463" s="136"/>
      <c r="B463" s="54"/>
      <c r="C463" s="55" t="s">
        <v>311</v>
      </c>
      <c r="D463" s="55" t="s">
        <v>311</v>
      </c>
      <c r="E463" s="55" t="s">
        <v>311</v>
      </c>
      <c r="F463" s="55" t="s">
        <v>311</v>
      </c>
    </row>
    <row r="464">
      <c r="A464" s="136"/>
      <c r="B464" s="54"/>
      <c r="C464" s="55" t="s">
        <v>311</v>
      </c>
      <c r="D464" s="55" t="s">
        <v>311</v>
      </c>
      <c r="E464" s="55" t="s">
        <v>311</v>
      </c>
      <c r="F464" s="55" t="s">
        <v>311</v>
      </c>
    </row>
    <row r="465">
      <c r="A465" s="136"/>
      <c r="B465" s="54"/>
      <c r="C465" s="55" t="s">
        <v>311</v>
      </c>
      <c r="D465" s="55" t="s">
        <v>311</v>
      </c>
      <c r="E465" s="55" t="s">
        <v>311</v>
      </c>
      <c r="F465" s="55" t="s">
        <v>311</v>
      </c>
    </row>
    <row r="466">
      <c r="A466" s="136"/>
      <c r="B466" s="54"/>
      <c r="C466" s="55" t="s">
        <v>311</v>
      </c>
      <c r="D466" s="55" t="s">
        <v>311</v>
      </c>
      <c r="E466" s="55" t="s">
        <v>311</v>
      </c>
      <c r="F466" s="55" t="s">
        <v>311</v>
      </c>
    </row>
    <row r="467">
      <c r="A467" s="136"/>
      <c r="B467" s="54"/>
      <c r="C467" s="55" t="s">
        <v>311</v>
      </c>
      <c r="D467" s="55" t="s">
        <v>311</v>
      </c>
      <c r="E467" s="55" t="s">
        <v>311</v>
      </c>
      <c r="F467" s="55" t="s">
        <v>311</v>
      </c>
    </row>
    <row r="468">
      <c r="A468" s="136"/>
      <c r="B468" s="54"/>
      <c r="C468" s="55" t="s">
        <v>311</v>
      </c>
      <c r="D468" s="55" t="s">
        <v>311</v>
      </c>
      <c r="E468" s="55" t="s">
        <v>311</v>
      </c>
      <c r="F468" s="55" t="s">
        <v>311</v>
      </c>
    </row>
    <row r="469">
      <c r="A469" s="136"/>
      <c r="B469" s="54"/>
      <c r="C469" s="55" t="s">
        <v>311</v>
      </c>
      <c r="D469" s="55" t="s">
        <v>311</v>
      </c>
      <c r="E469" s="55" t="s">
        <v>311</v>
      </c>
      <c r="F469" s="55" t="s">
        <v>311</v>
      </c>
    </row>
    <row r="470">
      <c r="A470" s="136"/>
      <c r="B470" s="54"/>
      <c r="C470" s="55" t="s">
        <v>311</v>
      </c>
      <c r="D470" s="55" t="s">
        <v>311</v>
      </c>
      <c r="E470" s="55" t="s">
        <v>311</v>
      </c>
      <c r="F470" s="55" t="s">
        <v>311</v>
      </c>
    </row>
    <row r="471">
      <c r="A471" s="136"/>
      <c r="B471" s="54"/>
      <c r="C471" s="55" t="s">
        <v>311</v>
      </c>
      <c r="D471" s="55" t="s">
        <v>311</v>
      </c>
      <c r="E471" s="55" t="s">
        <v>311</v>
      </c>
      <c r="F471" s="55" t="s">
        <v>311</v>
      </c>
    </row>
    <row r="472">
      <c r="A472" s="136"/>
      <c r="B472" s="54"/>
      <c r="C472" s="55" t="s">
        <v>311</v>
      </c>
      <c r="D472" s="55" t="s">
        <v>311</v>
      </c>
      <c r="E472" s="55" t="s">
        <v>311</v>
      </c>
      <c r="F472" s="55" t="s">
        <v>311</v>
      </c>
    </row>
    <row r="473">
      <c r="A473" s="136"/>
      <c r="B473" s="54"/>
      <c r="C473" s="55" t="s">
        <v>311</v>
      </c>
      <c r="D473" s="55" t="s">
        <v>311</v>
      </c>
      <c r="E473" s="55" t="s">
        <v>311</v>
      </c>
      <c r="F473" s="55" t="s">
        <v>311</v>
      </c>
    </row>
    <row r="474">
      <c r="A474" s="136"/>
      <c r="B474" s="54"/>
      <c r="C474" s="55" t="s">
        <v>311</v>
      </c>
      <c r="D474" s="55" t="s">
        <v>311</v>
      </c>
      <c r="E474" s="55" t="s">
        <v>311</v>
      </c>
      <c r="F474" s="55" t="s">
        <v>311</v>
      </c>
    </row>
    <row r="475">
      <c r="A475" s="136"/>
      <c r="B475" s="54"/>
      <c r="C475" s="55" t="s">
        <v>311</v>
      </c>
      <c r="D475" s="55" t="s">
        <v>311</v>
      </c>
      <c r="E475" s="55" t="s">
        <v>311</v>
      </c>
      <c r="F475" s="55" t="s">
        <v>311</v>
      </c>
    </row>
    <row r="476">
      <c r="A476" s="136"/>
      <c r="B476" s="54"/>
      <c r="C476" s="55" t="s">
        <v>311</v>
      </c>
      <c r="D476" s="55" t="s">
        <v>311</v>
      </c>
      <c r="E476" s="55" t="s">
        <v>311</v>
      </c>
      <c r="F476" s="55" t="s">
        <v>311</v>
      </c>
    </row>
    <row r="477">
      <c r="A477" s="136"/>
      <c r="B477" s="54"/>
      <c r="C477" s="55" t="s">
        <v>311</v>
      </c>
      <c r="D477" s="55" t="s">
        <v>311</v>
      </c>
      <c r="E477" s="55" t="s">
        <v>311</v>
      </c>
      <c r="F477" s="55" t="s">
        <v>311</v>
      </c>
    </row>
    <row r="478">
      <c r="A478" s="136"/>
      <c r="B478" s="54"/>
      <c r="C478" s="55" t="s">
        <v>311</v>
      </c>
      <c r="D478" s="55" t="s">
        <v>311</v>
      </c>
      <c r="E478" s="55" t="s">
        <v>311</v>
      </c>
      <c r="F478" s="55" t="s">
        <v>311</v>
      </c>
    </row>
    <row r="479">
      <c r="A479" s="136"/>
      <c r="B479" s="54"/>
      <c r="C479" s="55" t="s">
        <v>311</v>
      </c>
      <c r="D479" s="55" t="s">
        <v>311</v>
      </c>
      <c r="E479" s="55" t="s">
        <v>311</v>
      </c>
      <c r="F479" s="55" t="s">
        <v>311</v>
      </c>
    </row>
    <row r="480">
      <c r="A480" s="136"/>
      <c r="B480" s="54"/>
      <c r="C480" s="55" t="s">
        <v>311</v>
      </c>
      <c r="D480" s="55" t="s">
        <v>311</v>
      </c>
      <c r="E480" s="55" t="s">
        <v>311</v>
      </c>
      <c r="F480" s="55" t="s">
        <v>311</v>
      </c>
    </row>
    <row r="481">
      <c r="A481" s="136"/>
      <c r="B481" s="54"/>
      <c r="C481" s="55" t="s">
        <v>311</v>
      </c>
      <c r="D481" s="55" t="s">
        <v>311</v>
      </c>
      <c r="E481" s="55" t="s">
        <v>311</v>
      </c>
      <c r="F481" s="55" t="s">
        <v>311</v>
      </c>
    </row>
    <row r="482">
      <c r="A482" s="136"/>
      <c r="B482" s="54"/>
      <c r="C482" s="55" t="s">
        <v>311</v>
      </c>
      <c r="D482" s="55" t="s">
        <v>311</v>
      </c>
      <c r="E482" s="55" t="s">
        <v>311</v>
      </c>
      <c r="F482" s="55" t="s">
        <v>311</v>
      </c>
    </row>
    <row r="483">
      <c r="A483" s="136"/>
      <c r="B483" s="54"/>
      <c r="C483" s="55" t="s">
        <v>311</v>
      </c>
      <c r="D483" s="55" t="s">
        <v>311</v>
      </c>
      <c r="E483" s="55" t="s">
        <v>311</v>
      </c>
      <c r="F483" s="55" t="s">
        <v>311</v>
      </c>
    </row>
    <row r="484">
      <c r="A484" s="136"/>
      <c r="B484" s="54"/>
      <c r="C484" s="55" t="s">
        <v>311</v>
      </c>
      <c r="D484" s="55" t="s">
        <v>311</v>
      </c>
      <c r="E484" s="55" t="s">
        <v>311</v>
      </c>
      <c r="F484" s="55" t="s">
        <v>311</v>
      </c>
    </row>
    <row r="485">
      <c r="A485" s="136"/>
      <c r="B485" s="54"/>
      <c r="C485" s="55" t="s">
        <v>311</v>
      </c>
      <c r="D485" s="55" t="s">
        <v>311</v>
      </c>
      <c r="E485" s="55" t="s">
        <v>311</v>
      </c>
      <c r="F485" s="55" t="s">
        <v>311</v>
      </c>
    </row>
    <row r="486">
      <c r="A486" s="136"/>
      <c r="B486" s="54"/>
      <c r="C486" s="55" t="s">
        <v>311</v>
      </c>
      <c r="D486" s="55" t="s">
        <v>311</v>
      </c>
      <c r="E486" s="55" t="s">
        <v>311</v>
      </c>
      <c r="F486" s="55" t="s">
        <v>311</v>
      </c>
    </row>
    <row r="487">
      <c r="A487" s="136"/>
      <c r="B487" s="54"/>
      <c r="C487" s="55" t="s">
        <v>311</v>
      </c>
      <c r="D487" s="55" t="s">
        <v>311</v>
      </c>
      <c r="E487" s="55" t="s">
        <v>311</v>
      </c>
      <c r="F487" s="55" t="s">
        <v>311</v>
      </c>
    </row>
    <row r="488">
      <c r="A488" s="136"/>
      <c r="B488" s="54"/>
      <c r="C488" s="55" t="s">
        <v>311</v>
      </c>
      <c r="D488" s="55" t="s">
        <v>311</v>
      </c>
      <c r="E488" s="55" t="s">
        <v>311</v>
      </c>
      <c r="F488" s="55" t="s">
        <v>311</v>
      </c>
    </row>
    <row r="489">
      <c r="A489" s="136"/>
      <c r="B489" s="54"/>
      <c r="C489" s="55" t="s">
        <v>311</v>
      </c>
      <c r="D489" s="55" t="s">
        <v>311</v>
      </c>
      <c r="E489" s="55" t="s">
        <v>311</v>
      </c>
      <c r="F489" s="55" t="s">
        <v>311</v>
      </c>
    </row>
    <row r="490">
      <c r="A490" s="136"/>
      <c r="B490" s="54"/>
      <c r="C490" s="55" t="s">
        <v>311</v>
      </c>
      <c r="D490" s="55" t="s">
        <v>311</v>
      </c>
      <c r="E490" s="55" t="s">
        <v>311</v>
      </c>
      <c r="F490" s="55" t="s">
        <v>311</v>
      </c>
    </row>
    <row r="491">
      <c r="A491" s="136"/>
      <c r="B491" s="54"/>
      <c r="C491" s="55" t="s">
        <v>311</v>
      </c>
      <c r="D491" s="55" t="s">
        <v>311</v>
      </c>
      <c r="E491" s="55" t="s">
        <v>311</v>
      </c>
      <c r="F491" s="55" t="s">
        <v>311</v>
      </c>
    </row>
    <row r="492">
      <c r="A492" s="136"/>
      <c r="B492" s="54"/>
      <c r="C492" s="55" t="s">
        <v>311</v>
      </c>
      <c r="D492" s="55" t="s">
        <v>311</v>
      </c>
      <c r="E492" s="55" t="s">
        <v>311</v>
      </c>
      <c r="F492" s="55" t="s">
        <v>311</v>
      </c>
    </row>
    <row r="493">
      <c r="A493" s="136"/>
      <c r="B493" s="54"/>
      <c r="C493" s="55" t="s">
        <v>311</v>
      </c>
      <c r="D493" s="55" t="s">
        <v>311</v>
      </c>
      <c r="E493" s="55" t="s">
        <v>311</v>
      </c>
      <c r="F493" s="55" t="s">
        <v>311</v>
      </c>
    </row>
    <row r="494">
      <c r="A494" s="136"/>
      <c r="B494" s="54"/>
      <c r="C494" s="55" t="s">
        <v>311</v>
      </c>
      <c r="D494" s="55" t="s">
        <v>311</v>
      </c>
      <c r="E494" s="55" t="s">
        <v>311</v>
      </c>
      <c r="F494" s="55" t="s">
        <v>311</v>
      </c>
    </row>
    <row r="495">
      <c r="A495" s="136"/>
      <c r="B495" s="54"/>
      <c r="C495" s="55" t="s">
        <v>311</v>
      </c>
      <c r="D495" s="55" t="s">
        <v>311</v>
      </c>
      <c r="E495" s="55" t="s">
        <v>311</v>
      </c>
      <c r="F495" s="55" t="s">
        <v>311</v>
      </c>
    </row>
    <row r="496">
      <c r="A496" s="136"/>
      <c r="B496" s="54"/>
      <c r="C496" s="55" t="s">
        <v>311</v>
      </c>
      <c r="D496" s="55" t="s">
        <v>311</v>
      </c>
      <c r="E496" s="55" t="s">
        <v>311</v>
      </c>
      <c r="F496" s="55" t="s">
        <v>311</v>
      </c>
    </row>
    <row r="497">
      <c r="A497" s="136"/>
      <c r="B497" s="54"/>
      <c r="C497" s="55" t="s">
        <v>311</v>
      </c>
      <c r="D497" s="55" t="s">
        <v>311</v>
      </c>
      <c r="E497" s="55" t="s">
        <v>311</v>
      </c>
      <c r="F497" s="55" t="s">
        <v>311</v>
      </c>
    </row>
    <row r="498">
      <c r="A498" s="136"/>
      <c r="B498" s="54"/>
      <c r="C498" s="55" t="s">
        <v>311</v>
      </c>
      <c r="D498" s="55" t="s">
        <v>311</v>
      </c>
      <c r="E498" s="55" t="s">
        <v>311</v>
      </c>
      <c r="F498" s="55" t="s">
        <v>311</v>
      </c>
    </row>
    <row r="499">
      <c r="A499" s="136"/>
      <c r="B499" s="54"/>
      <c r="C499" s="55" t="s">
        <v>311</v>
      </c>
      <c r="D499" s="55" t="s">
        <v>311</v>
      </c>
      <c r="E499" s="55" t="s">
        <v>311</v>
      </c>
      <c r="F499" s="55" t="s">
        <v>311</v>
      </c>
    </row>
    <row r="500">
      <c r="A500" s="136"/>
      <c r="B500" s="54"/>
      <c r="C500" s="55" t="s">
        <v>311</v>
      </c>
      <c r="D500" s="55" t="s">
        <v>311</v>
      </c>
      <c r="E500" s="55" t="s">
        <v>311</v>
      </c>
      <c r="F500" s="55" t="s">
        <v>311</v>
      </c>
    </row>
    <row r="501">
      <c r="A501" s="136"/>
      <c r="B501" s="54"/>
      <c r="C501" s="55" t="s">
        <v>311</v>
      </c>
      <c r="D501" s="55" t="s">
        <v>311</v>
      </c>
      <c r="E501" s="55" t="s">
        <v>311</v>
      </c>
      <c r="F501" s="55" t="s">
        <v>311</v>
      </c>
    </row>
    <row r="502">
      <c r="A502" s="136"/>
      <c r="B502" s="54"/>
      <c r="C502" s="55" t="s">
        <v>311</v>
      </c>
      <c r="D502" s="55" t="s">
        <v>311</v>
      </c>
      <c r="E502" s="55" t="s">
        <v>311</v>
      </c>
      <c r="F502" s="55" t="s">
        <v>311</v>
      </c>
    </row>
    <row r="503">
      <c r="A503" s="136"/>
      <c r="B503" s="54"/>
      <c r="C503" s="55" t="s">
        <v>311</v>
      </c>
      <c r="D503" s="55" t="s">
        <v>311</v>
      </c>
      <c r="E503" s="55" t="s">
        <v>311</v>
      </c>
      <c r="F503" s="55" t="s">
        <v>311</v>
      </c>
    </row>
    <row r="504">
      <c r="A504" s="136"/>
      <c r="B504" s="54"/>
      <c r="C504" s="55" t="s">
        <v>311</v>
      </c>
      <c r="D504" s="55" t="s">
        <v>311</v>
      </c>
      <c r="E504" s="55" t="s">
        <v>311</v>
      </c>
      <c r="F504" s="55" t="s">
        <v>311</v>
      </c>
    </row>
    <row r="505">
      <c r="A505" s="136"/>
      <c r="B505" s="54"/>
      <c r="C505" s="55" t="s">
        <v>311</v>
      </c>
      <c r="D505" s="55" t="s">
        <v>311</v>
      </c>
      <c r="E505" s="55" t="s">
        <v>311</v>
      </c>
      <c r="F505" s="55" t="s">
        <v>311</v>
      </c>
    </row>
    <row r="506">
      <c r="A506" s="136"/>
      <c r="B506" s="54"/>
      <c r="C506" s="55" t="s">
        <v>311</v>
      </c>
      <c r="D506" s="55" t="s">
        <v>311</v>
      </c>
      <c r="E506" s="55" t="s">
        <v>311</v>
      </c>
      <c r="F506" s="55" t="s">
        <v>311</v>
      </c>
    </row>
    <row r="507">
      <c r="A507" s="136"/>
      <c r="B507" s="54"/>
      <c r="C507" s="55" t="s">
        <v>311</v>
      </c>
      <c r="D507" s="55" t="s">
        <v>311</v>
      </c>
      <c r="E507" s="55" t="s">
        <v>311</v>
      </c>
      <c r="F507" s="55" t="s">
        <v>311</v>
      </c>
    </row>
    <row r="508">
      <c r="A508" s="136"/>
      <c r="B508" s="54"/>
      <c r="C508" s="55" t="s">
        <v>311</v>
      </c>
      <c r="D508" s="55" t="s">
        <v>311</v>
      </c>
      <c r="E508" s="55" t="s">
        <v>311</v>
      </c>
      <c r="F508" s="55" t="s">
        <v>311</v>
      </c>
    </row>
    <row r="509">
      <c r="A509" s="136"/>
      <c r="B509" s="54"/>
      <c r="C509" s="55" t="s">
        <v>311</v>
      </c>
      <c r="D509" s="55" t="s">
        <v>311</v>
      </c>
      <c r="E509" s="55" t="s">
        <v>311</v>
      </c>
      <c r="F509" s="55" t="s">
        <v>311</v>
      </c>
    </row>
    <row r="510">
      <c r="A510" s="136"/>
      <c r="B510" s="54"/>
      <c r="C510" s="55" t="s">
        <v>311</v>
      </c>
      <c r="D510" s="55" t="s">
        <v>311</v>
      </c>
      <c r="E510" s="55" t="s">
        <v>311</v>
      </c>
      <c r="F510" s="55" t="s">
        <v>311</v>
      </c>
    </row>
    <row r="511">
      <c r="A511" s="136"/>
      <c r="B511" s="54"/>
      <c r="C511" s="55" t="s">
        <v>311</v>
      </c>
      <c r="D511" s="55" t="s">
        <v>311</v>
      </c>
      <c r="E511" s="55" t="s">
        <v>311</v>
      </c>
      <c r="F511" s="55" t="s">
        <v>311</v>
      </c>
    </row>
    <row r="512">
      <c r="A512" s="136"/>
      <c r="B512" s="54"/>
      <c r="C512" s="55" t="s">
        <v>311</v>
      </c>
      <c r="D512" s="55" t="s">
        <v>311</v>
      </c>
      <c r="E512" s="55" t="s">
        <v>311</v>
      </c>
      <c r="F512" s="55" t="s">
        <v>311</v>
      </c>
    </row>
    <row r="513">
      <c r="A513" s="136"/>
      <c r="B513" s="54"/>
      <c r="C513" s="55" t="s">
        <v>311</v>
      </c>
      <c r="D513" s="55" t="s">
        <v>311</v>
      </c>
      <c r="E513" s="55" t="s">
        <v>311</v>
      </c>
      <c r="F513" s="55" t="s">
        <v>311</v>
      </c>
    </row>
    <row r="514">
      <c r="A514" s="136"/>
      <c r="B514" s="54"/>
      <c r="C514" s="55" t="s">
        <v>311</v>
      </c>
      <c r="D514" s="55" t="s">
        <v>311</v>
      </c>
      <c r="E514" s="55" t="s">
        <v>311</v>
      </c>
      <c r="F514" s="55" t="s">
        <v>311</v>
      </c>
    </row>
    <row r="515">
      <c r="A515" s="136"/>
      <c r="B515" s="54"/>
      <c r="C515" s="55" t="s">
        <v>311</v>
      </c>
      <c r="D515" s="55" t="s">
        <v>311</v>
      </c>
      <c r="E515" s="55" t="s">
        <v>311</v>
      </c>
      <c r="F515" s="55" t="s">
        <v>311</v>
      </c>
    </row>
    <row r="516">
      <c r="A516" s="136"/>
      <c r="B516" s="54"/>
      <c r="C516" s="55" t="s">
        <v>311</v>
      </c>
      <c r="D516" s="55" t="s">
        <v>311</v>
      </c>
      <c r="E516" s="55" t="s">
        <v>311</v>
      </c>
      <c r="F516" s="55" t="s">
        <v>311</v>
      </c>
    </row>
    <row r="517">
      <c r="A517" s="136"/>
      <c r="B517" s="54"/>
      <c r="C517" s="55" t="s">
        <v>311</v>
      </c>
      <c r="D517" s="55" t="s">
        <v>311</v>
      </c>
      <c r="E517" s="55" t="s">
        <v>311</v>
      </c>
      <c r="F517" s="55" t="s">
        <v>311</v>
      </c>
    </row>
    <row r="518">
      <c r="A518" s="136"/>
      <c r="B518" s="54"/>
      <c r="C518" s="55" t="s">
        <v>311</v>
      </c>
      <c r="D518" s="55" t="s">
        <v>311</v>
      </c>
      <c r="E518" s="55" t="s">
        <v>311</v>
      </c>
      <c r="F518" s="55" t="s">
        <v>311</v>
      </c>
    </row>
    <row r="519">
      <c r="A519" s="136"/>
      <c r="B519" s="54"/>
      <c r="C519" s="55" t="s">
        <v>311</v>
      </c>
      <c r="D519" s="55" t="s">
        <v>311</v>
      </c>
      <c r="E519" s="55" t="s">
        <v>311</v>
      </c>
      <c r="F519" s="55" t="s">
        <v>311</v>
      </c>
    </row>
    <row r="520">
      <c r="A520" s="136"/>
      <c r="B520" s="54"/>
      <c r="C520" s="55" t="s">
        <v>311</v>
      </c>
      <c r="D520" s="55" t="s">
        <v>311</v>
      </c>
      <c r="E520" s="55" t="s">
        <v>311</v>
      </c>
      <c r="F520" s="55" t="s">
        <v>311</v>
      </c>
    </row>
    <row r="521">
      <c r="A521" s="136"/>
      <c r="B521" s="54"/>
      <c r="C521" s="55" t="s">
        <v>311</v>
      </c>
      <c r="D521" s="55" t="s">
        <v>311</v>
      </c>
      <c r="E521" s="55" t="s">
        <v>311</v>
      </c>
      <c r="F521" s="55" t="s">
        <v>311</v>
      </c>
    </row>
    <row r="522">
      <c r="A522" s="136"/>
      <c r="B522" s="54"/>
      <c r="C522" s="55" t="s">
        <v>311</v>
      </c>
      <c r="D522" s="55" t="s">
        <v>311</v>
      </c>
      <c r="E522" s="55" t="s">
        <v>311</v>
      </c>
      <c r="F522" s="55" t="s">
        <v>311</v>
      </c>
    </row>
    <row r="523">
      <c r="A523" s="136"/>
      <c r="B523" s="54"/>
      <c r="C523" s="55" t="s">
        <v>311</v>
      </c>
      <c r="D523" s="55" t="s">
        <v>311</v>
      </c>
      <c r="E523" s="55" t="s">
        <v>311</v>
      </c>
      <c r="F523" s="55" t="s">
        <v>311</v>
      </c>
    </row>
    <row r="524">
      <c r="A524" s="136"/>
      <c r="B524" s="54"/>
      <c r="C524" s="55" t="s">
        <v>311</v>
      </c>
      <c r="D524" s="55" t="s">
        <v>311</v>
      </c>
      <c r="E524" s="55" t="s">
        <v>311</v>
      </c>
      <c r="F524" s="55" t="s">
        <v>311</v>
      </c>
    </row>
    <row r="525">
      <c r="A525" s="136"/>
      <c r="B525" s="54"/>
      <c r="C525" s="55" t="s">
        <v>311</v>
      </c>
      <c r="D525" s="55" t="s">
        <v>311</v>
      </c>
      <c r="E525" s="55" t="s">
        <v>311</v>
      </c>
      <c r="F525" s="55" t="s">
        <v>311</v>
      </c>
    </row>
    <row r="526">
      <c r="A526" s="136"/>
      <c r="B526" s="54"/>
      <c r="C526" s="55" t="s">
        <v>311</v>
      </c>
      <c r="D526" s="55" t="s">
        <v>311</v>
      </c>
      <c r="E526" s="55" t="s">
        <v>311</v>
      </c>
      <c r="F526" s="55" t="s">
        <v>311</v>
      </c>
    </row>
    <row r="527">
      <c r="A527" s="136"/>
      <c r="B527" s="54"/>
      <c r="C527" s="55" t="s">
        <v>311</v>
      </c>
      <c r="D527" s="55" t="s">
        <v>311</v>
      </c>
      <c r="E527" s="55" t="s">
        <v>311</v>
      </c>
      <c r="F527" s="55" t="s">
        <v>311</v>
      </c>
    </row>
    <row r="528">
      <c r="A528" s="136"/>
      <c r="B528" s="54"/>
      <c r="C528" s="55" t="s">
        <v>311</v>
      </c>
      <c r="D528" s="55" t="s">
        <v>311</v>
      </c>
      <c r="E528" s="55" t="s">
        <v>311</v>
      </c>
      <c r="F528" s="55" t="s">
        <v>311</v>
      </c>
    </row>
    <row r="529">
      <c r="A529" s="136"/>
      <c r="B529" s="54"/>
      <c r="C529" s="55" t="s">
        <v>311</v>
      </c>
      <c r="D529" s="55" t="s">
        <v>311</v>
      </c>
      <c r="E529" s="55" t="s">
        <v>311</v>
      </c>
      <c r="F529" s="55" t="s">
        <v>311</v>
      </c>
    </row>
    <row r="530">
      <c r="A530" s="136"/>
      <c r="B530" s="54"/>
      <c r="C530" s="55" t="s">
        <v>311</v>
      </c>
      <c r="D530" s="55" t="s">
        <v>311</v>
      </c>
      <c r="E530" s="55" t="s">
        <v>311</v>
      </c>
      <c r="F530" s="55" t="s">
        <v>311</v>
      </c>
    </row>
    <row r="531">
      <c r="A531" s="136"/>
      <c r="B531" s="54"/>
      <c r="C531" s="55" t="s">
        <v>311</v>
      </c>
      <c r="D531" s="55" t="s">
        <v>311</v>
      </c>
      <c r="E531" s="55" t="s">
        <v>311</v>
      </c>
      <c r="F531" s="55" t="s">
        <v>311</v>
      </c>
    </row>
    <row r="532">
      <c r="A532" s="136"/>
      <c r="B532" s="54"/>
      <c r="C532" s="55" t="s">
        <v>311</v>
      </c>
      <c r="D532" s="55" t="s">
        <v>311</v>
      </c>
      <c r="E532" s="55" t="s">
        <v>311</v>
      </c>
      <c r="F532" s="55" t="s">
        <v>311</v>
      </c>
    </row>
    <row r="533">
      <c r="A533" s="136"/>
      <c r="B533" s="54"/>
      <c r="C533" s="55" t="s">
        <v>311</v>
      </c>
      <c r="D533" s="55" t="s">
        <v>311</v>
      </c>
      <c r="E533" s="55" t="s">
        <v>311</v>
      </c>
      <c r="F533" s="55" t="s">
        <v>311</v>
      </c>
    </row>
    <row r="534">
      <c r="A534" s="136"/>
      <c r="B534" s="54"/>
      <c r="C534" s="55" t="s">
        <v>311</v>
      </c>
      <c r="D534" s="55" t="s">
        <v>311</v>
      </c>
      <c r="E534" s="55" t="s">
        <v>311</v>
      </c>
      <c r="F534" s="55" t="s">
        <v>311</v>
      </c>
    </row>
    <row r="535">
      <c r="A535" s="136"/>
      <c r="B535" s="54"/>
      <c r="C535" s="55" t="s">
        <v>311</v>
      </c>
      <c r="D535" s="55" t="s">
        <v>311</v>
      </c>
      <c r="E535" s="55" t="s">
        <v>311</v>
      </c>
      <c r="F535" s="55" t="s">
        <v>311</v>
      </c>
    </row>
    <row r="536">
      <c r="A536" s="136"/>
      <c r="B536" s="54"/>
      <c r="C536" s="55" t="s">
        <v>311</v>
      </c>
      <c r="D536" s="55" t="s">
        <v>311</v>
      </c>
      <c r="E536" s="55" t="s">
        <v>311</v>
      </c>
      <c r="F536" s="55" t="s">
        <v>311</v>
      </c>
    </row>
    <row r="537">
      <c r="A537" s="136"/>
      <c r="B537" s="54"/>
      <c r="C537" s="55" t="s">
        <v>311</v>
      </c>
      <c r="D537" s="55" t="s">
        <v>311</v>
      </c>
      <c r="E537" s="55" t="s">
        <v>311</v>
      </c>
      <c r="F537" s="55" t="s">
        <v>311</v>
      </c>
    </row>
    <row r="538">
      <c r="A538" s="136"/>
      <c r="B538" s="54"/>
      <c r="C538" s="55" t="s">
        <v>311</v>
      </c>
      <c r="D538" s="55" t="s">
        <v>311</v>
      </c>
      <c r="E538" s="55" t="s">
        <v>311</v>
      </c>
      <c r="F538" s="55" t="s">
        <v>311</v>
      </c>
    </row>
    <row r="539">
      <c r="A539" s="136"/>
      <c r="B539" s="54"/>
      <c r="C539" s="55" t="s">
        <v>311</v>
      </c>
      <c r="D539" s="55" t="s">
        <v>311</v>
      </c>
      <c r="E539" s="55" t="s">
        <v>311</v>
      </c>
      <c r="F539" s="55" t="s">
        <v>311</v>
      </c>
    </row>
    <row r="540">
      <c r="A540" s="136"/>
      <c r="B540" s="54"/>
      <c r="C540" s="55" t="s">
        <v>311</v>
      </c>
      <c r="D540" s="55" t="s">
        <v>311</v>
      </c>
      <c r="E540" s="55" t="s">
        <v>311</v>
      </c>
      <c r="F540" s="55" t="s">
        <v>311</v>
      </c>
    </row>
    <row r="541">
      <c r="A541" s="136"/>
      <c r="B541" s="54"/>
      <c r="C541" s="55" t="s">
        <v>311</v>
      </c>
      <c r="D541" s="55" t="s">
        <v>311</v>
      </c>
      <c r="E541" s="55" t="s">
        <v>311</v>
      </c>
      <c r="F541" s="55" t="s">
        <v>311</v>
      </c>
    </row>
    <row r="542">
      <c r="A542" s="136"/>
      <c r="B542" s="54"/>
      <c r="C542" s="55" t="s">
        <v>311</v>
      </c>
      <c r="D542" s="55" t="s">
        <v>311</v>
      </c>
      <c r="E542" s="55" t="s">
        <v>311</v>
      </c>
      <c r="F542" s="55" t="s">
        <v>311</v>
      </c>
    </row>
    <row r="543">
      <c r="A543" s="136"/>
      <c r="B543" s="54"/>
      <c r="C543" s="55" t="s">
        <v>311</v>
      </c>
      <c r="D543" s="55" t="s">
        <v>311</v>
      </c>
      <c r="E543" s="55" t="s">
        <v>311</v>
      </c>
      <c r="F543" s="55" t="s">
        <v>311</v>
      </c>
    </row>
    <row r="544">
      <c r="A544" s="136"/>
      <c r="B544" s="54"/>
      <c r="C544" s="55" t="s">
        <v>311</v>
      </c>
      <c r="D544" s="55" t="s">
        <v>311</v>
      </c>
      <c r="E544" s="55" t="s">
        <v>311</v>
      </c>
      <c r="F544" s="55" t="s">
        <v>311</v>
      </c>
    </row>
    <row r="545">
      <c r="A545" s="136"/>
      <c r="B545" s="54"/>
      <c r="C545" s="55" t="s">
        <v>311</v>
      </c>
      <c r="D545" s="55" t="s">
        <v>311</v>
      </c>
      <c r="E545" s="55" t="s">
        <v>311</v>
      </c>
      <c r="F545" s="55" t="s">
        <v>311</v>
      </c>
    </row>
    <row r="546">
      <c r="A546" s="136"/>
      <c r="B546" s="54"/>
      <c r="C546" s="55" t="s">
        <v>311</v>
      </c>
      <c r="D546" s="55" t="s">
        <v>311</v>
      </c>
      <c r="E546" s="55" t="s">
        <v>311</v>
      </c>
      <c r="F546" s="55" t="s">
        <v>311</v>
      </c>
    </row>
    <row r="547">
      <c r="A547" s="136"/>
      <c r="B547" s="54"/>
      <c r="C547" s="55" t="s">
        <v>311</v>
      </c>
      <c r="D547" s="55" t="s">
        <v>311</v>
      </c>
      <c r="E547" s="55" t="s">
        <v>311</v>
      </c>
      <c r="F547" s="55" t="s">
        <v>311</v>
      </c>
    </row>
    <row r="548">
      <c r="A548" s="136"/>
      <c r="B548" s="54"/>
      <c r="C548" s="55" t="s">
        <v>311</v>
      </c>
      <c r="D548" s="55" t="s">
        <v>311</v>
      </c>
      <c r="E548" s="55" t="s">
        <v>311</v>
      </c>
      <c r="F548" s="55" t="s">
        <v>311</v>
      </c>
    </row>
    <row r="549">
      <c r="A549" s="136"/>
      <c r="B549" s="54"/>
      <c r="C549" s="55" t="s">
        <v>311</v>
      </c>
      <c r="D549" s="55" t="s">
        <v>311</v>
      </c>
      <c r="E549" s="55" t="s">
        <v>311</v>
      </c>
      <c r="F549" s="55" t="s">
        <v>311</v>
      </c>
    </row>
    <row r="550">
      <c r="A550" s="136"/>
      <c r="B550" s="54"/>
      <c r="C550" s="55" t="s">
        <v>311</v>
      </c>
      <c r="D550" s="55" t="s">
        <v>311</v>
      </c>
      <c r="E550" s="55" t="s">
        <v>311</v>
      </c>
      <c r="F550" s="55" t="s">
        <v>311</v>
      </c>
    </row>
    <row r="551">
      <c r="A551" s="136"/>
      <c r="B551" s="54"/>
      <c r="C551" s="55" t="s">
        <v>311</v>
      </c>
      <c r="D551" s="55" t="s">
        <v>311</v>
      </c>
      <c r="E551" s="55" t="s">
        <v>311</v>
      </c>
      <c r="F551" s="55" t="s">
        <v>311</v>
      </c>
    </row>
    <row r="552">
      <c r="A552" s="136"/>
      <c r="B552" s="54"/>
      <c r="C552" s="55" t="s">
        <v>311</v>
      </c>
      <c r="D552" s="55" t="s">
        <v>311</v>
      </c>
      <c r="E552" s="55" t="s">
        <v>311</v>
      </c>
      <c r="F552" s="55" t="s">
        <v>311</v>
      </c>
    </row>
    <row r="553">
      <c r="A553" s="136"/>
      <c r="B553" s="54"/>
      <c r="C553" s="55" t="s">
        <v>311</v>
      </c>
      <c r="D553" s="55" t="s">
        <v>311</v>
      </c>
      <c r="E553" s="55" t="s">
        <v>311</v>
      </c>
      <c r="F553" s="55" t="s">
        <v>311</v>
      </c>
    </row>
    <row r="554">
      <c r="A554" s="136"/>
      <c r="B554" s="54"/>
      <c r="C554" s="55" t="s">
        <v>311</v>
      </c>
      <c r="D554" s="55" t="s">
        <v>311</v>
      </c>
      <c r="E554" s="55" t="s">
        <v>311</v>
      </c>
      <c r="F554" s="55" t="s">
        <v>311</v>
      </c>
    </row>
    <row r="555">
      <c r="A555" s="136"/>
      <c r="B555" s="54"/>
      <c r="C555" s="55" t="s">
        <v>311</v>
      </c>
      <c r="D555" s="55" t="s">
        <v>311</v>
      </c>
      <c r="E555" s="55" t="s">
        <v>311</v>
      </c>
      <c r="F555" s="55" t="s">
        <v>311</v>
      </c>
    </row>
    <row r="556">
      <c r="A556" s="136"/>
      <c r="B556" s="54"/>
      <c r="C556" s="55" t="s">
        <v>311</v>
      </c>
      <c r="D556" s="55" t="s">
        <v>311</v>
      </c>
      <c r="E556" s="55" t="s">
        <v>311</v>
      </c>
      <c r="F556" s="55" t="s">
        <v>311</v>
      </c>
    </row>
    <row r="557">
      <c r="A557" s="136"/>
      <c r="B557" s="54"/>
      <c r="C557" s="55" t="s">
        <v>311</v>
      </c>
      <c r="D557" s="55" t="s">
        <v>311</v>
      </c>
      <c r="E557" s="55" t="s">
        <v>311</v>
      </c>
      <c r="F557" s="55" t="s">
        <v>311</v>
      </c>
    </row>
    <row r="558">
      <c r="A558" s="136"/>
      <c r="B558" s="54"/>
      <c r="C558" s="55" t="s">
        <v>311</v>
      </c>
      <c r="D558" s="55" t="s">
        <v>311</v>
      </c>
      <c r="E558" s="55" t="s">
        <v>311</v>
      </c>
      <c r="F558" s="55" t="s">
        <v>311</v>
      </c>
    </row>
    <row r="559">
      <c r="A559" s="136"/>
      <c r="B559" s="54"/>
      <c r="C559" s="55" t="s">
        <v>311</v>
      </c>
      <c r="D559" s="55" t="s">
        <v>311</v>
      </c>
      <c r="E559" s="55" t="s">
        <v>311</v>
      </c>
      <c r="F559" s="55" t="s">
        <v>311</v>
      </c>
    </row>
    <row r="560">
      <c r="A560" s="136"/>
      <c r="B560" s="54"/>
      <c r="C560" s="55" t="s">
        <v>311</v>
      </c>
      <c r="D560" s="55" t="s">
        <v>311</v>
      </c>
      <c r="E560" s="55" t="s">
        <v>311</v>
      </c>
      <c r="F560" s="55" t="s">
        <v>311</v>
      </c>
    </row>
    <row r="561">
      <c r="A561" s="136"/>
      <c r="B561" s="54"/>
      <c r="C561" s="55" t="s">
        <v>311</v>
      </c>
      <c r="D561" s="55" t="s">
        <v>311</v>
      </c>
      <c r="E561" s="55" t="s">
        <v>311</v>
      </c>
      <c r="F561" s="55" t="s">
        <v>311</v>
      </c>
    </row>
    <row r="562">
      <c r="A562" s="136"/>
      <c r="B562" s="54"/>
      <c r="C562" s="55" t="s">
        <v>311</v>
      </c>
      <c r="D562" s="55" t="s">
        <v>311</v>
      </c>
      <c r="E562" s="55" t="s">
        <v>311</v>
      </c>
      <c r="F562" s="55" t="s">
        <v>311</v>
      </c>
    </row>
    <row r="563">
      <c r="A563" s="136"/>
      <c r="B563" s="54"/>
      <c r="C563" s="55" t="s">
        <v>311</v>
      </c>
      <c r="D563" s="55" t="s">
        <v>311</v>
      </c>
      <c r="E563" s="55" t="s">
        <v>311</v>
      </c>
      <c r="F563" s="55" t="s">
        <v>311</v>
      </c>
    </row>
    <row r="564">
      <c r="A564" s="136"/>
      <c r="B564" s="54"/>
      <c r="C564" s="55" t="s">
        <v>311</v>
      </c>
      <c r="D564" s="55" t="s">
        <v>311</v>
      </c>
      <c r="E564" s="55" t="s">
        <v>311</v>
      </c>
      <c r="F564" s="55" t="s">
        <v>311</v>
      </c>
    </row>
    <row r="565">
      <c r="A565" s="136"/>
      <c r="B565" s="54"/>
      <c r="C565" s="55" t="s">
        <v>311</v>
      </c>
      <c r="D565" s="55" t="s">
        <v>311</v>
      </c>
      <c r="E565" s="55" t="s">
        <v>311</v>
      </c>
      <c r="F565" s="55" t="s">
        <v>311</v>
      </c>
    </row>
    <row r="566">
      <c r="A566" s="136"/>
      <c r="B566" s="54"/>
      <c r="C566" s="55" t="s">
        <v>311</v>
      </c>
      <c r="D566" s="55" t="s">
        <v>311</v>
      </c>
      <c r="E566" s="55" t="s">
        <v>311</v>
      </c>
      <c r="F566" s="55" t="s">
        <v>311</v>
      </c>
    </row>
    <row r="567">
      <c r="A567" s="136"/>
      <c r="B567" s="54"/>
      <c r="C567" s="55" t="s">
        <v>311</v>
      </c>
      <c r="D567" s="55" t="s">
        <v>311</v>
      </c>
      <c r="E567" s="55" t="s">
        <v>311</v>
      </c>
      <c r="F567" s="55" t="s">
        <v>311</v>
      </c>
    </row>
    <row r="568">
      <c r="A568" s="136"/>
      <c r="B568" s="54"/>
      <c r="C568" s="55" t="s">
        <v>311</v>
      </c>
      <c r="D568" s="55" t="s">
        <v>311</v>
      </c>
      <c r="E568" s="55" t="s">
        <v>311</v>
      </c>
      <c r="F568" s="55" t="s">
        <v>311</v>
      </c>
    </row>
    <row r="569">
      <c r="A569" s="136"/>
      <c r="B569" s="54"/>
      <c r="C569" s="55" t="s">
        <v>311</v>
      </c>
      <c r="D569" s="55" t="s">
        <v>311</v>
      </c>
      <c r="E569" s="55" t="s">
        <v>311</v>
      </c>
      <c r="F569" s="55" t="s">
        <v>311</v>
      </c>
    </row>
    <row r="570">
      <c r="A570" s="136"/>
      <c r="B570" s="54"/>
      <c r="C570" s="55" t="s">
        <v>311</v>
      </c>
      <c r="D570" s="55" t="s">
        <v>311</v>
      </c>
      <c r="E570" s="55" t="s">
        <v>311</v>
      </c>
      <c r="F570" s="55" t="s">
        <v>311</v>
      </c>
    </row>
    <row r="571">
      <c r="A571" s="136"/>
      <c r="B571" s="54"/>
      <c r="C571" s="55" t="s">
        <v>311</v>
      </c>
      <c r="D571" s="55" t="s">
        <v>311</v>
      </c>
      <c r="E571" s="55" t="s">
        <v>311</v>
      </c>
      <c r="F571" s="55" t="s">
        <v>311</v>
      </c>
    </row>
    <row r="572">
      <c r="A572" s="136"/>
      <c r="B572" s="54"/>
      <c r="C572" s="55" t="s">
        <v>311</v>
      </c>
      <c r="D572" s="55" t="s">
        <v>311</v>
      </c>
      <c r="E572" s="55" t="s">
        <v>311</v>
      </c>
      <c r="F572" s="55" t="s">
        <v>311</v>
      </c>
    </row>
    <row r="573">
      <c r="A573" s="136"/>
      <c r="B573" s="54"/>
      <c r="C573" s="55" t="s">
        <v>311</v>
      </c>
      <c r="D573" s="55" t="s">
        <v>311</v>
      </c>
      <c r="E573" s="55" t="s">
        <v>311</v>
      </c>
      <c r="F573" s="55" t="s">
        <v>311</v>
      </c>
    </row>
    <row r="574">
      <c r="A574" s="136"/>
      <c r="B574" s="54"/>
      <c r="C574" s="55" t="s">
        <v>311</v>
      </c>
      <c r="D574" s="55" t="s">
        <v>311</v>
      </c>
      <c r="E574" s="55" t="s">
        <v>311</v>
      </c>
      <c r="F574" s="55" t="s">
        <v>311</v>
      </c>
    </row>
    <row r="575">
      <c r="A575" s="136"/>
      <c r="B575" s="54"/>
      <c r="C575" s="55" t="s">
        <v>311</v>
      </c>
      <c r="D575" s="55" t="s">
        <v>311</v>
      </c>
      <c r="E575" s="55" t="s">
        <v>311</v>
      </c>
      <c r="F575" s="55" t="s">
        <v>311</v>
      </c>
    </row>
    <row r="576">
      <c r="A576" s="136"/>
      <c r="B576" s="54"/>
      <c r="C576" s="55" t="s">
        <v>311</v>
      </c>
      <c r="D576" s="55" t="s">
        <v>311</v>
      </c>
      <c r="E576" s="55" t="s">
        <v>311</v>
      </c>
      <c r="F576" s="55" t="s">
        <v>311</v>
      </c>
    </row>
    <row r="577">
      <c r="A577" s="136"/>
      <c r="B577" s="54"/>
      <c r="C577" s="55" t="s">
        <v>311</v>
      </c>
      <c r="D577" s="55" t="s">
        <v>311</v>
      </c>
      <c r="E577" s="55" t="s">
        <v>311</v>
      </c>
      <c r="F577" s="55" t="s">
        <v>311</v>
      </c>
    </row>
    <row r="578">
      <c r="A578" s="136"/>
      <c r="B578" s="54"/>
      <c r="C578" s="55" t="s">
        <v>311</v>
      </c>
      <c r="D578" s="55" t="s">
        <v>311</v>
      </c>
      <c r="E578" s="55" t="s">
        <v>311</v>
      </c>
      <c r="F578" s="55" t="s">
        <v>311</v>
      </c>
    </row>
    <row r="579">
      <c r="A579" s="136"/>
      <c r="B579" s="54"/>
      <c r="C579" s="55" t="s">
        <v>311</v>
      </c>
      <c r="D579" s="55" t="s">
        <v>311</v>
      </c>
      <c r="E579" s="55" t="s">
        <v>311</v>
      </c>
      <c r="F579" s="55" t="s">
        <v>311</v>
      </c>
    </row>
    <row r="580">
      <c r="A580" s="136"/>
      <c r="B580" s="54"/>
      <c r="C580" s="55" t="s">
        <v>311</v>
      </c>
      <c r="D580" s="55" t="s">
        <v>311</v>
      </c>
      <c r="E580" s="55" t="s">
        <v>311</v>
      </c>
      <c r="F580" s="55" t="s">
        <v>311</v>
      </c>
    </row>
    <row r="581">
      <c r="A581" s="136"/>
      <c r="B581" s="54"/>
      <c r="C581" s="55" t="s">
        <v>311</v>
      </c>
      <c r="D581" s="55" t="s">
        <v>311</v>
      </c>
      <c r="E581" s="55" t="s">
        <v>311</v>
      </c>
      <c r="F581" s="55" t="s">
        <v>311</v>
      </c>
    </row>
    <row r="582">
      <c r="A582" s="136"/>
      <c r="B582" s="54"/>
      <c r="C582" s="55" t="s">
        <v>311</v>
      </c>
      <c r="D582" s="55" t="s">
        <v>311</v>
      </c>
      <c r="E582" s="55" t="s">
        <v>311</v>
      </c>
      <c r="F582" s="55" t="s">
        <v>311</v>
      </c>
    </row>
    <row r="583">
      <c r="A583" s="136"/>
      <c r="B583" s="54"/>
      <c r="C583" s="55" t="s">
        <v>311</v>
      </c>
      <c r="D583" s="55" t="s">
        <v>311</v>
      </c>
      <c r="E583" s="55" t="s">
        <v>311</v>
      </c>
      <c r="F583" s="55" t="s">
        <v>311</v>
      </c>
    </row>
    <row r="584">
      <c r="A584" s="136"/>
      <c r="B584" s="54"/>
      <c r="C584" s="55" t="s">
        <v>311</v>
      </c>
      <c r="D584" s="55" t="s">
        <v>311</v>
      </c>
      <c r="E584" s="55" t="s">
        <v>311</v>
      </c>
      <c r="F584" s="55" t="s">
        <v>311</v>
      </c>
    </row>
    <row r="585">
      <c r="A585" s="136"/>
      <c r="B585" s="54"/>
      <c r="C585" s="55" t="s">
        <v>311</v>
      </c>
      <c r="D585" s="55" t="s">
        <v>311</v>
      </c>
      <c r="E585" s="55" t="s">
        <v>311</v>
      </c>
      <c r="F585" s="55" t="s">
        <v>311</v>
      </c>
    </row>
    <row r="586">
      <c r="A586" s="136"/>
      <c r="B586" s="54"/>
      <c r="C586" s="55" t="s">
        <v>311</v>
      </c>
      <c r="D586" s="55" t="s">
        <v>311</v>
      </c>
      <c r="E586" s="55" t="s">
        <v>311</v>
      </c>
      <c r="F586" s="55" t="s">
        <v>311</v>
      </c>
    </row>
    <row r="587">
      <c r="A587" s="136"/>
      <c r="B587" s="54"/>
      <c r="C587" s="55" t="s">
        <v>311</v>
      </c>
      <c r="D587" s="55" t="s">
        <v>311</v>
      </c>
      <c r="E587" s="55" t="s">
        <v>311</v>
      </c>
      <c r="F587" s="55" t="s">
        <v>311</v>
      </c>
    </row>
    <row r="588">
      <c r="A588" s="136"/>
      <c r="B588" s="54"/>
      <c r="C588" s="55" t="s">
        <v>311</v>
      </c>
      <c r="D588" s="55" t="s">
        <v>311</v>
      </c>
      <c r="E588" s="55" t="s">
        <v>311</v>
      </c>
      <c r="F588" s="55" t="s">
        <v>311</v>
      </c>
    </row>
    <row r="589">
      <c r="A589" s="136"/>
      <c r="B589" s="54"/>
      <c r="C589" s="55" t="s">
        <v>311</v>
      </c>
      <c r="D589" s="55" t="s">
        <v>311</v>
      </c>
      <c r="E589" s="55" t="s">
        <v>311</v>
      </c>
      <c r="F589" s="55" t="s">
        <v>311</v>
      </c>
    </row>
    <row r="590">
      <c r="A590" s="136"/>
      <c r="B590" s="54"/>
      <c r="C590" s="55" t="s">
        <v>311</v>
      </c>
      <c r="D590" s="55" t="s">
        <v>311</v>
      </c>
      <c r="E590" s="55" t="s">
        <v>311</v>
      </c>
      <c r="F590" s="55" t="s">
        <v>311</v>
      </c>
    </row>
    <row r="591">
      <c r="A591" s="136"/>
      <c r="B591" s="54"/>
      <c r="C591" s="55" t="s">
        <v>311</v>
      </c>
      <c r="D591" s="55" t="s">
        <v>311</v>
      </c>
      <c r="E591" s="55" t="s">
        <v>311</v>
      </c>
      <c r="F591" s="55" t="s">
        <v>311</v>
      </c>
    </row>
    <row r="592">
      <c r="A592" s="136"/>
      <c r="B592" s="54"/>
      <c r="C592" s="55" t="s">
        <v>311</v>
      </c>
      <c r="D592" s="55" t="s">
        <v>311</v>
      </c>
      <c r="E592" s="55" t="s">
        <v>311</v>
      </c>
      <c r="F592" s="55" t="s">
        <v>311</v>
      </c>
    </row>
    <row r="593">
      <c r="A593" s="136"/>
      <c r="B593" s="54"/>
      <c r="C593" s="55" t="s">
        <v>311</v>
      </c>
      <c r="D593" s="55" t="s">
        <v>311</v>
      </c>
      <c r="E593" s="55" t="s">
        <v>311</v>
      </c>
      <c r="F593" s="55" t="s">
        <v>311</v>
      </c>
    </row>
    <row r="594">
      <c r="A594" s="136"/>
      <c r="B594" s="54"/>
      <c r="C594" s="55" t="s">
        <v>311</v>
      </c>
      <c r="D594" s="55" t="s">
        <v>311</v>
      </c>
      <c r="E594" s="55" t="s">
        <v>311</v>
      </c>
      <c r="F594" s="55" t="s">
        <v>311</v>
      </c>
    </row>
    <row r="595">
      <c r="A595" s="136"/>
      <c r="B595" s="54"/>
      <c r="C595" s="55" t="s">
        <v>311</v>
      </c>
      <c r="D595" s="55" t="s">
        <v>311</v>
      </c>
      <c r="E595" s="55" t="s">
        <v>311</v>
      </c>
      <c r="F595" s="55" t="s">
        <v>311</v>
      </c>
    </row>
    <row r="596">
      <c r="A596" s="136"/>
      <c r="B596" s="54"/>
      <c r="C596" s="55" t="s">
        <v>311</v>
      </c>
      <c r="D596" s="55" t="s">
        <v>311</v>
      </c>
      <c r="E596" s="55" t="s">
        <v>311</v>
      </c>
      <c r="F596" s="55" t="s">
        <v>311</v>
      </c>
    </row>
    <row r="597">
      <c r="A597" s="136"/>
      <c r="B597" s="54"/>
      <c r="C597" s="55" t="s">
        <v>311</v>
      </c>
      <c r="D597" s="55" t="s">
        <v>311</v>
      </c>
      <c r="E597" s="55" t="s">
        <v>311</v>
      </c>
      <c r="F597" s="55" t="s">
        <v>311</v>
      </c>
    </row>
    <row r="598">
      <c r="A598" s="136"/>
      <c r="B598" s="54"/>
      <c r="C598" s="55" t="s">
        <v>311</v>
      </c>
      <c r="D598" s="55" t="s">
        <v>311</v>
      </c>
      <c r="E598" s="55" t="s">
        <v>311</v>
      </c>
      <c r="F598" s="55" t="s">
        <v>311</v>
      </c>
    </row>
    <row r="599">
      <c r="A599" s="136"/>
      <c r="B599" s="54"/>
      <c r="C599" s="55" t="s">
        <v>311</v>
      </c>
      <c r="D599" s="55" t="s">
        <v>311</v>
      </c>
      <c r="E599" s="55" t="s">
        <v>311</v>
      </c>
      <c r="F599" s="55" t="s">
        <v>311</v>
      </c>
    </row>
    <row r="600">
      <c r="A600" s="136"/>
      <c r="B600" s="54"/>
      <c r="C600" s="55" t="s">
        <v>311</v>
      </c>
      <c r="D600" s="55" t="s">
        <v>311</v>
      </c>
      <c r="E600" s="55" t="s">
        <v>311</v>
      </c>
      <c r="F600" s="55" t="s">
        <v>311</v>
      </c>
    </row>
    <row r="601">
      <c r="A601" s="136"/>
      <c r="B601" s="54"/>
      <c r="C601" s="55" t="s">
        <v>311</v>
      </c>
      <c r="D601" s="55" t="s">
        <v>311</v>
      </c>
      <c r="E601" s="55" t="s">
        <v>311</v>
      </c>
      <c r="F601" s="55" t="s">
        <v>311</v>
      </c>
    </row>
    <row r="602">
      <c r="A602" s="136"/>
      <c r="B602" s="54"/>
      <c r="C602" s="55" t="s">
        <v>311</v>
      </c>
      <c r="D602" s="55" t="s">
        <v>311</v>
      </c>
      <c r="E602" s="55" t="s">
        <v>311</v>
      </c>
      <c r="F602" s="55" t="s">
        <v>311</v>
      </c>
    </row>
    <row r="603">
      <c r="A603" s="136"/>
      <c r="B603" s="54"/>
      <c r="C603" s="55" t="s">
        <v>311</v>
      </c>
      <c r="D603" s="55" t="s">
        <v>311</v>
      </c>
      <c r="E603" s="55" t="s">
        <v>311</v>
      </c>
      <c r="F603" s="55" t="s">
        <v>311</v>
      </c>
    </row>
    <row r="604">
      <c r="A604" s="136"/>
      <c r="B604" s="54"/>
      <c r="C604" s="55" t="s">
        <v>311</v>
      </c>
      <c r="D604" s="55" t="s">
        <v>311</v>
      </c>
      <c r="E604" s="55" t="s">
        <v>311</v>
      </c>
      <c r="F604" s="55" t="s">
        <v>311</v>
      </c>
    </row>
    <row r="605">
      <c r="A605" s="136"/>
      <c r="B605" s="54"/>
      <c r="C605" s="55" t="s">
        <v>311</v>
      </c>
      <c r="D605" s="55" t="s">
        <v>311</v>
      </c>
      <c r="E605" s="55" t="s">
        <v>311</v>
      </c>
      <c r="F605" s="55" t="s">
        <v>311</v>
      </c>
    </row>
    <row r="606">
      <c r="A606" s="136"/>
      <c r="B606" s="54"/>
      <c r="C606" s="55" t="s">
        <v>311</v>
      </c>
      <c r="D606" s="55" t="s">
        <v>311</v>
      </c>
      <c r="E606" s="55" t="s">
        <v>311</v>
      </c>
      <c r="F606" s="55" t="s">
        <v>311</v>
      </c>
    </row>
    <row r="607">
      <c r="A607" s="136"/>
      <c r="B607" s="54"/>
      <c r="C607" s="55" t="s">
        <v>311</v>
      </c>
      <c r="D607" s="55" t="s">
        <v>311</v>
      </c>
      <c r="E607" s="55" t="s">
        <v>311</v>
      </c>
      <c r="F607" s="55" t="s">
        <v>311</v>
      </c>
    </row>
    <row r="608">
      <c r="A608" s="136"/>
      <c r="B608" s="54"/>
      <c r="C608" s="55" t="s">
        <v>311</v>
      </c>
      <c r="D608" s="55" t="s">
        <v>311</v>
      </c>
      <c r="E608" s="55" t="s">
        <v>311</v>
      </c>
      <c r="F608" s="55" t="s">
        <v>311</v>
      </c>
    </row>
    <row r="609">
      <c r="A609" s="136"/>
      <c r="B609" s="54"/>
      <c r="C609" s="55" t="s">
        <v>311</v>
      </c>
      <c r="D609" s="55" t="s">
        <v>311</v>
      </c>
      <c r="E609" s="55" t="s">
        <v>311</v>
      </c>
      <c r="F609" s="55" t="s">
        <v>311</v>
      </c>
    </row>
    <row r="610">
      <c r="A610" s="136"/>
      <c r="B610" s="54"/>
      <c r="C610" s="55" t="s">
        <v>311</v>
      </c>
      <c r="D610" s="55" t="s">
        <v>311</v>
      </c>
      <c r="E610" s="55" t="s">
        <v>311</v>
      </c>
      <c r="F610" s="55" t="s">
        <v>311</v>
      </c>
    </row>
    <row r="611">
      <c r="A611" s="136"/>
      <c r="B611" s="54"/>
      <c r="C611" s="55" t="s">
        <v>311</v>
      </c>
      <c r="D611" s="55" t="s">
        <v>311</v>
      </c>
      <c r="E611" s="55" t="s">
        <v>311</v>
      </c>
      <c r="F611" s="55" t="s">
        <v>311</v>
      </c>
    </row>
    <row r="612">
      <c r="A612" s="136"/>
      <c r="B612" s="54"/>
      <c r="C612" s="55" t="s">
        <v>311</v>
      </c>
      <c r="D612" s="55" t="s">
        <v>311</v>
      </c>
      <c r="E612" s="55" t="s">
        <v>311</v>
      </c>
      <c r="F612" s="55" t="s">
        <v>311</v>
      </c>
    </row>
    <row r="613">
      <c r="A613" s="136"/>
      <c r="B613" s="54"/>
      <c r="C613" s="55" t="s">
        <v>311</v>
      </c>
      <c r="D613" s="55" t="s">
        <v>311</v>
      </c>
      <c r="E613" s="55" t="s">
        <v>311</v>
      </c>
      <c r="F613" s="55" t="s">
        <v>311</v>
      </c>
    </row>
    <row r="614">
      <c r="A614" s="136"/>
      <c r="B614" s="54"/>
      <c r="C614" s="55" t="s">
        <v>311</v>
      </c>
      <c r="D614" s="55" t="s">
        <v>311</v>
      </c>
      <c r="E614" s="55" t="s">
        <v>311</v>
      </c>
      <c r="F614" s="55" t="s">
        <v>311</v>
      </c>
    </row>
    <row r="615">
      <c r="A615" s="136"/>
      <c r="B615" s="54"/>
      <c r="C615" s="55" t="s">
        <v>311</v>
      </c>
      <c r="D615" s="55" t="s">
        <v>311</v>
      </c>
      <c r="E615" s="55" t="s">
        <v>311</v>
      </c>
      <c r="F615" s="55" t="s">
        <v>311</v>
      </c>
    </row>
    <row r="616">
      <c r="A616" s="136"/>
      <c r="B616" s="54"/>
      <c r="C616" s="55" t="s">
        <v>311</v>
      </c>
      <c r="D616" s="55" t="s">
        <v>311</v>
      </c>
      <c r="E616" s="55" t="s">
        <v>311</v>
      </c>
      <c r="F616" s="55" t="s">
        <v>311</v>
      </c>
    </row>
    <row r="617">
      <c r="A617" s="136"/>
      <c r="B617" s="54"/>
      <c r="C617" s="55" t="s">
        <v>311</v>
      </c>
      <c r="D617" s="55" t="s">
        <v>311</v>
      </c>
      <c r="E617" s="55" t="s">
        <v>311</v>
      </c>
      <c r="F617" s="55" t="s">
        <v>311</v>
      </c>
    </row>
    <row r="618">
      <c r="A618" s="136"/>
      <c r="B618" s="54"/>
      <c r="C618" s="55" t="s">
        <v>311</v>
      </c>
      <c r="D618" s="55" t="s">
        <v>311</v>
      </c>
      <c r="E618" s="55" t="s">
        <v>311</v>
      </c>
      <c r="F618" s="55" t="s">
        <v>311</v>
      </c>
    </row>
    <row r="619">
      <c r="A619" s="136"/>
      <c r="B619" s="54"/>
      <c r="C619" s="55" t="s">
        <v>311</v>
      </c>
      <c r="D619" s="55" t="s">
        <v>311</v>
      </c>
      <c r="E619" s="55" t="s">
        <v>311</v>
      </c>
      <c r="F619" s="55" t="s">
        <v>311</v>
      </c>
    </row>
    <row r="620">
      <c r="A620" s="136"/>
      <c r="B620" s="54"/>
      <c r="C620" s="55" t="s">
        <v>311</v>
      </c>
      <c r="D620" s="55" t="s">
        <v>311</v>
      </c>
      <c r="E620" s="55" t="s">
        <v>311</v>
      </c>
      <c r="F620" s="55" t="s">
        <v>311</v>
      </c>
    </row>
    <row r="621">
      <c r="A621" s="136"/>
      <c r="B621" s="54"/>
      <c r="C621" s="55" t="s">
        <v>311</v>
      </c>
      <c r="D621" s="55" t="s">
        <v>311</v>
      </c>
      <c r="E621" s="55" t="s">
        <v>311</v>
      </c>
      <c r="F621" s="55" t="s">
        <v>311</v>
      </c>
    </row>
    <row r="622">
      <c r="A622" s="136"/>
      <c r="B622" s="54"/>
      <c r="C622" s="55" t="s">
        <v>311</v>
      </c>
      <c r="D622" s="55" t="s">
        <v>311</v>
      </c>
      <c r="E622" s="55" t="s">
        <v>311</v>
      </c>
      <c r="F622" s="55" t="s">
        <v>311</v>
      </c>
    </row>
    <row r="623">
      <c r="A623" s="136"/>
      <c r="B623" s="54"/>
      <c r="C623" s="55" t="s">
        <v>311</v>
      </c>
      <c r="D623" s="55" t="s">
        <v>311</v>
      </c>
      <c r="E623" s="55" t="s">
        <v>311</v>
      </c>
      <c r="F623" s="55" t="s">
        <v>311</v>
      </c>
    </row>
    <row r="624">
      <c r="A624" s="136"/>
      <c r="B624" s="54"/>
      <c r="C624" s="55" t="s">
        <v>311</v>
      </c>
      <c r="D624" s="55" t="s">
        <v>311</v>
      </c>
      <c r="E624" s="55" t="s">
        <v>311</v>
      </c>
      <c r="F624" s="55" t="s">
        <v>311</v>
      </c>
    </row>
    <row r="625">
      <c r="A625" s="136"/>
      <c r="B625" s="54"/>
      <c r="C625" s="55" t="s">
        <v>311</v>
      </c>
      <c r="D625" s="55" t="s">
        <v>311</v>
      </c>
      <c r="E625" s="55" t="s">
        <v>311</v>
      </c>
      <c r="F625" s="55" t="s">
        <v>311</v>
      </c>
    </row>
    <row r="626">
      <c r="A626" s="136"/>
      <c r="B626" s="54"/>
      <c r="C626" s="55" t="s">
        <v>311</v>
      </c>
      <c r="D626" s="55" t="s">
        <v>311</v>
      </c>
      <c r="E626" s="55" t="s">
        <v>311</v>
      </c>
      <c r="F626" s="55" t="s">
        <v>311</v>
      </c>
    </row>
    <row r="627">
      <c r="A627" s="136"/>
      <c r="B627" s="54"/>
      <c r="C627" s="55" t="s">
        <v>311</v>
      </c>
      <c r="D627" s="55" t="s">
        <v>311</v>
      </c>
      <c r="E627" s="55" t="s">
        <v>311</v>
      </c>
      <c r="F627" s="55" t="s">
        <v>311</v>
      </c>
    </row>
    <row r="628">
      <c r="A628" s="136"/>
      <c r="B628" s="54"/>
      <c r="C628" s="55" t="s">
        <v>311</v>
      </c>
      <c r="D628" s="55" t="s">
        <v>311</v>
      </c>
      <c r="E628" s="55" t="s">
        <v>311</v>
      </c>
      <c r="F628" s="55" t="s">
        <v>311</v>
      </c>
    </row>
    <row r="629">
      <c r="A629" s="136"/>
      <c r="B629" s="54"/>
      <c r="C629" s="55" t="s">
        <v>311</v>
      </c>
      <c r="D629" s="55" t="s">
        <v>311</v>
      </c>
      <c r="E629" s="55" t="s">
        <v>311</v>
      </c>
      <c r="F629" s="55" t="s">
        <v>311</v>
      </c>
    </row>
    <row r="630">
      <c r="A630" s="136"/>
      <c r="B630" s="54"/>
      <c r="C630" s="55" t="s">
        <v>311</v>
      </c>
      <c r="D630" s="55" t="s">
        <v>311</v>
      </c>
      <c r="E630" s="55" t="s">
        <v>311</v>
      </c>
      <c r="F630" s="55" t="s">
        <v>311</v>
      </c>
    </row>
    <row r="631">
      <c r="A631" s="136"/>
      <c r="B631" s="54"/>
      <c r="C631" s="55" t="s">
        <v>311</v>
      </c>
      <c r="D631" s="55" t="s">
        <v>311</v>
      </c>
      <c r="E631" s="55" t="s">
        <v>311</v>
      </c>
      <c r="F631" s="55" t="s">
        <v>311</v>
      </c>
    </row>
    <row r="632">
      <c r="A632" s="136"/>
      <c r="B632" s="54"/>
      <c r="C632" s="55" t="s">
        <v>311</v>
      </c>
      <c r="D632" s="55" t="s">
        <v>311</v>
      </c>
      <c r="E632" s="55" t="s">
        <v>311</v>
      </c>
      <c r="F632" s="55" t="s">
        <v>311</v>
      </c>
    </row>
    <row r="633">
      <c r="A633" s="136"/>
      <c r="B633" s="54"/>
      <c r="C633" s="55" t="s">
        <v>311</v>
      </c>
      <c r="D633" s="55" t="s">
        <v>311</v>
      </c>
      <c r="E633" s="55" t="s">
        <v>311</v>
      </c>
      <c r="F633" s="55" t="s">
        <v>311</v>
      </c>
    </row>
    <row r="634">
      <c r="A634" s="136"/>
      <c r="B634" s="54"/>
      <c r="C634" s="55" t="s">
        <v>311</v>
      </c>
      <c r="D634" s="55" t="s">
        <v>311</v>
      </c>
      <c r="E634" s="55" t="s">
        <v>311</v>
      </c>
      <c r="F634" s="55" t="s">
        <v>311</v>
      </c>
    </row>
    <row r="635">
      <c r="A635" s="136"/>
      <c r="B635" s="54"/>
      <c r="C635" s="55" t="s">
        <v>311</v>
      </c>
      <c r="D635" s="55" t="s">
        <v>311</v>
      </c>
      <c r="E635" s="55" t="s">
        <v>311</v>
      </c>
      <c r="F635" s="55" t="s">
        <v>311</v>
      </c>
    </row>
    <row r="636">
      <c r="A636" s="136"/>
      <c r="B636" s="54"/>
      <c r="C636" s="55" t="s">
        <v>311</v>
      </c>
      <c r="D636" s="55" t="s">
        <v>311</v>
      </c>
      <c r="E636" s="55" t="s">
        <v>311</v>
      </c>
      <c r="F636" s="55" t="s">
        <v>311</v>
      </c>
    </row>
    <row r="637">
      <c r="A637" s="136"/>
      <c r="B637" s="54"/>
      <c r="C637" s="55" t="s">
        <v>311</v>
      </c>
      <c r="D637" s="55" t="s">
        <v>311</v>
      </c>
      <c r="E637" s="55" t="s">
        <v>311</v>
      </c>
      <c r="F637" s="55" t="s">
        <v>311</v>
      </c>
    </row>
    <row r="638">
      <c r="A638" s="136"/>
      <c r="B638" s="54"/>
      <c r="C638" s="55" t="s">
        <v>311</v>
      </c>
      <c r="D638" s="55" t="s">
        <v>311</v>
      </c>
      <c r="E638" s="55" t="s">
        <v>311</v>
      </c>
      <c r="F638" s="55" t="s">
        <v>311</v>
      </c>
    </row>
    <row r="639">
      <c r="A639" s="136"/>
      <c r="B639" s="54"/>
      <c r="C639" s="55" t="s">
        <v>311</v>
      </c>
      <c r="D639" s="55" t="s">
        <v>311</v>
      </c>
      <c r="E639" s="55" t="s">
        <v>311</v>
      </c>
      <c r="F639" s="55" t="s">
        <v>311</v>
      </c>
    </row>
    <row r="640">
      <c r="A640" s="136"/>
      <c r="B640" s="54"/>
      <c r="C640" s="55" t="s">
        <v>311</v>
      </c>
      <c r="D640" s="55" t="s">
        <v>311</v>
      </c>
      <c r="E640" s="55" t="s">
        <v>311</v>
      </c>
      <c r="F640" s="55" t="s">
        <v>311</v>
      </c>
    </row>
    <row r="641">
      <c r="A641" s="136"/>
      <c r="B641" s="54"/>
      <c r="C641" s="55" t="s">
        <v>311</v>
      </c>
      <c r="D641" s="55" t="s">
        <v>311</v>
      </c>
      <c r="E641" s="55" t="s">
        <v>311</v>
      </c>
      <c r="F641" s="55" t="s">
        <v>311</v>
      </c>
    </row>
    <row r="642">
      <c r="A642" s="136"/>
      <c r="B642" s="54"/>
      <c r="C642" s="55" t="s">
        <v>311</v>
      </c>
      <c r="D642" s="55" t="s">
        <v>311</v>
      </c>
      <c r="E642" s="55" t="s">
        <v>311</v>
      </c>
      <c r="F642" s="55" t="s">
        <v>311</v>
      </c>
    </row>
    <row r="643">
      <c r="A643" s="136"/>
      <c r="B643" s="54"/>
      <c r="C643" s="55" t="s">
        <v>311</v>
      </c>
      <c r="D643" s="55" t="s">
        <v>311</v>
      </c>
      <c r="E643" s="55" t="s">
        <v>311</v>
      </c>
      <c r="F643" s="55" t="s">
        <v>311</v>
      </c>
    </row>
    <row r="644">
      <c r="A644" s="136"/>
      <c r="B644" s="54"/>
      <c r="C644" s="55" t="s">
        <v>311</v>
      </c>
      <c r="D644" s="55" t="s">
        <v>311</v>
      </c>
      <c r="E644" s="55" t="s">
        <v>311</v>
      </c>
      <c r="F644" s="55" t="s">
        <v>311</v>
      </c>
    </row>
    <row r="645">
      <c r="A645" s="136"/>
      <c r="B645" s="54"/>
      <c r="C645" s="55" t="s">
        <v>311</v>
      </c>
      <c r="D645" s="55" t="s">
        <v>311</v>
      </c>
      <c r="E645" s="55" t="s">
        <v>311</v>
      </c>
      <c r="F645" s="55" t="s">
        <v>311</v>
      </c>
    </row>
    <row r="646">
      <c r="A646" s="136"/>
      <c r="B646" s="54"/>
      <c r="C646" s="55" t="s">
        <v>311</v>
      </c>
      <c r="D646" s="55" t="s">
        <v>311</v>
      </c>
      <c r="E646" s="55" t="s">
        <v>311</v>
      </c>
      <c r="F646" s="55" t="s">
        <v>311</v>
      </c>
    </row>
    <row r="647">
      <c r="A647" s="136"/>
      <c r="B647" s="54"/>
      <c r="C647" s="55" t="s">
        <v>311</v>
      </c>
      <c r="D647" s="55" t="s">
        <v>311</v>
      </c>
      <c r="E647" s="55" t="s">
        <v>311</v>
      </c>
      <c r="F647" s="55" t="s">
        <v>311</v>
      </c>
    </row>
    <row r="648">
      <c r="A648" s="136"/>
      <c r="B648" s="54"/>
      <c r="C648" s="55" t="s">
        <v>311</v>
      </c>
      <c r="D648" s="55" t="s">
        <v>311</v>
      </c>
      <c r="E648" s="55" t="s">
        <v>311</v>
      </c>
      <c r="F648" s="55" t="s">
        <v>311</v>
      </c>
    </row>
    <row r="649">
      <c r="A649" s="136"/>
      <c r="B649" s="54"/>
      <c r="C649" s="55" t="s">
        <v>311</v>
      </c>
      <c r="D649" s="55" t="s">
        <v>311</v>
      </c>
      <c r="E649" s="55" t="s">
        <v>311</v>
      </c>
      <c r="F649" s="55" t="s">
        <v>311</v>
      </c>
    </row>
    <row r="650">
      <c r="A650" s="136"/>
      <c r="B650" s="54"/>
      <c r="C650" s="55" t="s">
        <v>311</v>
      </c>
      <c r="D650" s="55" t="s">
        <v>311</v>
      </c>
      <c r="E650" s="55" t="s">
        <v>311</v>
      </c>
      <c r="F650" s="55" t="s">
        <v>311</v>
      </c>
    </row>
    <row r="651">
      <c r="A651" s="136"/>
      <c r="B651" s="54"/>
      <c r="C651" s="55" t="s">
        <v>311</v>
      </c>
      <c r="D651" s="55" t="s">
        <v>311</v>
      </c>
      <c r="E651" s="55" t="s">
        <v>311</v>
      </c>
      <c r="F651" s="55" t="s">
        <v>311</v>
      </c>
    </row>
    <row r="652">
      <c r="A652" s="136"/>
      <c r="B652" s="54"/>
      <c r="C652" s="55" t="s">
        <v>311</v>
      </c>
      <c r="D652" s="55" t="s">
        <v>311</v>
      </c>
      <c r="E652" s="55" t="s">
        <v>311</v>
      </c>
      <c r="F652" s="55" t="s">
        <v>311</v>
      </c>
    </row>
    <row r="653">
      <c r="A653" s="136"/>
      <c r="B653" s="54"/>
      <c r="C653" s="55" t="s">
        <v>311</v>
      </c>
      <c r="D653" s="55" t="s">
        <v>311</v>
      </c>
      <c r="E653" s="55" t="s">
        <v>311</v>
      </c>
      <c r="F653" s="55" t="s">
        <v>311</v>
      </c>
    </row>
    <row r="654">
      <c r="A654" s="136"/>
      <c r="B654" s="54"/>
      <c r="C654" s="55" t="s">
        <v>311</v>
      </c>
      <c r="D654" s="55" t="s">
        <v>311</v>
      </c>
      <c r="E654" s="55" t="s">
        <v>311</v>
      </c>
      <c r="F654" s="55" t="s">
        <v>311</v>
      </c>
    </row>
    <row r="655">
      <c r="A655" s="136"/>
      <c r="B655" s="54"/>
      <c r="C655" s="55" t="s">
        <v>311</v>
      </c>
      <c r="D655" s="55" t="s">
        <v>311</v>
      </c>
      <c r="E655" s="55" t="s">
        <v>311</v>
      </c>
      <c r="F655" s="55" t="s">
        <v>311</v>
      </c>
    </row>
    <row r="656">
      <c r="A656" s="136"/>
      <c r="B656" s="54"/>
      <c r="C656" s="55" t="s">
        <v>311</v>
      </c>
      <c r="D656" s="55" t="s">
        <v>311</v>
      </c>
      <c r="E656" s="55" t="s">
        <v>311</v>
      </c>
      <c r="F656" s="55" t="s">
        <v>311</v>
      </c>
    </row>
    <row r="657">
      <c r="A657" s="136"/>
      <c r="B657" s="54"/>
      <c r="C657" s="55" t="s">
        <v>311</v>
      </c>
      <c r="D657" s="55" t="s">
        <v>311</v>
      </c>
      <c r="E657" s="55" t="s">
        <v>311</v>
      </c>
      <c r="F657" s="55" t="s">
        <v>311</v>
      </c>
    </row>
    <row r="658">
      <c r="A658" s="136"/>
      <c r="B658" s="54"/>
      <c r="C658" s="55" t="s">
        <v>311</v>
      </c>
      <c r="D658" s="55" t="s">
        <v>311</v>
      </c>
      <c r="E658" s="55" t="s">
        <v>311</v>
      </c>
      <c r="F658" s="55" t="s">
        <v>311</v>
      </c>
    </row>
    <row r="659">
      <c r="A659" s="136"/>
      <c r="B659" s="54"/>
      <c r="C659" s="55" t="s">
        <v>311</v>
      </c>
      <c r="D659" s="55" t="s">
        <v>311</v>
      </c>
      <c r="E659" s="55" t="s">
        <v>311</v>
      </c>
      <c r="F659" s="55" t="s">
        <v>311</v>
      </c>
    </row>
    <row r="660">
      <c r="A660" s="136"/>
      <c r="B660" s="54"/>
      <c r="C660" s="55" t="s">
        <v>311</v>
      </c>
      <c r="D660" s="55" t="s">
        <v>311</v>
      </c>
      <c r="E660" s="55" t="s">
        <v>311</v>
      </c>
      <c r="F660" s="55" t="s">
        <v>311</v>
      </c>
    </row>
    <row r="661">
      <c r="A661" s="136"/>
      <c r="B661" s="54"/>
      <c r="C661" s="55" t="s">
        <v>311</v>
      </c>
      <c r="D661" s="55" t="s">
        <v>311</v>
      </c>
      <c r="E661" s="55" t="s">
        <v>311</v>
      </c>
      <c r="F661" s="55" t="s">
        <v>311</v>
      </c>
    </row>
    <row r="662">
      <c r="A662" s="136"/>
      <c r="B662" s="54"/>
      <c r="C662" s="55" t="s">
        <v>311</v>
      </c>
      <c r="D662" s="55" t="s">
        <v>311</v>
      </c>
      <c r="E662" s="55" t="s">
        <v>311</v>
      </c>
      <c r="F662" s="55" t="s">
        <v>311</v>
      </c>
    </row>
    <row r="663">
      <c r="A663" s="136"/>
      <c r="B663" s="54"/>
      <c r="C663" s="55" t="s">
        <v>311</v>
      </c>
      <c r="D663" s="55" t="s">
        <v>311</v>
      </c>
      <c r="E663" s="55" t="s">
        <v>311</v>
      </c>
      <c r="F663" s="55" t="s">
        <v>311</v>
      </c>
    </row>
    <row r="664">
      <c r="A664" s="136"/>
      <c r="B664" s="54"/>
      <c r="C664" s="55" t="s">
        <v>311</v>
      </c>
      <c r="D664" s="55" t="s">
        <v>311</v>
      </c>
      <c r="E664" s="55" t="s">
        <v>311</v>
      </c>
      <c r="F664" s="55" t="s">
        <v>311</v>
      </c>
    </row>
    <row r="665">
      <c r="A665" s="136"/>
      <c r="B665" s="54"/>
      <c r="C665" s="55" t="s">
        <v>311</v>
      </c>
      <c r="D665" s="55" t="s">
        <v>311</v>
      </c>
      <c r="E665" s="55" t="s">
        <v>311</v>
      </c>
      <c r="F665" s="55" t="s">
        <v>311</v>
      </c>
    </row>
    <row r="666">
      <c r="A666" s="136"/>
      <c r="B666" s="54"/>
      <c r="C666" s="55" t="s">
        <v>311</v>
      </c>
      <c r="D666" s="55" t="s">
        <v>311</v>
      </c>
      <c r="E666" s="55" t="s">
        <v>311</v>
      </c>
      <c r="F666" s="55" t="s">
        <v>311</v>
      </c>
    </row>
    <row r="667">
      <c r="A667" s="136"/>
      <c r="B667" s="54"/>
      <c r="C667" s="55" t="s">
        <v>311</v>
      </c>
      <c r="D667" s="55" t="s">
        <v>311</v>
      </c>
      <c r="E667" s="55" t="s">
        <v>311</v>
      </c>
      <c r="F667" s="55" t="s">
        <v>311</v>
      </c>
    </row>
    <row r="668">
      <c r="A668" s="136"/>
      <c r="B668" s="54"/>
      <c r="C668" s="55" t="s">
        <v>311</v>
      </c>
      <c r="D668" s="55" t="s">
        <v>311</v>
      </c>
      <c r="E668" s="55" t="s">
        <v>311</v>
      </c>
      <c r="F668" s="55" t="s">
        <v>311</v>
      </c>
    </row>
    <row r="669">
      <c r="A669" s="136"/>
      <c r="B669" s="54"/>
      <c r="C669" s="55" t="s">
        <v>311</v>
      </c>
      <c r="D669" s="55" t="s">
        <v>311</v>
      </c>
      <c r="E669" s="55" t="s">
        <v>311</v>
      </c>
      <c r="F669" s="55" t="s">
        <v>311</v>
      </c>
    </row>
    <row r="670">
      <c r="A670" s="136"/>
      <c r="B670" s="54"/>
      <c r="C670" s="55" t="s">
        <v>311</v>
      </c>
      <c r="D670" s="55" t="s">
        <v>311</v>
      </c>
      <c r="E670" s="55" t="s">
        <v>311</v>
      </c>
      <c r="F670" s="55" t="s">
        <v>311</v>
      </c>
    </row>
    <row r="671">
      <c r="A671" s="136"/>
      <c r="B671" s="54"/>
      <c r="C671" s="55" t="s">
        <v>311</v>
      </c>
      <c r="D671" s="55" t="s">
        <v>311</v>
      </c>
      <c r="E671" s="55" t="s">
        <v>311</v>
      </c>
      <c r="F671" s="55" t="s">
        <v>311</v>
      </c>
    </row>
    <row r="672">
      <c r="A672" s="136"/>
      <c r="B672" s="54"/>
      <c r="C672" s="55" t="s">
        <v>311</v>
      </c>
      <c r="D672" s="55" t="s">
        <v>311</v>
      </c>
      <c r="E672" s="55" t="s">
        <v>311</v>
      </c>
      <c r="F672" s="55" t="s">
        <v>311</v>
      </c>
    </row>
    <row r="673">
      <c r="A673" s="136"/>
      <c r="B673" s="54"/>
      <c r="C673" s="55" t="s">
        <v>311</v>
      </c>
      <c r="D673" s="55" t="s">
        <v>311</v>
      </c>
      <c r="E673" s="55" t="s">
        <v>311</v>
      </c>
      <c r="F673" s="55" t="s">
        <v>311</v>
      </c>
    </row>
    <row r="674">
      <c r="A674" s="136"/>
      <c r="B674" s="54"/>
      <c r="C674" s="55" t="s">
        <v>311</v>
      </c>
      <c r="D674" s="55" t="s">
        <v>311</v>
      </c>
      <c r="E674" s="55" t="s">
        <v>311</v>
      </c>
      <c r="F674" s="55" t="s">
        <v>311</v>
      </c>
    </row>
    <row r="675">
      <c r="A675" s="136"/>
      <c r="B675" s="54"/>
      <c r="C675" s="55" t="s">
        <v>311</v>
      </c>
      <c r="D675" s="55" t="s">
        <v>311</v>
      </c>
      <c r="E675" s="55" t="s">
        <v>311</v>
      </c>
      <c r="F675" s="55" t="s">
        <v>311</v>
      </c>
    </row>
    <row r="676">
      <c r="A676" s="136"/>
      <c r="B676" s="54"/>
      <c r="C676" s="55" t="s">
        <v>311</v>
      </c>
      <c r="D676" s="55" t="s">
        <v>311</v>
      </c>
      <c r="E676" s="55" t="s">
        <v>311</v>
      </c>
      <c r="F676" s="55" t="s">
        <v>311</v>
      </c>
    </row>
    <row r="677">
      <c r="A677" s="136"/>
      <c r="B677" s="54"/>
      <c r="C677" s="55" t="s">
        <v>311</v>
      </c>
      <c r="D677" s="55" t="s">
        <v>311</v>
      </c>
      <c r="E677" s="55" t="s">
        <v>311</v>
      </c>
      <c r="F677" s="55" t="s">
        <v>311</v>
      </c>
    </row>
    <row r="678">
      <c r="A678" s="136"/>
      <c r="B678" s="54"/>
      <c r="C678" s="55" t="s">
        <v>311</v>
      </c>
      <c r="D678" s="55" t="s">
        <v>311</v>
      </c>
      <c r="E678" s="55" t="s">
        <v>311</v>
      </c>
      <c r="F678" s="55" t="s">
        <v>311</v>
      </c>
    </row>
    <row r="679">
      <c r="A679" s="136"/>
      <c r="B679" s="54"/>
      <c r="C679" s="55" t="s">
        <v>311</v>
      </c>
      <c r="D679" s="55" t="s">
        <v>311</v>
      </c>
      <c r="E679" s="55" t="s">
        <v>311</v>
      </c>
      <c r="F679" s="55" t="s">
        <v>311</v>
      </c>
    </row>
    <row r="680">
      <c r="A680" s="136"/>
      <c r="B680" s="54"/>
      <c r="C680" s="55" t="s">
        <v>311</v>
      </c>
      <c r="D680" s="55" t="s">
        <v>311</v>
      </c>
      <c r="E680" s="55" t="s">
        <v>311</v>
      </c>
      <c r="F680" s="55" t="s">
        <v>311</v>
      </c>
    </row>
    <row r="681">
      <c r="A681" s="136"/>
      <c r="B681" s="54"/>
      <c r="C681" s="55" t="s">
        <v>311</v>
      </c>
      <c r="D681" s="55" t="s">
        <v>311</v>
      </c>
      <c r="E681" s="55" t="s">
        <v>311</v>
      </c>
      <c r="F681" s="55" t="s">
        <v>311</v>
      </c>
    </row>
    <row r="682">
      <c r="A682" s="136"/>
      <c r="B682" s="54"/>
      <c r="C682" s="55" t="s">
        <v>311</v>
      </c>
      <c r="D682" s="55" t="s">
        <v>311</v>
      </c>
      <c r="E682" s="55" t="s">
        <v>311</v>
      </c>
      <c r="F682" s="55" t="s">
        <v>311</v>
      </c>
    </row>
    <row r="683">
      <c r="A683" s="136"/>
      <c r="B683" s="54"/>
      <c r="C683" s="55" t="s">
        <v>311</v>
      </c>
      <c r="D683" s="55" t="s">
        <v>311</v>
      </c>
      <c r="E683" s="55" t="s">
        <v>311</v>
      </c>
      <c r="F683" s="55" t="s">
        <v>311</v>
      </c>
    </row>
    <row r="684">
      <c r="A684" s="136"/>
      <c r="B684" s="54"/>
      <c r="C684" s="55" t="s">
        <v>311</v>
      </c>
      <c r="D684" s="55" t="s">
        <v>311</v>
      </c>
      <c r="E684" s="55" t="s">
        <v>311</v>
      </c>
      <c r="F684" s="55" t="s">
        <v>311</v>
      </c>
    </row>
    <row r="685">
      <c r="A685" s="136"/>
      <c r="B685" s="54"/>
      <c r="C685" s="55" t="s">
        <v>311</v>
      </c>
      <c r="D685" s="55" t="s">
        <v>311</v>
      </c>
      <c r="E685" s="55" t="s">
        <v>311</v>
      </c>
      <c r="F685" s="55" t="s">
        <v>311</v>
      </c>
    </row>
    <row r="686">
      <c r="A686" s="136"/>
      <c r="B686" s="54"/>
      <c r="C686" s="55" t="s">
        <v>311</v>
      </c>
      <c r="D686" s="55" t="s">
        <v>311</v>
      </c>
      <c r="E686" s="55" t="s">
        <v>311</v>
      </c>
      <c r="F686" s="55" t="s">
        <v>311</v>
      </c>
    </row>
    <row r="687">
      <c r="A687" s="136"/>
      <c r="B687" s="54"/>
      <c r="C687" s="55" t="s">
        <v>311</v>
      </c>
      <c r="D687" s="55" t="s">
        <v>311</v>
      </c>
      <c r="E687" s="55" t="s">
        <v>311</v>
      </c>
      <c r="F687" s="55" t="s">
        <v>311</v>
      </c>
    </row>
    <row r="688">
      <c r="A688" s="136"/>
      <c r="B688" s="54"/>
      <c r="C688" s="55" t="s">
        <v>311</v>
      </c>
      <c r="D688" s="55" t="s">
        <v>311</v>
      </c>
      <c r="E688" s="55" t="s">
        <v>311</v>
      </c>
      <c r="F688" s="55" t="s">
        <v>311</v>
      </c>
    </row>
    <row r="689">
      <c r="A689" s="136"/>
      <c r="B689" s="54"/>
      <c r="C689" s="55" t="s">
        <v>311</v>
      </c>
      <c r="D689" s="55" t="s">
        <v>311</v>
      </c>
      <c r="E689" s="55" t="s">
        <v>311</v>
      </c>
      <c r="F689" s="55" t="s">
        <v>311</v>
      </c>
    </row>
    <row r="690">
      <c r="A690" s="136"/>
      <c r="B690" s="54"/>
      <c r="C690" s="55" t="s">
        <v>311</v>
      </c>
      <c r="D690" s="55" t="s">
        <v>311</v>
      </c>
      <c r="E690" s="55" t="s">
        <v>311</v>
      </c>
      <c r="F690" s="55" t="s">
        <v>311</v>
      </c>
    </row>
    <row r="691">
      <c r="A691" s="136"/>
      <c r="B691" s="54"/>
      <c r="C691" s="55" t="s">
        <v>311</v>
      </c>
      <c r="D691" s="55" t="s">
        <v>311</v>
      </c>
      <c r="E691" s="55" t="s">
        <v>311</v>
      </c>
      <c r="F691" s="55" t="s">
        <v>311</v>
      </c>
    </row>
    <row r="692">
      <c r="A692" s="136"/>
      <c r="B692" s="54"/>
      <c r="C692" s="55" t="s">
        <v>311</v>
      </c>
      <c r="D692" s="55" t="s">
        <v>311</v>
      </c>
      <c r="E692" s="55" t="s">
        <v>311</v>
      </c>
      <c r="F692" s="55" t="s">
        <v>311</v>
      </c>
    </row>
    <row r="693">
      <c r="A693" s="136"/>
      <c r="B693" s="54"/>
      <c r="C693" s="55" t="s">
        <v>311</v>
      </c>
      <c r="D693" s="55" t="s">
        <v>311</v>
      </c>
      <c r="E693" s="55" t="s">
        <v>311</v>
      </c>
      <c r="F693" s="55" t="s">
        <v>311</v>
      </c>
    </row>
    <row r="694">
      <c r="A694" s="136"/>
      <c r="B694" s="54"/>
      <c r="C694" s="55" t="s">
        <v>311</v>
      </c>
      <c r="D694" s="55" t="s">
        <v>311</v>
      </c>
      <c r="E694" s="55" t="s">
        <v>311</v>
      </c>
      <c r="F694" s="55" t="s">
        <v>311</v>
      </c>
    </row>
    <row r="695">
      <c r="A695" s="136"/>
      <c r="B695" s="54"/>
      <c r="C695" s="55" t="s">
        <v>311</v>
      </c>
      <c r="D695" s="55" t="s">
        <v>311</v>
      </c>
      <c r="E695" s="55" t="s">
        <v>311</v>
      </c>
      <c r="F695" s="55" t="s">
        <v>311</v>
      </c>
    </row>
    <row r="696">
      <c r="A696" s="136"/>
      <c r="B696" s="54"/>
      <c r="C696" s="55" t="s">
        <v>311</v>
      </c>
      <c r="D696" s="55" t="s">
        <v>311</v>
      </c>
      <c r="E696" s="55" t="s">
        <v>311</v>
      </c>
      <c r="F696" s="55" t="s">
        <v>311</v>
      </c>
    </row>
    <row r="697">
      <c r="A697" s="136"/>
      <c r="B697" s="54"/>
      <c r="C697" s="55" t="s">
        <v>311</v>
      </c>
      <c r="D697" s="55" t="s">
        <v>311</v>
      </c>
      <c r="E697" s="55" t="s">
        <v>311</v>
      </c>
      <c r="F697" s="55" t="s">
        <v>311</v>
      </c>
    </row>
    <row r="698">
      <c r="A698" s="136"/>
      <c r="B698" s="54"/>
      <c r="C698" s="55" t="s">
        <v>311</v>
      </c>
      <c r="D698" s="55" t="s">
        <v>311</v>
      </c>
      <c r="E698" s="55" t="s">
        <v>311</v>
      </c>
      <c r="F698" s="55" t="s">
        <v>311</v>
      </c>
    </row>
    <row r="699">
      <c r="A699" s="136"/>
      <c r="B699" s="54"/>
      <c r="C699" s="55" t="s">
        <v>311</v>
      </c>
      <c r="D699" s="55" t="s">
        <v>311</v>
      </c>
      <c r="E699" s="55" t="s">
        <v>311</v>
      </c>
      <c r="F699" s="55" t="s">
        <v>311</v>
      </c>
    </row>
    <row r="700">
      <c r="A700" s="136"/>
      <c r="B700" s="54"/>
      <c r="C700" s="55" t="s">
        <v>311</v>
      </c>
      <c r="D700" s="55" t="s">
        <v>311</v>
      </c>
      <c r="E700" s="55" t="s">
        <v>311</v>
      </c>
      <c r="F700" s="55" t="s">
        <v>311</v>
      </c>
    </row>
    <row r="701">
      <c r="A701" s="136"/>
      <c r="B701" s="54"/>
      <c r="C701" s="55" t="s">
        <v>311</v>
      </c>
      <c r="D701" s="55" t="s">
        <v>311</v>
      </c>
      <c r="E701" s="55" t="s">
        <v>311</v>
      </c>
      <c r="F701" s="55" t="s">
        <v>311</v>
      </c>
    </row>
    <row r="702">
      <c r="A702" s="136"/>
      <c r="B702" s="54"/>
      <c r="C702" s="55" t="s">
        <v>311</v>
      </c>
      <c r="D702" s="55" t="s">
        <v>311</v>
      </c>
      <c r="E702" s="55" t="s">
        <v>311</v>
      </c>
      <c r="F702" s="55" t="s">
        <v>311</v>
      </c>
    </row>
    <row r="703">
      <c r="A703" s="136"/>
      <c r="B703" s="54"/>
      <c r="C703" s="55" t="s">
        <v>311</v>
      </c>
      <c r="D703" s="55" t="s">
        <v>311</v>
      </c>
      <c r="E703" s="55" t="s">
        <v>311</v>
      </c>
      <c r="F703" s="55" t="s">
        <v>311</v>
      </c>
    </row>
    <row r="704">
      <c r="A704" s="136"/>
      <c r="B704" s="54"/>
      <c r="C704" s="55" t="s">
        <v>311</v>
      </c>
      <c r="D704" s="55" t="s">
        <v>311</v>
      </c>
      <c r="E704" s="55" t="s">
        <v>311</v>
      </c>
      <c r="F704" s="55" t="s">
        <v>311</v>
      </c>
    </row>
    <row r="705">
      <c r="A705" s="136"/>
      <c r="B705" s="54"/>
      <c r="C705" s="55" t="s">
        <v>311</v>
      </c>
      <c r="D705" s="55" t="s">
        <v>311</v>
      </c>
      <c r="E705" s="55" t="s">
        <v>311</v>
      </c>
      <c r="F705" s="55" t="s">
        <v>311</v>
      </c>
    </row>
    <row r="706">
      <c r="A706" s="136"/>
      <c r="B706" s="54"/>
      <c r="C706" s="55" t="s">
        <v>311</v>
      </c>
      <c r="D706" s="55" t="s">
        <v>311</v>
      </c>
      <c r="E706" s="55" t="s">
        <v>311</v>
      </c>
      <c r="F706" s="55" t="s">
        <v>311</v>
      </c>
    </row>
    <row r="707">
      <c r="A707" s="136"/>
      <c r="B707" s="54"/>
      <c r="C707" s="55" t="s">
        <v>311</v>
      </c>
      <c r="D707" s="55" t="s">
        <v>311</v>
      </c>
      <c r="E707" s="55" t="s">
        <v>311</v>
      </c>
      <c r="F707" s="55" t="s">
        <v>311</v>
      </c>
    </row>
    <row r="708">
      <c r="A708" s="136"/>
      <c r="B708" s="54"/>
      <c r="C708" s="55" t="s">
        <v>311</v>
      </c>
      <c r="D708" s="55" t="s">
        <v>311</v>
      </c>
      <c r="E708" s="55" t="s">
        <v>311</v>
      </c>
      <c r="F708" s="55" t="s">
        <v>311</v>
      </c>
    </row>
    <row r="709">
      <c r="A709" s="136"/>
      <c r="B709" s="54"/>
      <c r="C709" s="55" t="s">
        <v>311</v>
      </c>
      <c r="D709" s="55" t="s">
        <v>311</v>
      </c>
      <c r="E709" s="55" t="s">
        <v>311</v>
      </c>
      <c r="F709" s="55" t="s">
        <v>311</v>
      </c>
    </row>
    <row r="710">
      <c r="A710" s="136"/>
      <c r="B710" s="54"/>
      <c r="C710" s="55" t="s">
        <v>311</v>
      </c>
      <c r="D710" s="55" t="s">
        <v>311</v>
      </c>
      <c r="E710" s="55" t="s">
        <v>311</v>
      </c>
      <c r="F710" s="55" t="s">
        <v>311</v>
      </c>
    </row>
    <row r="711">
      <c r="A711" s="136"/>
      <c r="B711" s="54"/>
      <c r="C711" s="55" t="s">
        <v>311</v>
      </c>
      <c r="D711" s="55" t="s">
        <v>311</v>
      </c>
      <c r="E711" s="55" t="s">
        <v>311</v>
      </c>
      <c r="F711" s="55" t="s">
        <v>311</v>
      </c>
    </row>
    <row r="712">
      <c r="A712" s="136"/>
      <c r="B712" s="54"/>
      <c r="C712" s="55" t="s">
        <v>311</v>
      </c>
      <c r="D712" s="55" t="s">
        <v>311</v>
      </c>
      <c r="E712" s="55" t="s">
        <v>311</v>
      </c>
      <c r="F712" s="55" t="s">
        <v>311</v>
      </c>
    </row>
    <row r="713">
      <c r="A713" s="136"/>
      <c r="B713" s="54"/>
      <c r="C713" s="55" t="s">
        <v>311</v>
      </c>
      <c r="D713" s="55" t="s">
        <v>311</v>
      </c>
      <c r="E713" s="55" t="s">
        <v>311</v>
      </c>
      <c r="F713" s="55" t="s">
        <v>311</v>
      </c>
    </row>
    <row r="714">
      <c r="A714" s="136"/>
      <c r="B714" s="54"/>
      <c r="C714" s="55" t="s">
        <v>311</v>
      </c>
      <c r="D714" s="55" t="s">
        <v>311</v>
      </c>
      <c r="E714" s="55" t="s">
        <v>311</v>
      </c>
      <c r="F714" s="55" t="s">
        <v>311</v>
      </c>
    </row>
    <row r="715">
      <c r="A715" s="136"/>
      <c r="B715" s="54"/>
      <c r="C715" s="55" t="s">
        <v>311</v>
      </c>
      <c r="D715" s="55" t="s">
        <v>311</v>
      </c>
      <c r="E715" s="55" t="s">
        <v>311</v>
      </c>
      <c r="F715" s="55" t="s">
        <v>311</v>
      </c>
    </row>
    <row r="716">
      <c r="A716" s="136"/>
      <c r="B716" s="54"/>
      <c r="C716" s="55" t="s">
        <v>311</v>
      </c>
      <c r="D716" s="55" t="s">
        <v>311</v>
      </c>
      <c r="E716" s="55" t="s">
        <v>311</v>
      </c>
      <c r="F716" s="55" t="s">
        <v>311</v>
      </c>
    </row>
    <row r="717">
      <c r="A717" s="136"/>
      <c r="B717" s="54"/>
      <c r="C717" s="55" t="s">
        <v>311</v>
      </c>
      <c r="D717" s="55" t="s">
        <v>311</v>
      </c>
      <c r="E717" s="55" t="s">
        <v>311</v>
      </c>
      <c r="F717" s="55" t="s">
        <v>311</v>
      </c>
    </row>
    <row r="718">
      <c r="A718" s="136"/>
      <c r="B718" s="54"/>
      <c r="C718" s="55" t="s">
        <v>311</v>
      </c>
      <c r="D718" s="55" t="s">
        <v>311</v>
      </c>
      <c r="E718" s="55" t="s">
        <v>311</v>
      </c>
      <c r="F718" s="55" t="s">
        <v>311</v>
      </c>
    </row>
    <row r="719">
      <c r="A719" s="136"/>
      <c r="B719" s="54"/>
      <c r="C719" s="55" t="s">
        <v>311</v>
      </c>
      <c r="D719" s="55" t="s">
        <v>311</v>
      </c>
      <c r="E719" s="55" t="s">
        <v>311</v>
      </c>
      <c r="F719" s="55" t="s">
        <v>311</v>
      </c>
    </row>
    <row r="720">
      <c r="A720" s="136"/>
      <c r="B720" s="54"/>
      <c r="C720" s="55" t="s">
        <v>311</v>
      </c>
      <c r="D720" s="55" t="s">
        <v>311</v>
      </c>
      <c r="E720" s="55" t="s">
        <v>311</v>
      </c>
      <c r="F720" s="55" t="s">
        <v>311</v>
      </c>
    </row>
    <row r="721">
      <c r="A721" s="136"/>
      <c r="B721" s="54"/>
      <c r="C721" s="55" t="s">
        <v>311</v>
      </c>
      <c r="D721" s="55" t="s">
        <v>311</v>
      </c>
      <c r="E721" s="55" t="s">
        <v>311</v>
      </c>
      <c r="F721" s="55" t="s">
        <v>311</v>
      </c>
    </row>
    <row r="722">
      <c r="A722" s="136"/>
      <c r="B722" s="54"/>
      <c r="C722" s="55" t="s">
        <v>311</v>
      </c>
      <c r="D722" s="55" t="s">
        <v>311</v>
      </c>
      <c r="E722" s="55" t="s">
        <v>311</v>
      </c>
      <c r="F722" s="55" t="s">
        <v>311</v>
      </c>
    </row>
    <row r="723">
      <c r="A723" s="136"/>
      <c r="B723" s="54"/>
      <c r="C723" s="55" t="s">
        <v>311</v>
      </c>
      <c r="D723" s="55" t="s">
        <v>311</v>
      </c>
      <c r="E723" s="55" t="s">
        <v>311</v>
      </c>
      <c r="F723" s="55" t="s">
        <v>311</v>
      </c>
    </row>
    <row r="724">
      <c r="A724" s="136"/>
      <c r="B724" s="54"/>
      <c r="C724" s="55" t="s">
        <v>311</v>
      </c>
      <c r="D724" s="55" t="s">
        <v>311</v>
      </c>
      <c r="E724" s="55" t="s">
        <v>311</v>
      </c>
      <c r="F724" s="55" t="s">
        <v>311</v>
      </c>
    </row>
    <row r="725">
      <c r="A725" s="136"/>
      <c r="B725" s="54"/>
      <c r="C725" s="55" t="s">
        <v>311</v>
      </c>
      <c r="D725" s="55" t="s">
        <v>311</v>
      </c>
      <c r="E725" s="55" t="s">
        <v>311</v>
      </c>
      <c r="F725" s="55" t="s">
        <v>311</v>
      </c>
    </row>
    <row r="726">
      <c r="A726" s="136"/>
      <c r="B726" s="54"/>
      <c r="C726" s="55" t="s">
        <v>311</v>
      </c>
      <c r="D726" s="55" t="s">
        <v>311</v>
      </c>
      <c r="E726" s="55" t="s">
        <v>311</v>
      </c>
      <c r="F726" s="55" t="s">
        <v>311</v>
      </c>
    </row>
    <row r="727">
      <c r="A727" s="136"/>
      <c r="B727" s="54"/>
      <c r="C727" s="55" t="s">
        <v>311</v>
      </c>
      <c r="D727" s="55" t="s">
        <v>311</v>
      </c>
      <c r="E727" s="55" t="s">
        <v>311</v>
      </c>
      <c r="F727" s="55" t="s">
        <v>311</v>
      </c>
    </row>
    <row r="728">
      <c r="A728" s="136"/>
      <c r="B728" s="54"/>
      <c r="C728" s="55" t="s">
        <v>311</v>
      </c>
      <c r="D728" s="55" t="s">
        <v>311</v>
      </c>
      <c r="E728" s="55" t="s">
        <v>311</v>
      </c>
      <c r="F728" s="55" t="s">
        <v>311</v>
      </c>
    </row>
    <row r="729">
      <c r="A729" s="136"/>
      <c r="B729" s="54"/>
      <c r="C729" s="55" t="s">
        <v>311</v>
      </c>
      <c r="D729" s="55" t="s">
        <v>311</v>
      </c>
      <c r="E729" s="55" t="s">
        <v>311</v>
      </c>
      <c r="F729" s="55" t="s">
        <v>311</v>
      </c>
    </row>
    <row r="730">
      <c r="A730" s="136"/>
      <c r="B730" s="54"/>
      <c r="C730" s="55" t="s">
        <v>311</v>
      </c>
      <c r="D730" s="55" t="s">
        <v>311</v>
      </c>
      <c r="E730" s="55" t="s">
        <v>311</v>
      </c>
      <c r="F730" s="55" t="s">
        <v>311</v>
      </c>
    </row>
    <row r="731">
      <c r="A731" s="136"/>
      <c r="B731" s="54"/>
      <c r="C731" s="55" t="s">
        <v>311</v>
      </c>
      <c r="D731" s="55" t="s">
        <v>311</v>
      </c>
      <c r="E731" s="55" t="s">
        <v>311</v>
      </c>
      <c r="F731" s="55" t="s">
        <v>311</v>
      </c>
    </row>
    <row r="732">
      <c r="A732" s="136"/>
      <c r="B732" s="54"/>
      <c r="C732" s="55" t="s">
        <v>311</v>
      </c>
      <c r="D732" s="55" t="s">
        <v>311</v>
      </c>
      <c r="E732" s="55" t="s">
        <v>311</v>
      </c>
      <c r="F732" s="55" t="s">
        <v>311</v>
      </c>
    </row>
    <row r="733">
      <c r="A733" s="136"/>
      <c r="B733" s="54"/>
      <c r="C733" s="55" t="s">
        <v>311</v>
      </c>
      <c r="D733" s="55" t="s">
        <v>311</v>
      </c>
      <c r="E733" s="55" t="s">
        <v>311</v>
      </c>
      <c r="F733" s="55" t="s">
        <v>311</v>
      </c>
    </row>
    <row r="734">
      <c r="A734" s="136"/>
      <c r="B734" s="54"/>
      <c r="C734" s="55" t="s">
        <v>311</v>
      </c>
      <c r="D734" s="55" t="s">
        <v>311</v>
      </c>
      <c r="E734" s="55" t="s">
        <v>311</v>
      </c>
      <c r="F734" s="55" t="s">
        <v>311</v>
      </c>
    </row>
    <row r="735">
      <c r="A735" s="136"/>
      <c r="B735" s="54"/>
      <c r="C735" s="55" t="s">
        <v>311</v>
      </c>
      <c r="D735" s="55" t="s">
        <v>311</v>
      </c>
      <c r="E735" s="55" t="s">
        <v>311</v>
      </c>
      <c r="F735" s="55" t="s">
        <v>311</v>
      </c>
    </row>
    <row r="736">
      <c r="A736" s="136"/>
      <c r="B736" s="54"/>
      <c r="C736" s="55" t="s">
        <v>311</v>
      </c>
      <c r="D736" s="55" t="s">
        <v>311</v>
      </c>
      <c r="E736" s="55" t="s">
        <v>311</v>
      </c>
      <c r="F736" s="55" t="s">
        <v>311</v>
      </c>
    </row>
    <row r="737">
      <c r="A737" s="136"/>
      <c r="B737" s="54"/>
      <c r="C737" s="55" t="s">
        <v>311</v>
      </c>
      <c r="D737" s="55" t="s">
        <v>311</v>
      </c>
      <c r="E737" s="55" t="s">
        <v>311</v>
      </c>
      <c r="F737" s="55" t="s">
        <v>311</v>
      </c>
    </row>
    <row r="738">
      <c r="A738" s="136"/>
      <c r="B738" s="54"/>
      <c r="C738" s="55" t="s">
        <v>311</v>
      </c>
      <c r="D738" s="55" t="s">
        <v>311</v>
      </c>
      <c r="E738" s="55" t="s">
        <v>311</v>
      </c>
      <c r="F738" s="55" t="s">
        <v>311</v>
      </c>
    </row>
    <row r="739">
      <c r="A739" s="136"/>
      <c r="B739" s="54"/>
      <c r="C739" s="55" t="s">
        <v>311</v>
      </c>
      <c r="D739" s="55" t="s">
        <v>311</v>
      </c>
      <c r="E739" s="55" t="s">
        <v>311</v>
      </c>
      <c r="F739" s="55" t="s">
        <v>311</v>
      </c>
    </row>
    <row r="740">
      <c r="A740" s="136"/>
      <c r="B740" s="54"/>
      <c r="C740" s="55" t="s">
        <v>311</v>
      </c>
      <c r="D740" s="55" t="s">
        <v>311</v>
      </c>
      <c r="E740" s="55" t="s">
        <v>311</v>
      </c>
      <c r="F740" s="55" t="s">
        <v>311</v>
      </c>
    </row>
    <row r="741">
      <c r="A741" s="136"/>
      <c r="B741" s="54"/>
      <c r="C741" s="55" t="s">
        <v>311</v>
      </c>
      <c r="D741" s="55" t="s">
        <v>311</v>
      </c>
      <c r="E741" s="55" t="s">
        <v>311</v>
      </c>
      <c r="F741" s="55" t="s">
        <v>311</v>
      </c>
    </row>
    <row r="742">
      <c r="A742" s="136"/>
      <c r="B742" s="54"/>
      <c r="C742" s="55" t="s">
        <v>311</v>
      </c>
      <c r="D742" s="55" t="s">
        <v>311</v>
      </c>
      <c r="E742" s="55" t="s">
        <v>311</v>
      </c>
      <c r="F742" s="55" t="s">
        <v>311</v>
      </c>
    </row>
    <row r="743">
      <c r="A743" s="136"/>
      <c r="B743" s="54"/>
      <c r="C743" s="55" t="s">
        <v>311</v>
      </c>
      <c r="D743" s="55" t="s">
        <v>311</v>
      </c>
      <c r="E743" s="55" t="s">
        <v>311</v>
      </c>
      <c r="F743" s="55" t="s">
        <v>311</v>
      </c>
    </row>
    <row r="744">
      <c r="A744" s="136"/>
      <c r="B744" s="54"/>
      <c r="C744" s="55" t="s">
        <v>311</v>
      </c>
      <c r="D744" s="55" t="s">
        <v>311</v>
      </c>
      <c r="E744" s="55" t="s">
        <v>311</v>
      </c>
      <c r="F744" s="55" t="s">
        <v>311</v>
      </c>
    </row>
    <row r="745">
      <c r="A745" s="136"/>
      <c r="B745" s="54"/>
      <c r="C745" s="55" t="s">
        <v>311</v>
      </c>
      <c r="D745" s="55" t="s">
        <v>311</v>
      </c>
      <c r="E745" s="55" t="s">
        <v>311</v>
      </c>
      <c r="F745" s="55" t="s">
        <v>311</v>
      </c>
    </row>
    <row r="746">
      <c r="A746" s="136"/>
      <c r="B746" s="54"/>
      <c r="C746" s="55" t="s">
        <v>311</v>
      </c>
      <c r="D746" s="55" t="s">
        <v>311</v>
      </c>
      <c r="E746" s="55" t="s">
        <v>311</v>
      </c>
      <c r="F746" s="55" t="s">
        <v>311</v>
      </c>
    </row>
    <row r="747">
      <c r="A747" s="136"/>
      <c r="B747" s="54"/>
      <c r="C747" s="55" t="s">
        <v>311</v>
      </c>
      <c r="D747" s="55" t="s">
        <v>311</v>
      </c>
      <c r="E747" s="55" t="s">
        <v>311</v>
      </c>
      <c r="F747" s="55" t="s">
        <v>311</v>
      </c>
    </row>
    <row r="748">
      <c r="A748" s="136"/>
      <c r="B748" s="54"/>
      <c r="C748" s="55" t="s">
        <v>311</v>
      </c>
      <c r="D748" s="55" t="s">
        <v>311</v>
      </c>
      <c r="E748" s="55" t="s">
        <v>311</v>
      </c>
      <c r="F748" s="55" t="s">
        <v>311</v>
      </c>
    </row>
    <row r="749">
      <c r="A749" s="136"/>
      <c r="B749" s="54"/>
      <c r="C749" s="55" t="s">
        <v>311</v>
      </c>
      <c r="D749" s="55" t="s">
        <v>311</v>
      </c>
      <c r="E749" s="55" t="s">
        <v>311</v>
      </c>
      <c r="F749" s="55" t="s">
        <v>311</v>
      </c>
    </row>
    <row r="750">
      <c r="A750" s="136"/>
      <c r="B750" s="54"/>
      <c r="C750" s="55" t="s">
        <v>311</v>
      </c>
      <c r="D750" s="55" t="s">
        <v>311</v>
      </c>
      <c r="E750" s="55" t="s">
        <v>311</v>
      </c>
      <c r="F750" s="55" t="s">
        <v>311</v>
      </c>
    </row>
    <row r="751">
      <c r="A751" s="136"/>
      <c r="B751" s="54"/>
      <c r="C751" s="55" t="s">
        <v>311</v>
      </c>
      <c r="D751" s="55" t="s">
        <v>311</v>
      </c>
      <c r="E751" s="55" t="s">
        <v>311</v>
      </c>
      <c r="F751" s="55" t="s">
        <v>311</v>
      </c>
    </row>
    <row r="752">
      <c r="A752" s="136"/>
      <c r="B752" s="54"/>
      <c r="C752" s="55" t="s">
        <v>311</v>
      </c>
      <c r="D752" s="55" t="s">
        <v>311</v>
      </c>
      <c r="E752" s="55" t="s">
        <v>311</v>
      </c>
      <c r="F752" s="55" t="s">
        <v>311</v>
      </c>
    </row>
    <row r="753">
      <c r="A753" s="136"/>
      <c r="B753" s="54"/>
      <c r="C753" s="55" t="s">
        <v>311</v>
      </c>
      <c r="D753" s="55" t="s">
        <v>311</v>
      </c>
      <c r="E753" s="55" t="s">
        <v>311</v>
      </c>
      <c r="F753" s="55" t="s">
        <v>311</v>
      </c>
    </row>
    <row r="754">
      <c r="A754" s="136"/>
      <c r="B754" s="54"/>
      <c r="C754" s="55" t="s">
        <v>311</v>
      </c>
      <c r="D754" s="55" t="s">
        <v>311</v>
      </c>
      <c r="E754" s="55" t="s">
        <v>311</v>
      </c>
      <c r="F754" s="55" t="s">
        <v>311</v>
      </c>
    </row>
    <row r="755">
      <c r="A755" s="136"/>
      <c r="B755" s="54"/>
      <c r="C755" s="55" t="s">
        <v>311</v>
      </c>
      <c r="D755" s="55" t="s">
        <v>311</v>
      </c>
      <c r="E755" s="55" t="s">
        <v>311</v>
      </c>
      <c r="F755" s="55" t="s">
        <v>311</v>
      </c>
    </row>
    <row r="756">
      <c r="A756" s="136"/>
      <c r="B756" s="54"/>
      <c r="C756" s="55" t="s">
        <v>311</v>
      </c>
      <c r="D756" s="55" t="s">
        <v>311</v>
      </c>
      <c r="E756" s="55" t="s">
        <v>311</v>
      </c>
      <c r="F756" s="55" t="s">
        <v>311</v>
      </c>
    </row>
    <row r="757">
      <c r="A757" s="136"/>
      <c r="B757" s="54"/>
      <c r="C757" s="55" t="s">
        <v>311</v>
      </c>
      <c r="D757" s="55" t="s">
        <v>311</v>
      </c>
      <c r="E757" s="55" t="s">
        <v>311</v>
      </c>
      <c r="F757" s="55" t="s">
        <v>311</v>
      </c>
    </row>
    <row r="758">
      <c r="A758" s="136"/>
      <c r="B758" s="54"/>
      <c r="C758" s="55" t="s">
        <v>311</v>
      </c>
      <c r="D758" s="55" t="s">
        <v>311</v>
      </c>
      <c r="E758" s="55" t="s">
        <v>311</v>
      </c>
      <c r="F758" s="55" t="s">
        <v>311</v>
      </c>
    </row>
    <row r="759">
      <c r="A759" s="136"/>
      <c r="B759" s="54"/>
      <c r="C759" s="55" t="s">
        <v>311</v>
      </c>
      <c r="D759" s="55" t="s">
        <v>311</v>
      </c>
      <c r="E759" s="55" t="s">
        <v>311</v>
      </c>
      <c r="F759" s="55" t="s">
        <v>311</v>
      </c>
    </row>
    <row r="760">
      <c r="A760" s="136"/>
      <c r="B760" s="54"/>
      <c r="C760" s="55" t="s">
        <v>311</v>
      </c>
      <c r="D760" s="55" t="s">
        <v>311</v>
      </c>
      <c r="E760" s="55" t="s">
        <v>311</v>
      </c>
      <c r="F760" s="55" t="s">
        <v>311</v>
      </c>
    </row>
    <row r="761">
      <c r="A761" s="136"/>
      <c r="B761" s="54"/>
      <c r="C761" s="55" t="s">
        <v>311</v>
      </c>
      <c r="D761" s="55" t="s">
        <v>311</v>
      </c>
      <c r="E761" s="55" t="s">
        <v>311</v>
      </c>
      <c r="F761" s="55" t="s">
        <v>311</v>
      </c>
    </row>
    <row r="762">
      <c r="A762" s="136"/>
      <c r="B762" s="54"/>
      <c r="C762" s="55" t="s">
        <v>311</v>
      </c>
      <c r="D762" s="55" t="s">
        <v>311</v>
      </c>
      <c r="E762" s="55" t="s">
        <v>311</v>
      </c>
      <c r="F762" s="55" t="s">
        <v>311</v>
      </c>
    </row>
    <row r="763">
      <c r="A763" s="136"/>
      <c r="B763" s="54"/>
      <c r="C763" s="55" t="s">
        <v>311</v>
      </c>
      <c r="D763" s="55" t="s">
        <v>311</v>
      </c>
      <c r="E763" s="55" t="s">
        <v>311</v>
      </c>
      <c r="F763" s="55" t="s">
        <v>311</v>
      </c>
    </row>
    <row r="764">
      <c r="A764" s="136"/>
      <c r="B764" s="54"/>
      <c r="C764" s="55" t="s">
        <v>311</v>
      </c>
      <c r="D764" s="55" t="s">
        <v>311</v>
      </c>
      <c r="E764" s="55" t="s">
        <v>311</v>
      </c>
      <c r="F764" s="55" t="s">
        <v>311</v>
      </c>
    </row>
    <row r="765">
      <c r="A765" s="136"/>
      <c r="B765" s="54"/>
      <c r="C765" s="55" t="s">
        <v>311</v>
      </c>
      <c r="D765" s="55" t="s">
        <v>311</v>
      </c>
      <c r="E765" s="55" t="s">
        <v>311</v>
      </c>
      <c r="F765" s="55" t="s">
        <v>311</v>
      </c>
    </row>
    <row r="766">
      <c r="A766" s="136"/>
      <c r="B766" s="54"/>
      <c r="C766" s="55" t="s">
        <v>311</v>
      </c>
      <c r="D766" s="55" t="s">
        <v>311</v>
      </c>
      <c r="E766" s="55" t="s">
        <v>311</v>
      </c>
      <c r="F766" s="55" t="s">
        <v>311</v>
      </c>
    </row>
    <row r="767">
      <c r="A767" s="136"/>
      <c r="B767" s="54"/>
      <c r="C767" s="55" t="s">
        <v>311</v>
      </c>
      <c r="D767" s="55" t="s">
        <v>311</v>
      </c>
      <c r="E767" s="55" t="s">
        <v>311</v>
      </c>
      <c r="F767" s="55" t="s">
        <v>311</v>
      </c>
    </row>
    <row r="768">
      <c r="A768" s="136"/>
      <c r="B768" s="54"/>
      <c r="C768" s="55" t="s">
        <v>311</v>
      </c>
      <c r="D768" s="55" t="s">
        <v>311</v>
      </c>
      <c r="E768" s="55" t="s">
        <v>311</v>
      </c>
      <c r="F768" s="55" t="s">
        <v>311</v>
      </c>
    </row>
    <row r="769">
      <c r="A769" s="136"/>
      <c r="B769" s="54"/>
      <c r="C769" s="55" t="s">
        <v>311</v>
      </c>
      <c r="D769" s="55" t="s">
        <v>311</v>
      </c>
      <c r="E769" s="55" t="s">
        <v>311</v>
      </c>
      <c r="F769" s="55" t="s">
        <v>311</v>
      </c>
    </row>
    <row r="770">
      <c r="A770" s="136"/>
      <c r="B770" s="54"/>
      <c r="C770" s="55" t="s">
        <v>311</v>
      </c>
      <c r="D770" s="55" t="s">
        <v>311</v>
      </c>
      <c r="E770" s="55" t="s">
        <v>311</v>
      </c>
      <c r="F770" s="55" t="s">
        <v>311</v>
      </c>
    </row>
    <row r="771">
      <c r="A771" s="136"/>
      <c r="B771" s="54"/>
      <c r="C771" s="55" t="s">
        <v>311</v>
      </c>
      <c r="D771" s="55" t="s">
        <v>311</v>
      </c>
      <c r="E771" s="55" t="s">
        <v>311</v>
      </c>
      <c r="F771" s="55" t="s">
        <v>311</v>
      </c>
    </row>
    <row r="772">
      <c r="A772" s="136"/>
      <c r="B772" s="54"/>
      <c r="C772" s="55" t="s">
        <v>311</v>
      </c>
      <c r="D772" s="55" t="s">
        <v>311</v>
      </c>
      <c r="E772" s="55" t="s">
        <v>311</v>
      </c>
      <c r="F772" s="55" t="s">
        <v>311</v>
      </c>
    </row>
    <row r="773">
      <c r="A773" s="136"/>
      <c r="B773" s="54"/>
      <c r="C773" s="55" t="s">
        <v>311</v>
      </c>
      <c r="D773" s="55" t="s">
        <v>311</v>
      </c>
      <c r="E773" s="55" t="s">
        <v>311</v>
      </c>
      <c r="F773" s="55" t="s">
        <v>311</v>
      </c>
    </row>
    <row r="774">
      <c r="A774" s="136"/>
      <c r="B774" s="54"/>
      <c r="C774" s="55" t="s">
        <v>311</v>
      </c>
      <c r="D774" s="55" t="s">
        <v>311</v>
      </c>
      <c r="E774" s="55" t="s">
        <v>311</v>
      </c>
      <c r="F774" s="55" t="s">
        <v>311</v>
      </c>
    </row>
    <row r="775">
      <c r="A775" s="136"/>
      <c r="B775" s="54"/>
      <c r="C775" s="55" t="s">
        <v>311</v>
      </c>
      <c r="D775" s="55" t="s">
        <v>311</v>
      </c>
      <c r="E775" s="55" t="s">
        <v>311</v>
      </c>
      <c r="F775" s="55" t="s">
        <v>311</v>
      </c>
    </row>
    <row r="776">
      <c r="A776" s="136"/>
      <c r="B776" s="54"/>
      <c r="C776" s="55" t="s">
        <v>311</v>
      </c>
      <c r="D776" s="55" t="s">
        <v>311</v>
      </c>
      <c r="E776" s="55" t="s">
        <v>311</v>
      </c>
      <c r="F776" s="55" t="s">
        <v>311</v>
      </c>
    </row>
    <row r="777">
      <c r="A777" s="136"/>
      <c r="B777" s="54"/>
      <c r="C777" s="55" t="s">
        <v>311</v>
      </c>
      <c r="D777" s="55" t="s">
        <v>311</v>
      </c>
      <c r="E777" s="55" t="s">
        <v>311</v>
      </c>
      <c r="F777" s="55" t="s">
        <v>311</v>
      </c>
    </row>
    <row r="778">
      <c r="A778" s="136"/>
      <c r="B778" s="54"/>
      <c r="C778" s="55" t="s">
        <v>311</v>
      </c>
      <c r="D778" s="55" t="s">
        <v>311</v>
      </c>
      <c r="E778" s="55" t="s">
        <v>311</v>
      </c>
      <c r="F778" s="55" t="s">
        <v>311</v>
      </c>
    </row>
    <row r="779">
      <c r="A779" s="136"/>
      <c r="B779" s="54"/>
      <c r="C779" s="55" t="s">
        <v>311</v>
      </c>
      <c r="D779" s="55" t="s">
        <v>311</v>
      </c>
      <c r="E779" s="55" t="s">
        <v>311</v>
      </c>
      <c r="F779" s="55" t="s">
        <v>311</v>
      </c>
    </row>
    <row r="780">
      <c r="A780" s="136"/>
      <c r="B780" s="54"/>
      <c r="C780" s="55" t="s">
        <v>311</v>
      </c>
      <c r="D780" s="55" t="s">
        <v>311</v>
      </c>
      <c r="E780" s="55" t="s">
        <v>311</v>
      </c>
      <c r="F780" s="55" t="s">
        <v>311</v>
      </c>
    </row>
    <row r="781">
      <c r="A781" s="136"/>
      <c r="B781" s="54"/>
      <c r="C781" s="55" t="s">
        <v>311</v>
      </c>
      <c r="D781" s="55" t="s">
        <v>311</v>
      </c>
      <c r="E781" s="55" t="s">
        <v>311</v>
      </c>
      <c r="F781" s="55" t="s">
        <v>311</v>
      </c>
    </row>
    <row r="782">
      <c r="A782" s="136"/>
      <c r="B782" s="54"/>
      <c r="C782" s="55" t="s">
        <v>311</v>
      </c>
      <c r="D782" s="55" t="s">
        <v>311</v>
      </c>
      <c r="E782" s="55" t="s">
        <v>311</v>
      </c>
      <c r="F782" s="55" t="s">
        <v>311</v>
      </c>
    </row>
    <row r="783">
      <c r="A783" s="136"/>
      <c r="B783" s="54"/>
      <c r="C783" s="55" t="s">
        <v>311</v>
      </c>
      <c r="D783" s="55" t="s">
        <v>311</v>
      </c>
      <c r="E783" s="55" t="s">
        <v>311</v>
      </c>
      <c r="F783" s="55" t="s">
        <v>311</v>
      </c>
    </row>
    <row r="784">
      <c r="A784" s="136"/>
      <c r="B784" s="54"/>
      <c r="C784" s="55" t="s">
        <v>311</v>
      </c>
      <c r="D784" s="55" t="s">
        <v>311</v>
      </c>
      <c r="E784" s="55" t="s">
        <v>311</v>
      </c>
      <c r="F784" s="55" t="s">
        <v>311</v>
      </c>
    </row>
    <row r="785">
      <c r="A785" s="136"/>
      <c r="B785" s="54"/>
      <c r="C785" s="55" t="s">
        <v>311</v>
      </c>
      <c r="D785" s="55" t="s">
        <v>311</v>
      </c>
      <c r="E785" s="55" t="s">
        <v>311</v>
      </c>
      <c r="F785" s="55" t="s">
        <v>311</v>
      </c>
    </row>
    <row r="786">
      <c r="A786" s="136"/>
      <c r="B786" s="54"/>
      <c r="C786" s="55" t="s">
        <v>311</v>
      </c>
      <c r="D786" s="55" t="s">
        <v>311</v>
      </c>
      <c r="E786" s="55" t="s">
        <v>311</v>
      </c>
      <c r="F786" s="55" t="s">
        <v>311</v>
      </c>
    </row>
    <row r="787">
      <c r="A787" s="136"/>
      <c r="B787" s="54"/>
      <c r="C787" s="55" t="s">
        <v>311</v>
      </c>
      <c r="D787" s="55" t="s">
        <v>311</v>
      </c>
      <c r="E787" s="55" t="s">
        <v>311</v>
      </c>
      <c r="F787" s="55" t="s">
        <v>311</v>
      </c>
    </row>
    <row r="788">
      <c r="A788" s="136"/>
      <c r="B788" s="54"/>
      <c r="C788" s="55" t="s">
        <v>311</v>
      </c>
      <c r="D788" s="55" t="s">
        <v>311</v>
      </c>
      <c r="E788" s="55" t="s">
        <v>311</v>
      </c>
      <c r="F788" s="55" t="s">
        <v>311</v>
      </c>
    </row>
    <row r="789">
      <c r="A789" s="136"/>
      <c r="B789" s="54"/>
      <c r="C789" s="55" t="s">
        <v>311</v>
      </c>
      <c r="D789" s="55" t="s">
        <v>311</v>
      </c>
      <c r="E789" s="55" t="s">
        <v>311</v>
      </c>
      <c r="F789" s="55" t="s">
        <v>311</v>
      </c>
    </row>
    <row r="790">
      <c r="A790" s="136"/>
      <c r="B790" s="54"/>
      <c r="C790" s="55" t="s">
        <v>311</v>
      </c>
      <c r="D790" s="55" t="s">
        <v>311</v>
      </c>
      <c r="E790" s="55" t="s">
        <v>311</v>
      </c>
      <c r="F790" s="55" t="s">
        <v>311</v>
      </c>
    </row>
    <row r="791">
      <c r="A791" s="136"/>
      <c r="B791" s="54"/>
      <c r="C791" s="55" t="s">
        <v>311</v>
      </c>
      <c r="D791" s="55" t="s">
        <v>311</v>
      </c>
      <c r="E791" s="55" t="s">
        <v>311</v>
      </c>
      <c r="F791" s="55" t="s">
        <v>311</v>
      </c>
    </row>
    <row r="792">
      <c r="A792" s="136"/>
      <c r="B792" s="54"/>
      <c r="C792" s="55" t="s">
        <v>311</v>
      </c>
      <c r="D792" s="55" t="s">
        <v>311</v>
      </c>
      <c r="E792" s="55" t="s">
        <v>311</v>
      </c>
      <c r="F792" s="55" t="s">
        <v>311</v>
      </c>
    </row>
    <row r="793">
      <c r="A793" s="136"/>
      <c r="B793" s="54"/>
      <c r="C793" s="55" t="s">
        <v>311</v>
      </c>
      <c r="D793" s="55" t="s">
        <v>311</v>
      </c>
      <c r="E793" s="55" t="s">
        <v>311</v>
      </c>
      <c r="F793" s="55" t="s">
        <v>311</v>
      </c>
    </row>
    <row r="794">
      <c r="A794" s="136"/>
      <c r="B794" s="54"/>
      <c r="C794" s="55" t="s">
        <v>311</v>
      </c>
      <c r="D794" s="55" t="s">
        <v>311</v>
      </c>
      <c r="E794" s="55" t="s">
        <v>311</v>
      </c>
      <c r="F794" s="55" t="s">
        <v>311</v>
      </c>
    </row>
    <row r="795">
      <c r="A795" s="136"/>
      <c r="B795" s="54"/>
      <c r="C795" s="55" t="s">
        <v>311</v>
      </c>
      <c r="D795" s="55" t="s">
        <v>311</v>
      </c>
      <c r="E795" s="55" t="s">
        <v>311</v>
      </c>
      <c r="F795" s="55" t="s">
        <v>311</v>
      </c>
    </row>
    <row r="796">
      <c r="A796" s="136"/>
      <c r="B796" s="54"/>
      <c r="C796" s="55" t="s">
        <v>311</v>
      </c>
      <c r="D796" s="55" t="s">
        <v>311</v>
      </c>
      <c r="E796" s="55" t="s">
        <v>311</v>
      </c>
      <c r="F796" s="55" t="s">
        <v>311</v>
      </c>
    </row>
    <row r="797">
      <c r="A797" s="136"/>
      <c r="B797" s="54"/>
      <c r="C797" s="55" t="s">
        <v>311</v>
      </c>
      <c r="D797" s="55" t="s">
        <v>311</v>
      </c>
      <c r="E797" s="55" t="s">
        <v>311</v>
      </c>
      <c r="F797" s="55" t="s">
        <v>311</v>
      </c>
    </row>
    <row r="798">
      <c r="A798" s="136"/>
      <c r="B798" s="54"/>
      <c r="C798" s="55" t="s">
        <v>311</v>
      </c>
      <c r="D798" s="55" t="s">
        <v>311</v>
      </c>
      <c r="E798" s="55" t="s">
        <v>311</v>
      </c>
      <c r="F798" s="55" t="s">
        <v>311</v>
      </c>
    </row>
    <row r="799">
      <c r="A799" s="136"/>
      <c r="B799" s="54"/>
      <c r="C799" s="55" t="s">
        <v>311</v>
      </c>
      <c r="D799" s="55" t="s">
        <v>311</v>
      </c>
      <c r="E799" s="55" t="s">
        <v>311</v>
      </c>
      <c r="F799" s="55" t="s">
        <v>311</v>
      </c>
    </row>
    <row r="800">
      <c r="A800" s="136"/>
      <c r="B800" s="54"/>
      <c r="C800" s="55" t="s">
        <v>311</v>
      </c>
      <c r="D800" s="55" t="s">
        <v>311</v>
      </c>
      <c r="E800" s="55" t="s">
        <v>311</v>
      </c>
      <c r="F800" s="55" t="s">
        <v>311</v>
      </c>
    </row>
    <row r="801">
      <c r="A801" s="136"/>
      <c r="B801" s="54"/>
      <c r="C801" s="55" t="s">
        <v>311</v>
      </c>
      <c r="D801" s="55" t="s">
        <v>311</v>
      </c>
      <c r="E801" s="55" t="s">
        <v>311</v>
      </c>
      <c r="F801" s="55" t="s">
        <v>311</v>
      </c>
    </row>
    <row r="802">
      <c r="A802" s="136"/>
      <c r="B802" s="54"/>
      <c r="C802" s="55" t="s">
        <v>311</v>
      </c>
      <c r="D802" s="55" t="s">
        <v>311</v>
      </c>
      <c r="E802" s="55" t="s">
        <v>311</v>
      </c>
      <c r="F802" s="55" t="s">
        <v>311</v>
      </c>
    </row>
    <row r="803">
      <c r="A803" s="136"/>
      <c r="B803" s="54"/>
      <c r="C803" s="55" t="s">
        <v>311</v>
      </c>
      <c r="D803" s="55" t="s">
        <v>311</v>
      </c>
      <c r="E803" s="55" t="s">
        <v>311</v>
      </c>
      <c r="F803" s="55" t="s">
        <v>311</v>
      </c>
    </row>
    <row r="804">
      <c r="A804" s="136"/>
      <c r="B804" s="54"/>
      <c r="C804" s="55" t="s">
        <v>311</v>
      </c>
      <c r="D804" s="55" t="s">
        <v>311</v>
      </c>
      <c r="E804" s="55" t="s">
        <v>311</v>
      </c>
      <c r="F804" s="55" t="s">
        <v>311</v>
      </c>
    </row>
    <row r="805">
      <c r="A805" s="136"/>
      <c r="B805" s="54"/>
      <c r="C805" s="55" t="s">
        <v>311</v>
      </c>
      <c r="D805" s="55" t="s">
        <v>311</v>
      </c>
      <c r="E805" s="55" t="s">
        <v>311</v>
      </c>
      <c r="F805" s="55" t="s">
        <v>311</v>
      </c>
    </row>
    <row r="806">
      <c r="A806" s="136"/>
      <c r="B806" s="54"/>
      <c r="C806" s="55" t="s">
        <v>311</v>
      </c>
      <c r="D806" s="55" t="s">
        <v>311</v>
      </c>
      <c r="E806" s="55" t="s">
        <v>311</v>
      </c>
      <c r="F806" s="55" t="s">
        <v>311</v>
      </c>
    </row>
    <row r="807">
      <c r="A807" s="136"/>
      <c r="B807" s="54"/>
      <c r="C807" s="55" t="s">
        <v>311</v>
      </c>
      <c r="D807" s="55" t="s">
        <v>311</v>
      </c>
      <c r="E807" s="55" t="s">
        <v>311</v>
      </c>
      <c r="F807" s="55" t="s">
        <v>311</v>
      </c>
    </row>
    <row r="808">
      <c r="A808" s="136"/>
      <c r="B808" s="54"/>
      <c r="C808" s="55" t="s">
        <v>311</v>
      </c>
      <c r="D808" s="55" t="s">
        <v>311</v>
      </c>
      <c r="E808" s="55" t="s">
        <v>311</v>
      </c>
      <c r="F808" s="55" t="s">
        <v>311</v>
      </c>
    </row>
    <row r="809">
      <c r="A809" s="136"/>
      <c r="B809" s="54"/>
      <c r="C809" s="55" t="s">
        <v>311</v>
      </c>
      <c r="D809" s="55" t="s">
        <v>311</v>
      </c>
      <c r="E809" s="55" t="s">
        <v>311</v>
      </c>
      <c r="F809" s="55" t="s">
        <v>311</v>
      </c>
    </row>
    <row r="810">
      <c r="A810" s="136"/>
      <c r="B810" s="54"/>
      <c r="C810" s="55" t="s">
        <v>311</v>
      </c>
      <c r="D810" s="55" t="s">
        <v>311</v>
      </c>
      <c r="E810" s="55" t="s">
        <v>311</v>
      </c>
      <c r="F810" s="55" t="s">
        <v>311</v>
      </c>
    </row>
    <row r="811">
      <c r="A811" s="136"/>
      <c r="B811" s="54"/>
      <c r="C811" s="55" t="s">
        <v>311</v>
      </c>
      <c r="D811" s="55" t="s">
        <v>311</v>
      </c>
      <c r="E811" s="55" t="s">
        <v>311</v>
      </c>
      <c r="F811" s="55" t="s">
        <v>311</v>
      </c>
    </row>
    <row r="812">
      <c r="A812" s="136"/>
      <c r="B812" s="54"/>
      <c r="C812" s="55" t="s">
        <v>311</v>
      </c>
      <c r="D812" s="55" t="s">
        <v>311</v>
      </c>
      <c r="E812" s="55" t="s">
        <v>311</v>
      </c>
      <c r="F812" s="55" t="s">
        <v>311</v>
      </c>
    </row>
    <row r="813">
      <c r="A813" s="136"/>
      <c r="B813" s="54"/>
      <c r="C813" s="55" t="s">
        <v>311</v>
      </c>
      <c r="D813" s="55" t="s">
        <v>311</v>
      </c>
      <c r="E813" s="55" t="s">
        <v>311</v>
      </c>
      <c r="F813" s="55" t="s">
        <v>311</v>
      </c>
    </row>
    <row r="814">
      <c r="A814" s="136"/>
      <c r="B814" s="54"/>
      <c r="C814" s="55" t="s">
        <v>311</v>
      </c>
      <c r="D814" s="55" t="s">
        <v>311</v>
      </c>
      <c r="E814" s="55" t="s">
        <v>311</v>
      </c>
      <c r="F814" s="55" t="s">
        <v>311</v>
      </c>
    </row>
    <row r="815">
      <c r="A815" s="136"/>
      <c r="B815" s="54"/>
      <c r="C815" s="55" t="s">
        <v>311</v>
      </c>
      <c r="D815" s="55" t="s">
        <v>311</v>
      </c>
      <c r="E815" s="55" t="s">
        <v>311</v>
      </c>
      <c r="F815" s="55" t="s">
        <v>311</v>
      </c>
    </row>
    <row r="816">
      <c r="A816" s="136"/>
      <c r="B816" s="54"/>
      <c r="C816" s="55" t="s">
        <v>311</v>
      </c>
      <c r="D816" s="55" t="s">
        <v>311</v>
      </c>
      <c r="E816" s="55" t="s">
        <v>311</v>
      </c>
      <c r="F816" s="55" t="s">
        <v>311</v>
      </c>
    </row>
    <row r="817">
      <c r="A817" s="136"/>
      <c r="B817" s="54"/>
      <c r="C817" s="55" t="s">
        <v>311</v>
      </c>
      <c r="D817" s="55" t="s">
        <v>311</v>
      </c>
      <c r="E817" s="55" t="s">
        <v>311</v>
      </c>
      <c r="F817" s="55" t="s">
        <v>311</v>
      </c>
    </row>
    <row r="818">
      <c r="A818" s="136"/>
      <c r="B818" s="54"/>
      <c r="C818" s="55" t="s">
        <v>311</v>
      </c>
      <c r="D818" s="55" t="s">
        <v>311</v>
      </c>
      <c r="E818" s="55" t="s">
        <v>311</v>
      </c>
      <c r="F818" s="55" t="s">
        <v>311</v>
      </c>
    </row>
    <row r="819">
      <c r="A819" s="136"/>
      <c r="B819" s="54"/>
      <c r="C819" s="55" t="s">
        <v>311</v>
      </c>
      <c r="D819" s="55" t="s">
        <v>311</v>
      </c>
      <c r="E819" s="55" t="s">
        <v>311</v>
      </c>
      <c r="F819" s="55" t="s">
        <v>311</v>
      </c>
    </row>
    <row r="820">
      <c r="A820" s="136"/>
      <c r="B820" s="54"/>
      <c r="C820" s="55" t="s">
        <v>311</v>
      </c>
      <c r="D820" s="55" t="s">
        <v>311</v>
      </c>
      <c r="E820" s="55" t="s">
        <v>311</v>
      </c>
      <c r="F820" s="55" t="s">
        <v>311</v>
      </c>
    </row>
    <row r="821">
      <c r="A821" s="136"/>
      <c r="B821" s="54"/>
      <c r="C821" s="55" t="s">
        <v>311</v>
      </c>
      <c r="D821" s="55" t="s">
        <v>311</v>
      </c>
      <c r="E821" s="55" t="s">
        <v>311</v>
      </c>
      <c r="F821" s="55" t="s">
        <v>311</v>
      </c>
    </row>
    <row r="822">
      <c r="A822" s="136"/>
      <c r="B822" s="54"/>
      <c r="C822" s="55" t="s">
        <v>311</v>
      </c>
      <c r="D822" s="55" t="s">
        <v>311</v>
      </c>
      <c r="E822" s="55" t="s">
        <v>311</v>
      </c>
      <c r="F822" s="55" t="s">
        <v>311</v>
      </c>
    </row>
    <row r="823">
      <c r="A823" s="136"/>
      <c r="B823" s="54"/>
      <c r="C823" s="55" t="s">
        <v>311</v>
      </c>
      <c r="D823" s="55" t="s">
        <v>311</v>
      </c>
      <c r="E823" s="55" t="s">
        <v>311</v>
      </c>
      <c r="F823" s="55" t="s">
        <v>311</v>
      </c>
    </row>
    <row r="824">
      <c r="A824" s="136"/>
      <c r="B824" s="54"/>
      <c r="C824" s="55" t="s">
        <v>311</v>
      </c>
      <c r="D824" s="55" t="s">
        <v>311</v>
      </c>
      <c r="E824" s="55" t="s">
        <v>311</v>
      </c>
      <c r="F824" s="55" t="s">
        <v>311</v>
      </c>
    </row>
    <row r="825">
      <c r="A825" s="136"/>
      <c r="B825" s="54"/>
      <c r="C825" s="55" t="s">
        <v>311</v>
      </c>
      <c r="D825" s="55" t="s">
        <v>311</v>
      </c>
      <c r="E825" s="55" t="s">
        <v>311</v>
      </c>
      <c r="F825" s="55" t="s">
        <v>311</v>
      </c>
    </row>
    <row r="826">
      <c r="A826" s="136"/>
      <c r="B826" s="54"/>
      <c r="C826" s="55" t="s">
        <v>311</v>
      </c>
      <c r="D826" s="55" t="s">
        <v>311</v>
      </c>
      <c r="E826" s="55" t="s">
        <v>311</v>
      </c>
      <c r="F826" s="55" t="s">
        <v>311</v>
      </c>
    </row>
    <row r="827">
      <c r="A827" s="136"/>
      <c r="B827" s="54"/>
      <c r="C827" s="55" t="s">
        <v>311</v>
      </c>
      <c r="D827" s="55" t="s">
        <v>311</v>
      </c>
      <c r="E827" s="55" t="s">
        <v>311</v>
      </c>
      <c r="F827" s="55" t="s">
        <v>311</v>
      </c>
    </row>
    <row r="828">
      <c r="A828" s="136"/>
      <c r="B828" s="54"/>
      <c r="C828" s="55" t="s">
        <v>311</v>
      </c>
      <c r="D828" s="55" t="s">
        <v>311</v>
      </c>
      <c r="E828" s="55" t="s">
        <v>311</v>
      </c>
      <c r="F828" s="55" t="s">
        <v>311</v>
      </c>
    </row>
    <row r="829">
      <c r="A829" s="136"/>
      <c r="B829" s="54"/>
      <c r="C829" s="55" t="s">
        <v>311</v>
      </c>
      <c r="D829" s="55" t="s">
        <v>311</v>
      </c>
      <c r="E829" s="55" t="s">
        <v>311</v>
      </c>
      <c r="F829" s="55" t="s">
        <v>311</v>
      </c>
    </row>
    <row r="830">
      <c r="A830" s="136"/>
      <c r="B830" s="54"/>
      <c r="C830" s="55" t="s">
        <v>311</v>
      </c>
      <c r="D830" s="55" t="s">
        <v>311</v>
      </c>
      <c r="E830" s="55" t="s">
        <v>311</v>
      </c>
      <c r="F830" s="55" t="s">
        <v>311</v>
      </c>
    </row>
    <row r="831">
      <c r="A831" s="136"/>
      <c r="B831" s="54"/>
      <c r="C831" s="55" t="s">
        <v>311</v>
      </c>
      <c r="D831" s="55" t="s">
        <v>311</v>
      </c>
      <c r="E831" s="55" t="s">
        <v>311</v>
      </c>
      <c r="F831" s="55" t="s">
        <v>311</v>
      </c>
    </row>
    <row r="832">
      <c r="A832" s="136"/>
      <c r="B832" s="54"/>
      <c r="C832" s="55" t="s">
        <v>311</v>
      </c>
      <c r="D832" s="55" t="s">
        <v>311</v>
      </c>
      <c r="E832" s="55" t="s">
        <v>311</v>
      </c>
      <c r="F832" s="55" t="s">
        <v>311</v>
      </c>
    </row>
    <row r="833">
      <c r="A833" s="136"/>
      <c r="B833" s="54"/>
      <c r="C833" s="55" t="s">
        <v>311</v>
      </c>
      <c r="D833" s="55" t="s">
        <v>311</v>
      </c>
      <c r="E833" s="55" t="s">
        <v>311</v>
      </c>
      <c r="F833" s="55" t="s">
        <v>311</v>
      </c>
    </row>
    <row r="834">
      <c r="A834" s="136"/>
      <c r="B834" s="54"/>
      <c r="C834" s="55" t="s">
        <v>311</v>
      </c>
      <c r="D834" s="55" t="s">
        <v>311</v>
      </c>
      <c r="E834" s="55" t="s">
        <v>311</v>
      </c>
      <c r="F834" s="55" t="s">
        <v>311</v>
      </c>
    </row>
    <row r="835">
      <c r="A835" s="136"/>
      <c r="B835" s="54"/>
      <c r="C835" s="55" t="s">
        <v>311</v>
      </c>
      <c r="D835" s="55" t="s">
        <v>311</v>
      </c>
      <c r="E835" s="55" t="s">
        <v>311</v>
      </c>
      <c r="F835" s="55" t="s">
        <v>311</v>
      </c>
    </row>
    <row r="836">
      <c r="A836" s="136"/>
      <c r="B836" s="54"/>
      <c r="C836" s="55" t="s">
        <v>311</v>
      </c>
      <c r="D836" s="55" t="s">
        <v>311</v>
      </c>
      <c r="E836" s="55" t="s">
        <v>311</v>
      </c>
      <c r="F836" s="55" t="s">
        <v>311</v>
      </c>
    </row>
    <row r="837">
      <c r="A837" s="136"/>
      <c r="B837" s="54"/>
      <c r="C837" s="55" t="s">
        <v>311</v>
      </c>
      <c r="D837" s="55" t="s">
        <v>311</v>
      </c>
      <c r="E837" s="55" t="s">
        <v>311</v>
      </c>
      <c r="F837" s="55" t="s">
        <v>311</v>
      </c>
    </row>
    <row r="838">
      <c r="A838" s="136"/>
      <c r="B838" s="54"/>
      <c r="C838" s="55" t="s">
        <v>311</v>
      </c>
      <c r="D838" s="55" t="s">
        <v>311</v>
      </c>
      <c r="E838" s="55" t="s">
        <v>311</v>
      </c>
      <c r="F838" s="55" t="s">
        <v>311</v>
      </c>
    </row>
    <row r="839">
      <c r="A839" s="136"/>
      <c r="B839" s="54"/>
      <c r="C839" s="55" t="s">
        <v>311</v>
      </c>
      <c r="D839" s="55" t="s">
        <v>311</v>
      </c>
      <c r="E839" s="55" t="s">
        <v>311</v>
      </c>
      <c r="F839" s="55" t="s">
        <v>311</v>
      </c>
    </row>
    <row r="840">
      <c r="A840" s="136"/>
      <c r="B840" s="54"/>
      <c r="C840" s="55" t="s">
        <v>311</v>
      </c>
      <c r="D840" s="55" t="s">
        <v>311</v>
      </c>
      <c r="E840" s="55" t="s">
        <v>311</v>
      </c>
      <c r="F840" s="55" t="s">
        <v>311</v>
      </c>
    </row>
    <row r="841">
      <c r="A841" s="136"/>
      <c r="B841" s="54"/>
      <c r="C841" s="55" t="s">
        <v>311</v>
      </c>
      <c r="D841" s="55" t="s">
        <v>311</v>
      </c>
      <c r="E841" s="55" t="s">
        <v>311</v>
      </c>
      <c r="F841" s="55" t="s">
        <v>311</v>
      </c>
    </row>
    <row r="842">
      <c r="A842" s="136"/>
      <c r="B842" s="54"/>
      <c r="C842" s="55" t="s">
        <v>311</v>
      </c>
      <c r="D842" s="55" t="s">
        <v>311</v>
      </c>
      <c r="E842" s="55" t="s">
        <v>311</v>
      </c>
      <c r="F842" s="55" t="s">
        <v>311</v>
      </c>
    </row>
    <row r="843">
      <c r="A843" s="136"/>
      <c r="B843" s="54"/>
      <c r="C843" s="55" t="s">
        <v>311</v>
      </c>
      <c r="D843" s="55" t="s">
        <v>311</v>
      </c>
      <c r="E843" s="55" t="s">
        <v>311</v>
      </c>
      <c r="F843" s="55" t="s">
        <v>311</v>
      </c>
    </row>
    <row r="844">
      <c r="A844" s="136"/>
      <c r="B844" s="54"/>
      <c r="C844" s="55" t="s">
        <v>311</v>
      </c>
      <c r="D844" s="55" t="s">
        <v>311</v>
      </c>
      <c r="E844" s="55" t="s">
        <v>311</v>
      </c>
      <c r="F844" s="55" t="s">
        <v>311</v>
      </c>
    </row>
    <row r="845">
      <c r="A845" s="136"/>
      <c r="B845" s="54"/>
      <c r="C845" s="55" t="s">
        <v>311</v>
      </c>
      <c r="D845" s="55" t="s">
        <v>311</v>
      </c>
      <c r="E845" s="55" t="s">
        <v>311</v>
      </c>
      <c r="F845" s="55" t="s">
        <v>311</v>
      </c>
    </row>
    <row r="846">
      <c r="A846" s="136"/>
      <c r="B846" s="54"/>
      <c r="C846" s="55" t="s">
        <v>311</v>
      </c>
      <c r="D846" s="55" t="s">
        <v>311</v>
      </c>
      <c r="E846" s="55" t="s">
        <v>311</v>
      </c>
      <c r="F846" s="55" t="s">
        <v>311</v>
      </c>
    </row>
    <row r="847">
      <c r="A847" s="136"/>
      <c r="B847" s="54"/>
      <c r="C847" s="55" t="s">
        <v>311</v>
      </c>
      <c r="D847" s="55" t="s">
        <v>311</v>
      </c>
      <c r="E847" s="55" t="s">
        <v>311</v>
      </c>
      <c r="F847" s="55" t="s">
        <v>311</v>
      </c>
    </row>
    <row r="848">
      <c r="A848" s="136"/>
      <c r="B848" s="54"/>
      <c r="C848" s="55" t="s">
        <v>311</v>
      </c>
      <c r="D848" s="55" t="s">
        <v>311</v>
      </c>
      <c r="E848" s="55" t="s">
        <v>311</v>
      </c>
      <c r="F848" s="55" t="s">
        <v>311</v>
      </c>
    </row>
    <row r="849">
      <c r="A849" s="136"/>
      <c r="B849" s="54"/>
      <c r="C849" s="55" t="s">
        <v>311</v>
      </c>
      <c r="D849" s="55" t="s">
        <v>311</v>
      </c>
      <c r="E849" s="55" t="s">
        <v>311</v>
      </c>
      <c r="F849" s="55" t="s">
        <v>311</v>
      </c>
    </row>
    <row r="850">
      <c r="A850" s="136"/>
      <c r="B850" s="54"/>
      <c r="C850" s="55" t="s">
        <v>311</v>
      </c>
      <c r="D850" s="55" t="s">
        <v>311</v>
      </c>
      <c r="E850" s="55" t="s">
        <v>311</v>
      </c>
      <c r="F850" s="55" t="s">
        <v>311</v>
      </c>
    </row>
    <row r="851">
      <c r="A851" s="136"/>
      <c r="B851" s="54"/>
      <c r="C851" s="55" t="s">
        <v>311</v>
      </c>
      <c r="D851" s="55" t="s">
        <v>311</v>
      </c>
      <c r="E851" s="55" t="s">
        <v>311</v>
      </c>
      <c r="F851" s="55" t="s">
        <v>311</v>
      </c>
    </row>
    <row r="852">
      <c r="A852" s="136"/>
      <c r="B852" s="54"/>
      <c r="C852" s="55" t="s">
        <v>311</v>
      </c>
      <c r="D852" s="55" t="s">
        <v>311</v>
      </c>
      <c r="E852" s="55" t="s">
        <v>311</v>
      </c>
      <c r="F852" s="55" t="s">
        <v>311</v>
      </c>
    </row>
    <row r="853">
      <c r="A853" s="136"/>
      <c r="B853" s="54"/>
      <c r="C853" s="55" t="s">
        <v>311</v>
      </c>
      <c r="D853" s="55" t="s">
        <v>311</v>
      </c>
      <c r="E853" s="55" t="s">
        <v>311</v>
      </c>
      <c r="F853" s="55" t="s">
        <v>311</v>
      </c>
    </row>
    <row r="854">
      <c r="A854" s="136"/>
      <c r="B854" s="54"/>
      <c r="C854" s="55" t="s">
        <v>311</v>
      </c>
      <c r="D854" s="55" t="s">
        <v>311</v>
      </c>
      <c r="E854" s="55" t="s">
        <v>311</v>
      </c>
      <c r="F854" s="55" t="s">
        <v>311</v>
      </c>
    </row>
    <row r="855">
      <c r="A855" s="136"/>
      <c r="B855" s="54"/>
      <c r="C855" s="55" t="s">
        <v>311</v>
      </c>
      <c r="D855" s="55" t="s">
        <v>311</v>
      </c>
      <c r="E855" s="55" t="s">
        <v>311</v>
      </c>
      <c r="F855" s="55" t="s">
        <v>311</v>
      </c>
    </row>
    <row r="856">
      <c r="A856" s="136"/>
      <c r="B856" s="54"/>
      <c r="C856" s="55" t="s">
        <v>311</v>
      </c>
      <c r="D856" s="55" t="s">
        <v>311</v>
      </c>
      <c r="E856" s="55" t="s">
        <v>311</v>
      </c>
      <c r="F856" s="55" t="s">
        <v>311</v>
      </c>
    </row>
    <row r="857">
      <c r="A857" s="136"/>
      <c r="B857" s="54"/>
      <c r="C857" s="55" t="s">
        <v>311</v>
      </c>
      <c r="D857" s="55" t="s">
        <v>311</v>
      </c>
      <c r="E857" s="55" t="s">
        <v>311</v>
      </c>
      <c r="F857" s="55" t="s">
        <v>311</v>
      </c>
    </row>
    <row r="858">
      <c r="A858" s="136"/>
      <c r="B858" s="54"/>
      <c r="C858" s="55" t="s">
        <v>311</v>
      </c>
      <c r="D858" s="55" t="s">
        <v>311</v>
      </c>
      <c r="E858" s="55" t="s">
        <v>311</v>
      </c>
      <c r="F858" s="55" t="s">
        <v>311</v>
      </c>
    </row>
    <row r="859">
      <c r="A859" s="136"/>
      <c r="B859" s="54"/>
      <c r="C859" s="55" t="s">
        <v>311</v>
      </c>
      <c r="D859" s="55" t="s">
        <v>311</v>
      </c>
      <c r="E859" s="55" t="s">
        <v>311</v>
      </c>
      <c r="F859" s="55" t="s">
        <v>311</v>
      </c>
    </row>
    <row r="860">
      <c r="A860" s="136"/>
      <c r="B860" s="54"/>
      <c r="C860" s="55" t="s">
        <v>311</v>
      </c>
      <c r="D860" s="55" t="s">
        <v>311</v>
      </c>
      <c r="E860" s="55" t="s">
        <v>311</v>
      </c>
      <c r="F860" s="55" t="s">
        <v>311</v>
      </c>
    </row>
    <row r="861">
      <c r="A861" s="136"/>
      <c r="B861" s="54"/>
      <c r="C861" s="55" t="s">
        <v>311</v>
      </c>
      <c r="D861" s="55" t="s">
        <v>311</v>
      </c>
      <c r="E861" s="55" t="s">
        <v>311</v>
      </c>
      <c r="F861" s="55" t="s">
        <v>311</v>
      </c>
    </row>
    <row r="862">
      <c r="A862" s="136"/>
      <c r="B862" s="54"/>
      <c r="C862" s="55" t="s">
        <v>311</v>
      </c>
      <c r="D862" s="55" t="s">
        <v>311</v>
      </c>
      <c r="E862" s="55" t="s">
        <v>311</v>
      </c>
      <c r="F862" s="55" t="s">
        <v>311</v>
      </c>
    </row>
    <row r="863">
      <c r="A863" s="136"/>
      <c r="B863" s="54"/>
      <c r="C863" s="55" t="s">
        <v>311</v>
      </c>
      <c r="D863" s="55" t="s">
        <v>311</v>
      </c>
      <c r="E863" s="55" t="s">
        <v>311</v>
      </c>
      <c r="F863" s="55" t="s">
        <v>311</v>
      </c>
    </row>
    <row r="864">
      <c r="A864" s="136"/>
      <c r="B864" s="54"/>
      <c r="C864" s="55" t="s">
        <v>311</v>
      </c>
      <c r="D864" s="55" t="s">
        <v>311</v>
      </c>
      <c r="E864" s="55" t="s">
        <v>311</v>
      </c>
      <c r="F864" s="55" t="s">
        <v>311</v>
      </c>
    </row>
    <row r="865">
      <c r="A865" s="136"/>
      <c r="B865" s="54"/>
      <c r="C865" s="55" t="s">
        <v>311</v>
      </c>
      <c r="D865" s="55" t="s">
        <v>311</v>
      </c>
      <c r="E865" s="55" t="s">
        <v>311</v>
      </c>
      <c r="F865" s="55" t="s">
        <v>311</v>
      </c>
    </row>
    <row r="866">
      <c r="A866" s="136"/>
      <c r="B866" s="54"/>
      <c r="C866" s="55" t="s">
        <v>311</v>
      </c>
      <c r="D866" s="55" t="s">
        <v>311</v>
      </c>
      <c r="E866" s="55" t="s">
        <v>311</v>
      </c>
      <c r="F866" s="55" t="s">
        <v>311</v>
      </c>
    </row>
    <row r="867">
      <c r="A867" s="136"/>
      <c r="B867" s="54"/>
      <c r="C867" s="55" t="s">
        <v>311</v>
      </c>
      <c r="D867" s="55" t="s">
        <v>311</v>
      </c>
      <c r="E867" s="55" t="s">
        <v>311</v>
      </c>
      <c r="F867" s="55" t="s">
        <v>311</v>
      </c>
    </row>
    <row r="868">
      <c r="A868" s="136"/>
      <c r="B868" s="54"/>
      <c r="C868" s="55" t="s">
        <v>311</v>
      </c>
      <c r="D868" s="55" t="s">
        <v>311</v>
      </c>
      <c r="E868" s="55" t="s">
        <v>311</v>
      </c>
      <c r="F868" s="55" t="s">
        <v>311</v>
      </c>
    </row>
    <row r="869">
      <c r="A869" s="136"/>
      <c r="B869" s="54"/>
      <c r="C869" s="55" t="s">
        <v>311</v>
      </c>
      <c r="D869" s="55" t="s">
        <v>311</v>
      </c>
      <c r="E869" s="55" t="s">
        <v>311</v>
      </c>
      <c r="F869" s="55" t="s">
        <v>311</v>
      </c>
    </row>
    <row r="870">
      <c r="A870" s="136"/>
      <c r="B870" s="54"/>
      <c r="C870" s="55" t="s">
        <v>311</v>
      </c>
      <c r="D870" s="55" t="s">
        <v>311</v>
      </c>
      <c r="E870" s="55" t="s">
        <v>311</v>
      </c>
      <c r="F870" s="55" t="s">
        <v>311</v>
      </c>
    </row>
    <row r="871">
      <c r="A871" s="136"/>
      <c r="B871" s="54"/>
      <c r="C871" s="55" t="s">
        <v>311</v>
      </c>
      <c r="D871" s="55" t="s">
        <v>311</v>
      </c>
      <c r="E871" s="55" t="s">
        <v>311</v>
      </c>
      <c r="F871" s="55" t="s">
        <v>311</v>
      </c>
    </row>
    <row r="872">
      <c r="A872" s="136"/>
      <c r="B872" s="54"/>
      <c r="C872" s="55" t="s">
        <v>311</v>
      </c>
      <c r="D872" s="55" t="s">
        <v>311</v>
      </c>
      <c r="E872" s="55" t="s">
        <v>311</v>
      </c>
      <c r="F872" s="55" t="s">
        <v>311</v>
      </c>
    </row>
    <row r="873">
      <c r="A873" s="136"/>
      <c r="B873" s="54"/>
      <c r="C873" s="55" t="s">
        <v>311</v>
      </c>
      <c r="D873" s="55" t="s">
        <v>311</v>
      </c>
      <c r="E873" s="55" t="s">
        <v>311</v>
      </c>
      <c r="F873" s="55" t="s">
        <v>311</v>
      </c>
    </row>
    <row r="874">
      <c r="A874" s="136"/>
      <c r="B874" s="54"/>
      <c r="C874" s="55" t="s">
        <v>311</v>
      </c>
      <c r="D874" s="55" t="s">
        <v>311</v>
      </c>
      <c r="E874" s="55" t="s">
        <v>311</v>
      </c>
      <c r="F874" s="55" t="s">
        <v>311</v>
      </c>
    </row>
    <row r="875">
      <c r="A875" s="136"/>
      <c r="B875" s="54"/>
      <c r="C875" s="55" t="s">
        <v>311</v>
      </c>
      <c r="D875" s="55" t="s">
        <v>311</v>
      </c>
      <c r="E875" s="55" t="s">
        <v>311</v>
      </c>
      <c r="F875" s="55" t="s">
        <v>311</v>
      </c>
    </row>
    <row r="876">
      <c r="A876" s="136"/>
      <c r="B876" s="54"/>
      <c r="C876" s="55" t="s">
        <v>311</v>
      </c>
      <c r="D876" s="55" t="s">
        <v>311</v>
      </c>
      <c r="E876" s="55" t="s">
        <v>311</v>
      </c>
      <c r="F876" s="55" t="s">
        <v>311</v>
      </c>
    </row>
    <row r="877">
      <c r="A877" s="136"/>
      <c r="B877" s="54"/>
      <c r="C877" s="55" t="s">
        <v>311</v>
      </c>
      <c r="D877" s="55" t="s">
        <v>311</v>
      </c>
      <c r="E877" s="55" t="s">
        <v>311</v>
      </c>
      <c r="F877" s="55" t="s">
        <v>311</v>
      </c>
    </row>
    <row r="878">
      <c r="A878" s="136"/>
      <c r="B878" s="54"/>
      <c r="C878" s="55" t="s">
        <v>311</v>
      </c>
      <c r="D878" s="55" t="s">
        <v>311</v>
      </c>
      <c r="E878" s="55" t="s">
        <v>311</v>
      </c>
      <c r="F878" s="55" t="s">
        <v>311</v>
      </c>
    </row>
    <row r="879">
      <c r="A879" s="136"/>
      <c r="B879" s="54"/>
      <c r="C879" s="55" t="s">
        <v>311</v>
      </c>
      <c r="D879" s="55" t="s">
        <v>311</v>
      </c>
      <c r="E879" s="55" t="s">
        <v>311</v>
      </c>
      <c r="F879" s="55" t="s">
        <v>311</v>
      </c>
    </row>
    <row r="880">
      <c r="A880" s="136"/>
      <c r="B880" s="54"/>
      <c r="C880" s="55" t="s">
        <v>311</v>
      </c>
      <c r="D880" s="55" t="s">
        <v>311</v>
      </c>
      <c r="E880" s="55" t="s">
        <v>311</v>
      </c>
      <c r="F880" s="55" t="s">
        <v>311</v>
      </c>
    </row>
    <row r="881">
      <c r="A881" s="136"/>
      <c r="B881" s="54"/>
      <c r="C881" s="55" t="s">
        <v>311</v>
      </c>
      <c r="D881" s="55" t="s">
        <v>311</v>
      </c>
      <c r="E881" s="55" t="s">
        <v>311</v>
      </c>
      <c r="F881" s="55" t="s">
        <v>311</v>
      </c>
    </row>
    <row r="882">
      <c r="A882" s="136"/>
      <c r="B882" s="54"/>
      <c r="C882" s="55" t="s">
        <v>311</v>
      </c>
      <c r="D882" s="55" t="s">
        <v>311</v>
      </c>
      <c r="E882" s="55" t="s">
        <v>311</v>
      </c>
      <c r="F882" s="55" t="s">
        <v>311</v>
      </c>
    </row>
    <row r="883">
      <c r="A883" s="136"/>
      <c r="B883" s="54"/>
      <c r="C883" s="55" t="s">
        <v>311</v>
      </c>
      <c r="D883" s="55" t="s">
        <v>311</v>
      </c>
      <c r="E883" s="55" t="s">
        <v>311</v>
      </c>
      <c r="F883" s="55" t="s">
        <v>311</v>
      </c>
    </row>
    <row r="884">
      <c r="A884" s="136"/>
      <c r="B884" s="54"/>
      <c r="C884" s="55" t="s">
        <v>311</v>
      </c>
      <c r="D884" s="55" t="s">
        <v>311</v>
      </c>
      <c r="E884" s="55" t="s">
        <v>311</v>
      </c>
      <c r="F884" s="55" t="s">
        <v>311</v>
      </c>
    </row>
    <row r="885">
      <c r="A885" s="136"/>
      <c r="B885" s="54"/>
      <c r="C885" s="55" t="s">
        <v>311</v>
      </c>
      <c r="D885" s="55" t="s">
        <v>311</v>
      </c>
      <c r="E885" s="55" t="s">
        <v>311</v>
      </c>
      <c r="F885" s="55" t="s">
        <v>311</v>
      </c>
    </row>
    <row r="886">
      <c r="A886" s="136"/>
      <c r="B886" s="54"/>
      <c r="C886" s="55" t="s">
        <v>311</v>
      </c>
      <c r="D886" s="55" t="s">
        <v>311</v>
      </c>
      <c r="E886" s="55" t="s">
        <v>311</v>
      </c>
      <c r="F886" s="55" t="s">
        <v>311</v>
      </c>
    </row>
    <row r="887">
      <c r="A887" s="136"/>
      <c r="B887" s="54"/>
      <c r="C887" s="55" t="s">
        <v>311</v>
      </c>
      <c r="D887" s="55" t="s">
        <v>311</v>
      </c>
      <c r="E887" s="55" t="s">
        <v>311</v>
      </c>
      <c r="F887" s="55" t="s">
        <v>311</v>
      </c>
    </row>
    <row r="888">
      <c r="A888" s="136"/>
      <c r="B888" s="54"/>
      <c r="C888" s="55" t="s">
        <v>311</v>
      </c>
      <c r="D888" s="55" t="s">
        <v>311</v>
      </c>
      <c r="E888" s="55" t="s">
        <v>311</v>
      </c>
      <c r="F888" s="55" t="s">
        <v>311</v>
      </c>
    </row>
    <row r="889">
      <c r="A889" s="136"/>
      <c r="B889" s="54"/>
      <c r="C889" s="55" t="s">
        <v>311</v>
      </c>
      <c r="D889" s="55" t="s">
        <v>311</v>
      </c>
      <c r="E889" s="55" t="s">
        <v>311</v>
      </c>
      <c r="F889" s="55" t="s">
        <v>311</v>
      </c>
    </row>
    <row r="890">
      <c r="A890" s="136"/>
      <c r="B890" s="54"/>
      <c r="C890" s="55" t="s">
        <v>311</v>
      </c>
      <c r="D890" s="55" t="s">
        <v>311</v>
      </c>
      <c r="E890" s="55" t="s">
        <v>311</v>
      </c>
      <c r="F890" s="55" t="s">
        <v>311</v>
      </c>
    </row>
    <row r="891">
      <c r="A891" s="136"/>
      <c r="B891" s="54"/>
      <c r="C891" s="55" t="s">
        <v>311</v>
      </c>
      <c r="D891" s="55" t="s">
        <v>311</v>
      </c>
      <c r="E891" s="55" t="s">
        <v>311</v>
      </c>
      <c r="F891" s="55" t="s">
        <v>311</v>
      </c>
    </row>
    <row r="892">
      <c r="A892" s="136"/>
      <c r="B892" s="54"/>
      <c r="C892" s="55" t="s">
        <v>311</v>
      </c>
      <c r="D892" s="55" t="s">
        <v>311</v>
      </c>
      <c r="E892" s="55" t="s">
        <v>311</v>
      </c>
      <c r="F892" s="55" t="s">
        <v>311</v>
      </c>
    </row>
    <row r="893">
      <c r="A893" s="136"/>
      <c r="B893" s="54"/>
      <c r="C893" s="55" t="s">
        <v>311</v>
      </c>
      <c r="D893" s="55" t="s">
        <v>311</v>
      </c>
      <c r="E893" s="55" t="s">
        <v>311</v>
      </c>
      <c r="F893" s="55" t="s">
        <v>311</v>
      </c>
    </row>
    <row r="894">
      <c r="A894" s="136"/>
      <c r="B894" s="54"/>
      <c r="C894" s="55" t="s">
        <v>311</v>
      </c>
      <c r="D894" s="55" t="s">
        <v>311</v>
      </c>
      <c r="E894" s="55" t="s">
        <v>311</v>
      </c>
      <c r="F894" s="55" t="s">
        <v>311</v>
      </c>
    </row>
    <row r="895">
      <c r="A895" s="136"/>
      <c r="B895" s="54"/>
      <c r="C895" s="55" t="s">
        <v>311</v>
      </c>
      <c r="D895" s="55" t="s">
        <v>311</v>
      </c>
      <c r="E895" s="55" t="s">
        <v>311</v>
      </c>
      <c r="F895" s="55" t="s">
        <v>311</v>
      </c>
    </row>
    <row r="896">
      <c r="A896" s="136"/>
      <c r="B896" s="54"/>
      <c r="C896" s="55" t="s">
        <v>311</v>
      </c>
      <c r="D896" s="55" t="s">
        <v>311</v>
      </c>
      <c r="E896" s="55" t="s">
        <v>311</v>
      </c>
      <c r="F896" s="55" t="s">
        <v>311</v>
      </c>
    </row>
    <row r="897">
      <c r="A897" s="136"/>
      <c r="B897" s="54"/>
      <c r="C897" s="55" t="s">
        <v>311</v>
      </c>
      <c r="D897" s="55" t="s">
        <v>311</v>
      </c>
      <c r="E897" s="55" t="s">
        <v>311</v>
      </c>
      <c r="F897" s="55" t="s">
        <v>311</v>
      </c>
    </row>
    <row r="898">
      <c r="A898" s="136"/>
      <c r="B898" s="54"/>
      <c r="C898" s="55" t="s">
        <v>311</v>
      </c>
      <c r="D898" s="55" t="s">
        <v>311</v>
      </c>
      <c r="E898" s="55" t="s">
        <v>311</v>
      </c>
      <c r="F898" s="55" t="s">
        <v>311</v>
      </c>
    </row>
    <row r="899">
      <c r="A899" s="136"/>
      <c r="B899" s="54"/>
      <c r="C899" s="55" t="s">
        <v>311</v>
      </c>
      <c r="D899" s="55" t="s">
        <v>311</v>
      </c>
      <c r="E899" s="55" t="s">
        <v>311</v>
      </c>
      <c r="F899" s="55" t="s">
        <v>311</v>
      </c>
    </row>
    <row r="900">
      <c r="A900" s="136"/>
      <c r="B900" s="54"/>
      <c r="C900" s="55" t="s">
        <v>311</v>
      </c>
      <c r="D900" s="55" t="s">
        <v>311</v>
      </c>
      <c r="E900" s="55" t="s">
        <v>311</v>
      </c>
      <c r="F900" s="55" t="s">
        <v>311</v>
      </c>
    </row>
    <row r="901">
      <c r="A901" s="136"/>
      <c r="B901" s="54"/>
      <c r="C901" s="55" t="s">
        <v>311</v>
      </c>
      <c r="D901" s="55" t="s">
        <v>311</v>
      </c>
      <c r="E901" s="55" t="s">
        <v>311</v>
      </c>
      <c r="F901" s="55" t="s">
        <v>311</v>
      </c>
    </row>
    <row r="902">
      <c r="A902" s="136"/>
      <c r="B902" s="54"/>
      <c r="C902" s="55" t="s">
        <v>311</v>
      </c>
      <c r="D902" s="55" t="s">
        <v>311</v>
      </c>
      <c r="E902" s="55" t="s">
        <v>311</v>
      </c>
      <c r="F902" s="55" t="s">
        <v>311</v>
      </c>
    </row>
    <row r="903">
      <c r="A903" s="136"/>
      <c r="B903" s="54"/>
      <c r="C903" s="55" t="s">
        <v>311</v>
      </c>
      <c r="D903" s="55" t="s">
        <v>311</v>
      </c>
      <c r="E903" s="55" t="s">
        <v>311</v>
      </c>
      <c r="F903" s="55" t="s">
        <v>311</v>
      </c>
    </row>
    <row r="904">
      <c r="A904" s="136"/>
      <c r="B904" s="54"/>
      <c r="C904" s="55" t="s">
        <v>311</v>
      </c>
      <c r="D904" s="55" t="s">
        <v>311</v>
      </c>
      <c r="E904" s="55" t="s">
        <v>311</v>
      </c>
      <c r="F904" s="55" t="s">
        <v>311</v>
      </c>
    </row>
    <row r="905">
      <c r="A905" s="136"/>
      <c r="B905" s="54"/>
      <c r="C905" s="55" t="s">
        <v>311</v>
      </c>
      <c r="D905" s="55" t="s">
        <v>311</v>
      </c>
      <c r="E905" s="55" t="s">
        <v>311</v>
      </c>
      <c r="F905" s="55" t="s">
        <v>311</v>
      </c>
    </row>
    <row r="906">
      <c r="A906" s="136"/>
      <c r="B906" s="54"/>
      <c r="C906" s="55" t="s">
        <v>311</v>
      </c>
      <c r="D906" s="55" t="s">
        <v>311</v>
      </c>
      <c r="E906" s="55" t="s">
        <v>311</v>
      </c>
      <c r="F906" s="55" t="s">
        <v>311</v>
      </c>
    </row>
    <row r="907">
      <c r="A907" s="136"/>
      <c r="B907" s="54"/>
      <c r="C907" s="55" t="s">
        <v>311</v>
      </c>
      <c r="D907" s="55" t="s">
        <v>311</v>
      </c>
      <c r="E907" s="55" t="s">
        <v>311</v>
      </c>
      <c r="F907" s="55" t="s">
        <v>311</v>
      </c>
    </row>
    <row r="908">
      <c r="A908" s="136"/>
      <c r="B908" s="54"/>
      <c r="C908" s="55" t="s">
        <v>311</v>
      </c>
      <c r="D908" s="55" t="s">
        <v>311</v>
      </c>
      <c r="E908" s="55" t="s">
        <v>311</v>
      </c>
      <c r="F908" s="55" t="s">
        <v>311</v>
      </c>
    </row>
    <row r="909">
      <c r="A909" s="136"/>
      <c r="B909" s="54"/>
      <c r="C909" s="55" t="s">
        <v>311</v>
      </c>
      <c r="D909" s="55" t="s">
        <v>311</v>
      </c>
      <c r="E909" s="55" t="s">
        <v>311</v>
      </c>
      <c r="F909" s="55" t="s">
        <v>311</v>
      </c>
    </row>
    <row r="910">
      <c r="A910" s="136"/>
      <c r="B910" s="54"/>
      <c r="C910" s="55" t="s">
        <v>311</v>
      </c>
      <c r="D910" s="55" t="s">
        <v>311</v>
      </c>
      <c r="E910" s="55" t="s">
        <v>311</v>
      </c>
      <c r="F910" s="55" t="s">
        <v>311</v>
      </c>
    </row>
    <row r="911">
      <c r="A911" s="136"/>
      <c r="B911" s="54"/>
      <c r="C911" s="55" t="s">
        <v>311</v>
      </c>
      <c r="D911" s="55" t="s">
        <v>311</v>
      </c>
      <c r="E911" s="55" t="s">
        <v>311</v>
      </c>
      <c r="F911" s="55" t="s">
        <v>311</v>
      </c>
    </row>
    <row r="912">
      <c r="A912" s="136"/>
      <c r="B912" s="54"/>
      <c r="C912" s="55" t="s">
        <v>311</v>
      </c>
      <c r="D912" s="55" t="s">
        <v>311</v>
      </c>
      <c r="E912" s="55" t="s">
        <v>311</v>
      </c>
      <c r="F912" s="55" t="s">
        <v>311</v>
      </c>
    </row>
    <row r="913">
      <c r="A913" s="136"/>
      <c r="B913" s="54"/>
      <c r="C913" s="55" t="s">
        <v>311</v>
      </c>
      <c r="D913" s="55" t="s">
        <v>311</v>
      </c>
      <c r="E913" s="55" t="s">
        <v>311</v>
      </c>
      <c r="F913" s="55" t="s">
        <v>311</v>
      </c>
    </row>
    <row r="914">
      <c r="A914" s="136"/>
      <c r="B914" s="54"/>
      <c r="C914" s="55" t="s">
        <v>311</v>
      </c>
      <c r="D914" s="55" t="s">
        <v>311</v>
      </c>
      <c r="E914" s="55" t="s">
        <v>311</v>
      </c>
      <c r="F914" s="55" t="s">
        <v>311</v>
      </c>
    </row>
    <row r="915">
      <c r="A915" s="136"/>
      <c r="B915" s="54"/>
      <c r="C915" s="55" t="s">
        <v>311</v>
      </c>
      <c r="D915" s="55" t="s">
        <v>311</v>
      </c>
      <c r="E915" s="55" t="s">
        <v>311</v>
      </c>
      <c r="F915" s="55" t="s">
        <v>311</v>
      </c>
    </row>
    <row r="916">
      <c r="A916" s="136"/>
      <c r="B916" s="54"/>
      <c r="C916" s="55" t="s">
        <v>311</v>
      </c>
      <c r="D916" s="55" t="s">
        <v>311</v>
      </c>
      <c r="E916" s="55" t="s">
        <v>311</v>
      </c>
      <c r="F916" s="55" t="s">
        <v>311</v>
      </c>
    </row>
    <row r="917">
      <c r="A917" s="136"/>
      <c r="B917" s="54"/>
      <c r="C917" s="55" t="s">
        <v>311</v>
      </c>
      <c r="D917" s="55" t="s">
        <v>311</v>
      </c>
      <c r="E917" s="55" t="s">
        <v>311</v>
      </c>
      <c r="F917" s="55" t="s">
        <v>311</v>
      </c>
    </row>
    <row r="918">
      <c r="A918" s="136"/>
      <c r="B918" s="54"/>
      <c r="C918" s="55" t="s">
        <v>311</v>
      </c>
      <c r="D918" s="55" t="s">
        <v>311</v>
      </c>
      <c r="E918" s="55" t="s">
        <v>311</v>
      </c>
      <c r="F918" s="55" t="s">
        <v>311</v>
      </c>
    </row>
    <row r="919">
      <c r="A919" s="136"/>
      <c r="B919" s="54"/>
      <c r="C919" s="55" t="s">
        <v>311</v>
      </c>
      <c r="D919" s="55" t="s">
        <v>311</v>
      </c>
      <c r="E919" s="55" t="s">
        <v>311</v>
      </c>
      <c r="F919" s="55" t="s">
        <v>311</v>
      </c>
    </row>
    <row r="920">
      <c r="A920" s="136"/>
      <c r="B920" s="54"/>
      <c r="C920" s="55" t="s">
        <v>311</v>
      </c>
      <c r="D920" s="55" t="s">
        <v>311</v>
      </c>
      <c r="E920" s="55" t="s">
        <v>311</v>
      </c>
      <c r="F920" s="55" t="s">
        <v>311</v>
      </c>
    </row>
    <row r="921">
      <c r="A921" s="136"/>
      <c r="B921" s="54"/>
      <c r="C921" s="55" t="s">
        <v>311</v>
      </c>
      <c r="D921" s="55" t="s">
        <v>311</v>
      </c>
      <c r="E921" s="55" t="s">
        <v>311</v>
      </c>
      <c r="F921" s="55" t="s">
        <v>311</v>
      </c>
    </row>
    <row r="922">
      <c r="A922" s="136"/>
      <c r="B922" s="54"/>
      <c r="C922" s="55" t="s">
        <v>311</v>
      </c>
      <c r="D922" s="55" t="s">
        <v>311</v>
      </c>
      <c r="E922" s="55" t="s">
        <v>311</v>
      </c>
      <c r="F922" s="55" t="s">
        <v>311</v>
      </c>
    </row>
    <row r="923">
      <c r="A923" s="136"/>
      <c r="B923" s="54"/>
      <c r="C923" s="55" t="s">
        <v>311</v>
      </c>
      <c r="D923" s="55" t="s">
        <v>311</v>
      </c>
      <c r="E923" s="55" t="s">
        <v>311</v>
      </c>
      <c r="F923" s="55" t="s">
        <v>311</v>
      </c>
    </row>
    <row r="924">
      <c r="A924" s="136"/>
      <c r="B924" s="54"/>
      <c r="C924" s="55" t="s">
        <v>311</v>
      </c>
      <c r="D924" s="55" t="s">
        <v>311</v>
      </c>
      <c r="E924" s="55" t="s">
        <v>311</v>
      </c>
      <c r="F924" s="55" t="s">
        <v>311</v>
      </c>
    </row>
    <row r="925">
      <c r="A925" s="136"/>
      <c r="B925" s="54"/>
      <c r="C925" s="55" t="s">
        <v>311</v>
      </c>
      <c r="D925" s="55" t="s">
        <v>311</v>
      </c>
      <c r="E925" s="55" t="s">
        <v>311</v>
      </c>
      <c r="F925" s="55" t="s">
        <v>311</v>
      </c>
    </row>
    <row r="926">
      <c r="A926" s="136"/>
      <c r="B926" s="54"/>
      <c r="C926" s="55" t="s">
        <v>311</v>
      </c>
      <c r="D926" s="55" t="s">
        <v>311</v>
      </c>
      <c r="E926" s="55" t="s">
        <v>311</v>
      </c>
      <c r="F926" s="55" t="s">
        <v>311</v>
      </c>
    </row>
    <row r="927">
      <c r="A927" s="136"/>
      <c r="B927" s="54"/>
      <c r="C927" s="55" t="s">
        <v>311</v>
      </c>
      <c r="D927" s="55" t="s">
        <v>311</v>
      </c>
      <c r="E927" s="55" t="s">
        <v>311</v>
      </c>
      <c r="F927" s="55" t="s">
        <v>311</v>
      </c>
    </row>
    <row r="928">
      <c r="A928" s="136"/>
      <c r="B928" s="54"/>
      <c r="C928" s="55" t="s">
        <v>311</v>
      </c>
      <c r="D928" s="55" t="s">
        <v>311</v>
      </c>
      <c r="E928" s="55" t="s">
        <v>311</v>
      </c>
      <c r="F928" s="55" t="s">
        <v>311</v>
      </c>
    </row>
    <row r="929">
      <c r="A929" s="136"/>
      <c r="B929" s="54"/>
      <c r="C929" s="55" t="s">
        <v>311</v>
      </c>
      <c r="D929" s="55" t="s">
        <v>311</v>
      </c>
      <c r="E929" s="55" t="s">
        <v>311</v>
      </c>
      <c r="F929" s="55" t="s">
        <v>311</v>
      </c>
    </row>
    <row r="930">
      <c r="A930" s="136"/>
      <c r="B930" s="54"/>
      <c r="C930" s="55" t="s">
        <v>311</v>
      </c>
      <c r="D930" s="55" t="s">
        <v>311</v>
      </c>
      <c r="E930" s="55" t="s">
        <v>311</v>
      </c>
      <c r="F930" s="55" t="s">
        <v>311</v>
      </c>
    </row>
    <row r="931">
      <c r="A931" s="136"/>
      <c r="B931" s="54"/>
      <c r="C931" s="55" t="s">
        <v>311</v>
      </c>
      <c r="D931" s="55" t="s">
        <v>311</v>
      </c>
      <c r="E931" s="55" t="s">
        <v>311</v>
      </c>
      <c r="F931" s="55" t="s">
        <v>311</v>
      </c>
    </row>
    <row r="932">
      <c r="A932" s="136"/>
      <c r="B932" s="54"/>
      <c r="C932" s="55" t="s">
        <v>311</v>
      </c>
      <c r="D932" s="55" t="s">
        <v>311</v>
      </c>
      <c r="E932" s="55" t="s">
        <v>311</v>
      </c>
      <c r="F932" s="55" t="s">
        <v>311</v>
      </c>
    </row>
    <row r="933">
      <c r="A933" s="136"/>
      <c r="B933" s="54"/>
      <c r="C933" s="55" t="s">
        <v>311</v>
      </c>
      <c r="D933" s="55" t="s">
        <v>311</v>
      </c>
      <c r="E933" s="55" t="s">
        <v>311</v>
      </c>
      <c r="F933" s="55" t="s">
        <v>311</v>
      </c>
    </row>
    <row r="934">
      <c r="A934" s="136"/>
      <c r="B934" s="54"/>
      <c r="C934" s="55" t="s">
        <v>311</v>
      </c>
      <c r="D934" s="55" t="s">
        <v>311</v>
      </c>
      <c r="E934" s="55" t="s">
        <v>311</v>
      </c>
      <c r="F934" s="55" t="s">
        <v>311</v>
      </c>
    </row>
    <row r="935">
      <c r="A935" s="136"/>
      <c r="B935" s="54"/>
      <c r="C935" s="55" t="s">
        <v>311</v>
      </c>
      <c r="D935" s="55" t="s">
        <v>311</v>
      </c>
      <c r="E935" s="55" t="s">
        <v>311</v>
      </c>
      <c r="F935" s="55" t="s">
        <v>311</v>
      </c>
    </row>
    <row r="936">
      <c r="A936" s="136"/>
      <c r="B936" s="54"/>
      <c r="C936" s="55" t="s">
        <v>311</v>
      </c>
      <c r="D936" s="55" t="s">
        <v>311</v>
      </c>
      <c r="E936" s="55" t="s">
        <v>311</v>
      </c>
      <c r="F936" s="55" t="s">
        <v>311</v>
      </c>
    </row>
    <row r="937">
      <c r="A937" s="136"/>
      <c r="B937" s="54"/>
      <c r="C937" s="55" t="s">
        <v>311</v>
      </c>
      <c r="D937" s="55" t="s">
        <v>311</v>
      </c>
      <c r="E937" s="55" t="s">
        <v>311</v>
      </c>
      <c r="F937" s="55" t="s">
        <v>311</v>
      </c>
    </row>
    <row r="938">
      <c r="A938" s="136"/>
      <c r="B938" s="54"/>
      <c r="C938" s="55" t="s">
        <v>311</v>
      </c>
      <c r="D938" s="55" t="s">
        <v>311</v>
      </c>
      <c r="E938" s="55" t="s">
        <v>311</v>
      </c>
      <c r="F938" s="55" t="s">
        <v>311</v>
      </c>
    </row>
    <row r="939">
      <c r="A939" s="136"/>
      <c r="B939" s="54"/>
      <c r="C939" s="55" t="s">
        <v>311</v>
      </c>
      <c r="D939" s="55" t="s">
        <v>311</v>
      </c>
      <c r="E939" s="55" t="s">
        <v>311</v>
      </c>
      <c r="F939" s="55" t="s">
        <v>311</v>
      </c>
    </row>
    <row r="940">
      <c r="A940" s="136"/>
      <c r="B940" s="54"/>
      <c r="C940" s="55" t="s">
        <v>311</v>
      </c>
      <c r="D940" s="55" t="s">
        <v>311</v>
      </c>
      <c r="E940" s="55" t="s">
        <v>311</v>
      </c>
      <c r="F940" s="55" t="s">
        <v>311</v>
      </c>
    </row>
    <row r="941">
      <c r="A941" s="136"/>
      <c r="B941" s="54"/>
      <c r="C941" s="55" t="s">
        <v>311</v>
      </c>
      <c r="D941" s="55" t="s">
        <v>311</v>
      </c>
      <c r="E941" s="55" t="s">
        <v>311</v>
      </c>
      <c r="F941" s="55" t="s">
        <v>311</v>
      </c>
    </row>
    <row r="942">
      <c r="A942" s="136"/>
      <c r="B942" s="54"/>
      <c r="C942" s="55" t="s">
        <v>311</v>
      </c>
      <c r="D942" s="55" t="s">
        <v>311</v>
      </c>
      <c r="E942" s="55" t="s">
        <v>311</v>
      </c>
      <c r="F942" s="55" t="s">
        <v>311</v>
      </c>
    </row>
    <row r="943">
      <c r="A943" s="136"/>
      <c r="B943" s="54"/>
      <c r="C943" s="55" t="s">
        <v>311</v>
      </c>
      <c r="D943" s="55" t="s">
        <v>311</v>
      </c>
      <c r="E943" s="55" t="s">
        <v>311</v>
      </c>
      <c r="F943" s="55" t="s">
        <v>311</v>
      </c>
    </row>
    <row r="944">
      <c r="A944" s="136"/>
      <c r="B944" s="54"/>
      <c r="C944" s="55" t="s">
        <v>311</v>
      </c>
      <c r="D944" s="55" t="s">
        <v>311</v>
      </c>
      <c r="E944" s="55" t="s">
        <v>311</v>
      </c>
      <c r="F944" s="55" t="s">
        <v>311</v>
      </c>
    </row>
    <row r="945">
      <c r="A945" s="136"/>
      <c r="B945" s="54"/>
      <c r="C945" s="55" t="s">
        <v>311</v>
      </c>
      <c r="D945" s="55" t="s">
        <v>311</v>
      </c>
      <c r="E945" s="55" t="s">
        <v>311</v>
      </c>
      <c r="F945" s="55" t="s">
        <v>311</v>
      </c>
    </row>
    <row r="946">
      <c r="A946" s="136"/>
      <c r="B946" s="54"/>
      <c r="C946" s="55" t="s">
        <v>311</v>
      </c>
      <c r="D946" s="55" t="s">
        <v>311</v>
      </c>
      <c r="E946" s="55" t="s">
        <v>311</v>
      </c>
      <c r="F946" s="55" t="s">
        <v>311</v>
      </c>
    </row>
    <row r="947">
      <c r="A947" s="136"/>
      <c r="B947" s="54"/>
      <c r="C947" s="55" t="s">
        <v>311</v>
      </c>
      <c r="D947" s="55" t="s">
        <v>311</v>
      </c>
      <c r="E947" s="55" t="s">
        <v>311</v>
      </c>
      <c r="F947" s="55" t="s">
        <v>311</v>
      </c>
    </row>
    <row r="948">
      <c r="A948" s="136"/>
      <c r="B948" s="54"/>
      <c r="C948" s="55" t="s">
        <v>311</v>
      </c>
      <c r="D948" s="55" t="s">
        <v>311</v>
      </c>
      <c r="E948" s="55" t="s">
        <v>311</v>
      </c>
      <c r="F948" s="55" t="s">
        <v>311</v>
      </c>
    </row>
    <row r="949">
      <c r="A949" s="136"/>
      <c r="B949" s="54"/>
      <c r="C949" s="55" t="s">
        <v>311</v>
      </c>
      <c r="D949" s="55" t="s">
        <v>311</v>
      </c>
      <c r="E949" s="55" t="s">
        <v>311</v>
      </c>
      <c r="F949" s="55" t="s">
        <v>311</v>
      </c>
    </row>
    <row r="950">
      <c r="A950" s="136"/>
      <c r="B950" s="54"/>
      <c r="C950" s="55" t="s">
        <v>311</v>
      </c>
      <c r="D950" s="55" t="s">
        <v>311</v>
      </c>
      <c r="E950" s="55" t="s">
        <v>311</v>
      </c>
      <c r="F950" s="55" t="s">
        <v>311</v>
      </c>
    </row>
    <row r="951">
      <c r="A951" s="136"/>
      <c r="B951" s="54"/>
      <c r="C951" s="55" t="s">
        <v>311</v>
      </c>
      <c r="D951" s="55" t="s">
        <v>311</v>
      </c>
      <c r="E951" s="55" t="s">
        <v>311</v>
      </c>
      <c r="F951" s="55" t="s">
        <v>311</v>
      </c>
    </row>
    <row r="952">
      <c r="A952" s="136"/>
      <c r="B952" s="54"/>
      <c r="C952" s="55" t="s">
        <v>311</v>
      </c>
      <c r="D952" s="55" t="s">
        <v>311</v>
      </c>
      <c r="E952" s="55" t="s">
        <v>311</v>
      </c>
      <c r="F952" s="55" t="s">
        <v>311</v>
      </c>
    </row>
    <row r="953">
      <c r="A953" s="136"/>
      <c r="B953" s="54"/>
      <c r="C953" s="55" t="s">
        <v>311</v>
      </c>
      <c r="D953" s="55" t="s">
        <v>311</v>
      </c>
      <c r="E953" s="55" t="s">
        <v>311</v>
      </c>
      <c r="F953" s="55" t="s">
        <v>311</v>
      </c>
    </row>
    <row r="954">
      <c r="A954" s="136"/>
      <c r="B954" s="54"/>
      <c r="C954" s="55" t="s">
        <v>311</v>
      </c>
      <c r="D954" s="55" t="s">
        <v>311</v>
      </c>
      <c r="E954" s="55" t="s">
        <v>311</v>
      </c>
      <c r="F954" s="55" t="s">
        <v>311</v>
      </c>
    </row>
    <row r="955">
      <c r="A955" s="136"/>
      <c r="B955" s="54"/>
      <c r="C955" s="55" t="s">
        <v>311</v>
      </c>
      <c r="D955" s="55" t="s">
        <v>311</v>
      </c>
      <c r="E955" s="55" t="s">
        <v>311</v>
      </c>
      <c r="F955" s="55" t="s">
        <v>311</v>
      </c>
    </row>
    <row r="956">
      <c r="A956" s="136"/>
      <c r="B956" s="54"/>
      <c r="C956" s="55" t="s">
        <v>311</v>
      </c>
      <c r="D956" s="55" t="s">
        <v>311</v>
      </c>
      <c r="E956" s="55" t="s">
        <v>311</v>
      </c>
      <c r="F956" s="55" t="s">
        <v>311</v>
      </c>
    </row>
    <row r="957">
      <c r="A957" s="136"/>
      <c r="B957" s="54"/>
      <c r="C957" s="55" t="s">
        <v>311</v>
      </c>
      <c r="D957" s="55" t="s">
        <v>311</v>
      </c>
      <c r="E957" s="55" t="s">
        <v>311</v>
      </c>
      <c r="F957" s="55" t="s">
        <v>311</v>
      </c>
    </row>
    <row r="958">
      <c r="A958" s="136"/>
      <c r="B958" s="54"/>
      <c r="C958" s="55" t="s">
        <v>311</v>
      </c>
      <c r="D958" s="55" t="s">
        <v>311</v>
      </c>
      <c r="E958" s="55" t="s">
        <v>311</v>
      </c>
      <c r="F958" s="55" t="s">
        <v>311</v>
      </c>
    </row>
    <row r="959">
      <c r="A959" s="136"/>
      <c r="B959" s="54"/>
      <c r="C959" s="55" t="s">
        <v>311</v>
      </c>
      <c r="D959" s="55" t="s">
        <v>311</v>
      </c>
      <c r="E959" s="55" t="s">
        <v>311</v>
      </c>
      <c r="F959" s="55" t="s">
        <v>311</v>
      </c>
    </row>
    <row r="960">
      <c r="A960" s="136"/>
      <c r="B960" s="54"/>
      <c r="C960" s="55" t="s">
        <v>311</v>
      </c>
      <c r="D960" s="55" t="s">
        <v>311</v>
      </c>
      <c r="E960" s="55" t="s">
        <v>311</v>
      </c>
      <c r="F960" s="55" t="s">
        <v>311</v>
      </c>
    </row>
    <row r="961">
      <c r="A961" s="136"/>
      <c r="B961" s="54"/>
      <c r="C961" s="55" t="s">
        <v>311</v>
      </c>
      <c r="D961" s="55" t="s">
        <v>311</v>
      </c>
      <c r="E961" s="55" t="s">
        <v>311</v>
      </c>
      <c r="F961" s="55" t="s">
        <v>311</v>
      </c>
    </row>
    <row r="962">
      <c r="A962" s="136"/>
      <c r="B962" s="54"/>
      <c r="C962" s="55" t="s">
        <v>311</v>
      </c>
      <c r="D962" s="55" t="s">
        <v>311</v>
      </c>
      <c r="E962" s="55" t="s">
        <v>311</v>
      </c>
      <c r="F962" s="55" t="s">
        <v>311</v>
      </c>
    </row>
    <row r="963">
      <c r="A963" s="136"/>
      <c r="B963" s="54"/>
      <c r="C963" s="55" t="s">
        <v>311</v>
      </c>
      <c r="D963" s="55" t="s">
        <v>311</v>
      </c>
      <c r="E963" s="55" t="s">
        <v>311</v>
      </c>
      <c r="F963" s="55" t="s">
        <v>311</v>
      </c>
    </row>
    <row r="964">
      <c r="A964" s="136"/>
      <c r="B964" s="54"/>
      <c r="C964" s="55" t="s">
        <v>311</v>
      </c>
      <c r="D964" s="55" t="s">
        <v>311</v>
      </c>
      <c r="E964" s="55" t="s">
        <v>311</v>
      </c>
      <c r="F964" s="55" t="s">
        <v>311</v>
      </c>
    </row>
    <row r="965">
      <c r="A965" s="136"/>
      <c r="B965" s="54"/>
      <c r="C965" s="55" t="s">
        <v>311</v>
      </c>
      <c r="D965" s="55" t="s">
        <v>311</v>
      </c>
      <c r="E965" s="55" t="s">
        <v>311</v>
      </c>
      <c r="F965" s="55" t="s">
        <v>311</v>
      </c>
    </row>
    <row r="966">
      <c r="A966" s="136"/>
      <c r="B966" s="54"/>
      <c r="C966" s="55" t="s">
        <v>311</v>
      </c>
      <c r="D966" s="55" t="s">
        <v>311</v>
      </c>
      <c r="E966" s="55" t="s">
        <v>311</v>
      </c>
      <c r="F966" s="55" t="s">
        <v>311</v>
      </c>
    </row>
    <row r="967">
      <c r="A967" s="136"/>
      <c r="B967" s="54"/>
      <c r="C967" s="55" t="s">
        <v>311</v>
      </c>
      <c r="D967" s="55" t="s">
        <v>311</v>
      </c>
      <c r="E967" s="55" t="s">
        <v>311</v>
      </c>
      <c r="F967" s="55" t="s">
        <v>311</v>
      </c>
    </row>
    <row r="968">
      <c r="A968" s="136"/>
      <c r="B968" s="54"/>
      <c r="C968" s="55" t="s">
        <v>311</v>
      </c>
      <c r="D968" s="55" t="s">
        <v>311</v>
      </c>
      <c r="E968" s="55" t="s">
        <v>311</v>
      </c>
      <c r="F968" s="55" t="s">
        <v>311</v>
      </c>
    </row>
    <row r="969">
      <c r="A969" s="136"/>
      <c r="B969" s="54"/>
      <c r="C969" s="55" t="s">
        <v>311</v>
      </c>
      <c r="D969" s="55" t="s">
        <v>311</v>
      </c>
      <c r="E969" s="55" t="s">
        <v>311</v>
      </c>
      <c r="F969" s="55" t="s">
        <v>311</v>
      </c>
    </row>
    <row r="970">
      <c r="A970" s="136"/>
      <c r="B970" s="54"/>
      <c r="C970" s="55" t="s">
        <v>311</v>
      </c>
      <c r="D970" s="55" t="s">
        <v>311</v>
      </c>
      <c r="E970" s="55" t="s">
        <v>311</v>
      </c>
      <c r="F970" s="55" t="s">
        <v>311</v>
      </c>
    </row>
    <row r="971">
      <c r="A971" s="136"/>
      <c r="B971" s="54"/>
      <c r="C971" s="55" t="s">
        <v>311</v>
      </c>
      <c r="D971" s="55" t="s">
        <v>311</v>
      </c>
      <c r="E971" s="55" t="s">
        <v>311</v>
      </c>
      <c r="F971" s="55" t="s">
        <v>311</v>
      </c>
    </row>
    <row r="972">
      <c r="A972" s="136"/>
      <c r="B972" s="54"/>
      <c r="C972" s="55" t="s">
        <v>311</v>
      </c>
      <c r="D972" s="55" t="s">
        <v>311</v>
      </c>
      <c r="E972" s="55" t="s">
        <v>311</v>
      </c>
      <c r="F972" s="55" t="s">
        <v>311</v>
      </c>
    </row>
    <row r="973">
      <c r="A973" s="136"/>
      <c r="B973" s="54"/>
      <c r="C973" s="55" t="s">
        <v>311</v>
      </c>
      <c r="D973" s="55" t="s">
        <v>311</v>
      </c>
      <c r="E973" s="55" t="s">
        <v>311</v>
      </c>
      <c r="F973" s="55" t="s">
        <v>311</v>
      </c>
    </row>
    <row r="974">
      <c r="A974" s="136"/>
      <c r="B974" s="54"/>
      <c r="C974" s="55" t="s">
        <v>311</v>
      </c>
      <c r="D974" s="55" t="s">
        <v>311</v>
      </c>
      <c r="E974" s="55" t="s">
        <v>311</v>
      </c>
      <c r="F974" s="55" t="s">
        <v>311</v>
      </c>
    </row>
    <row r="975">
      <c r="A975" s="136"/>
      <c r="B975" s="54"/>
      <c r="C975" s="55" t="s">
        <v>311</v>
      </c>
      <c r="D975" s="55" t="s">
        <v>311</v>
      </c>
      <c r="E975" s="55" t="s">
        <v>311</v>
      </c>
      <c r="F975" s="55" t="s">
        <v>311</v>
      </c>
    </row>
    <row r="976">
      <c r="A976" s="136"/>
      <c r="B976" s="54"/>
      <c r="C976" s="55" t="s">
        <v>311</v>
      </c>
      <c r="D976" s="55" t="s">
        <v>311</v>
      </c>
      <c r="E976" s="55" t="s">
        <v>311</v>
      </c>
      <c r="F976" s="55" t="s">
        <v>311</v>
      </c>
    </row>
    <row r="977">
      <c r="A977" s="136"/>
      <c r="B977" s="54"/>
      <c r="C977" s="55" t="s">
        <v>311</v>
      </c>
      <c r="D977" s="55" t="s">
        <v>311</v>
      </c>
      <c r="E977" s="55" t="s">
        <v>311</v>
      </c>
      <c r="F977" s="55" t="s">
        <v>311</v>
      </c>
    </row>
    <row r="978">
      <c r="A978" s="136"/>
      <c r="B978" s="54"/>
      <c r="C978" s="55" t="s">
        <v>311</v>
      </c>
      <c r="D978" s="55" t="s">
        <v>311</v>
      </c>
      <c r="E978" s="55" t="s">
        <v>311</v>
      </c>
      <c r="F978" s="55" t="s">
        <v>311</v>
      </c>
    </row>
    <row r="979">
      <c r="A979" s="136"/>
      <c r="B979" s="54"/>
      <c r="C979" s="55" t="s">
        <v>311</v>
      </c>
      <c r="D979" s="55" t="s">
        <v>311</v>
      </c>
      <c r="E979" s="55" t="s">
        <v>311</v>
      </c>
      <c r="F979" s="55" t="s">
        <v>311</v>
      </c>
    </row>
    <row r="980">
      <c r="A980" s="136"/>
      <c r="B980" s="54"/>
      <c r="C980" s="55" t="s">
        <v>311</v>
      </c>
      <c r="D980" s="55" t="s">
        <v>311</v>
      </c>
      <c r="E980" s="55" t="s">
        <v>311</v>
      </c>
      <c r="F980" s="55" t="s">
        <v>311</v>
      </c>
    </row>
    <row r="981">
      <c r="A981" s="136"/>
      <c r="B981" s="54"/>
      <c r="C981" s="55" t="s">
        <v>311</v>
      </c>
      <c r="D981" s="55" t="s">
        <v>311</v>
      </c>
      <c r="E981" s="55" t="s">
        <v>311</v>
      </c>
      <c r="F981" s="55" t="s">
        <v>311</v>
      </c>
    </row>
    <row r="982">
      <c r="A982" s="136"/>
      <c r="B982" s="54"/>
      <c r="C982" s="55" t="s">
        <v>311</v>
      </c>
      <c r="D982" s="55" t="s">
        <v>311</v>
      </c>
      <c r="E982" s="55" t="s">
        <v>311</v>
      </c>
      <c r="F982" s="55" t="s">
        <v>311</v>
      </c>
    </row>
    <row r="983">
      <c r="A983" s="136"/>
      <c r="B983" s="54"/>
      <c r="C983" s="55" t="s">
        <v>311</v>
      </c>
      <c r="D983" s="55" t="s">
        <v>311</v>
      </c>
      <c r="E983" s="55" t="s">
        <v>311</v>
      </c>
      <c r="F983" s="55" t="s">
        <v>311</v>
      </c>
    </row>
    <row r="984">
      <c r="A984" s="136"/>
      <c r="B984" s="54"/>
      <c r="C984" s="55" t="s">
        <v>311</v>
      </c>
      <c r="D984" s="55" t="s">
        <v>311</v>
      </c>
      <c r="E984" s="55" t="s">
        <v>311</v>
      </c>
      <c r="F984" s="55" t="s">
        <v>311</v>
      </c>
    </row>
    <row r="985">
      <c r="A985" s="136"/>
      <c r="B985" s="54"/>
      <c r="C985" s="55" t="s">
        <v>311</v>
      </c>
      <c r="D985" s="55" t="s">
        <v>311</v>
      </c>
      <c r="E985" s="55" t="s">
        <v>311</v>
      </c>
      <c r="F985" s="55" t="s">
        <v>311</v>
      </c>
    </row>
    <row r="986">
      <c r="A986" s="136"/>
      <c r="B986" s="54"/>
      <c r="C986" s="55" t="s">
        <v>311</v>
      </c>
      <c r="D986" s="55" t="s">
        <v>311</v>
      </c>
      <c r="E986" s="55" t="s">
        <v>311</v>
      </c>
      <c r="F986" s="55" t="s">
        <v>311</v>
      </c>
    </row>
    <row r="987">
      <c r="A987" s="136"/>
      <c r="B987" s="54"/>
      <c r="C987" s="55" t="s">
        <v>311</v>
      </c>
      <c r="D987" s="55" t="s">
        <v>311</v>
      </c>
      <c r="E987" s="55" t="s">
        <v>311</v>
      </c>
      <c r="F987" s="55" t="s">
        <v>311</v>
      </c>
    </row>
    <row r="988">
      <c r="A988" s="136"/>
      <c r="B988" s="54"/>
      <c r="C988" s="55" t="s">
        <v>311</v>
      </c>
      <c r="D988" s="55" t="s">
        <v>311</v>
      </c>
      <c r="E988" s="55" t="s">
        <v>311</v>
      </c>
      <c r="F988" s="55" t="s">
        <v>311</v>
      </c>
    </row>
    <row r="989">
      <c r="A989" s="136"/>
      <c r="B989" s="54"/>
      <c r="C989" s="55" t="s">
        <v>311</v>
      </c>
      <c r="D989" s="55" t="s">
        <v>311</v>
      </c>
      <c r="E989" s="55" t="s">
        <v>311</v>
      </c>
      <c r="F989" s="55" t="s">
        <v>311</v>
      </c>
    </row>
    <row r="990">
      <c r="A990" s="136"/>
      <c r="B990" s="54"/>
      <c r="C990" s="55" t="s">
        <v>311</v>
      </c>
      <c r="D990" s="55" t="s">
        <v>311</v>
      </c>
      <c r="E990" s="55" t="s">
        <v>311</v>
      </c>
      <c r="F990" s="55" t="s">
        <v>311</v>
      </c>
    </row>
    <row r="991">
      <c r="A991" s="136"/>
      <c r="B991" s="54"/>
      <c r="C991" s="55" t="s">
        <v>311</v>
      </c>
      <c r="D991" s="55" t="s">
        <v>311</v>
      </c>
      <c r="E991" s="55" t="s">
        <v>311</v>
      </c>
      <c r="F991" s="55" t="s">
        <v>311</v>
      </c>
    </row>
    <row r="992">
      <c r="A992" s="136"/>
      <c r="B992" s="54"/>
      <c r="C992" s="55" t="s">
        <v>311</v>
      </c>
      <c r="D992" s="55" t="s">
        <v>311</v>
      </c>
      <c r="E992" s="55" t="s">
        <v>311</v>
      </c>
      <c r="F992" s="55" t="s">
        <v>311</v>
      </c>
    </row>
    <row r="993">
      <c r="A993" s="136"/>
      <c r="B993" s="54"/>
      <c r="C993" s="55" t="s">
        <v>311</v>
      </c>
      <c r="D993" s="55" t="s">
        <v>311</v>
      </c>
      <c r="E993" s="55" t="s">
        <v>311</v>
      </c>
      <c r="F993" s="55" t="s">
        <v>311</v>
      </c>
    </row>
    <row r="994">
      <c r="A994" s="136"/>
      <c r="B994" s="54"/>
      <c r="C994" s="55" t="s">
        <v>311</v>
      </c>
      <c r="D994" s="55" t="s">
        <v>311</v>
      </c>
      <c r="E994" s="55" t="s">
        <v>311</v>
      </c>
      <c r="F994" s="55" t="s">
        <v>311</v>
      </c>
    </row>
    <row r="995">
      <c r="A995" s="136"/>
      <c r="B995" s="54"/>
      <c r="C995" s="55" t="s">
        <v>311</v>
      </c>
      <c r="D995" s="55" t="s">
        <v>311</v>
      </c>
      <c r="E995" s="55" t="s">
        <v>311</v>
      </c>
      <c r="F995" s="55" t="s">
        <v>311</v>
      </c>
    </row>
    <row r="996">
      <c r="A996" s="136"/>
      <c r="B996" s="54"/>
      <c r="C996" s="55" t="s">
        <v>311</v>
      </c>
      <c r="D996" s="55" t="s">
        <v>311</v>
      </c>
      <c r="E996" s="55" t="s">
        <v>311</v>
      </c>
      <c r="F996" s="55" t="s">
        <v>311</v>
      </c>
    </row>
    <row r="997">
      <c r="A997" s="136"/>
      <c r="B997" s="54"/>
      <c r="C997" s="55" t="s">
        <v>311</v>
      </c>
      <c r="D997" s="55" t="s">
        <v>311</v>
      </c>
      <c r="E997" s="55" t="s">
        <v>311</v>
      </c>
      <c r="F997" s="55" t="s">
        <v>311</v>
      </c>
    </row>
    <row r="998">
      <c r="A998" s="136"/>
      <c r="B998" s="54"/>
      <c r="C998" s="55" t="s">
        <v>311</v>
      </c>
      <c r="D998" s="55" t="s">
        <v>311</v>
      </c>
      <c r="E998" s="55" t="s">
        <v>311</v>
      </c>
      <c r="F998" s="55" t="s">
        <v>311</v>
      </c>
    </row>
    <row r="999">
      <c r="A999" s="136"/>
      <c r="B999" s="54"/>
      <c r="C999" s="55" t="s">
        <v>311</v>
      </c>
      <c r="D999" s="55" t="s">
        <v>311</v>
      </c>
      <c r="E999" s="55" t="s">
        <v>311</v>
      </c>
      <c r="F999" s="55" t="s">
        <v>311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2.43"/>
    <col customWidth="1" min="3" max="3" width="47.0"/>
    <col customWidth="1" min="4" max="6" width="8.71"/>
  </cols>
  <sheetData>
    <row r="1" ht="12.75" customHeight="1">
      <c r="A1" s="137" t="s">
        <v>33</v>
      </c>
      <c r="B1" s="138" t="s">
        <v>38</v>
      </c>
      <c r="C1" s="139" t="s">
        <v>312</v>
      </c>
    </row>
    <row r="2" ht="12.75" customHeight="1">
      <c r="A2" s="140" t="str">
        <f>IFERROR(__xludf.DUMMYFUNCTION("ARRAYFORMULA(QUERY(SPLIT({FLATTEN(Decisions!A2:A1000 &amp; ""♦"" &amp; SPLIT(Decisions!F2:F1000, "";""));FLATTEN(Softwares!A2:A1000 &amp; ""♦"" &amp; SPLIT(Softwares!F2:F1000, "";""));FLATTEN(Hardwares!A2:A1000 &amp; ""♦"" &amp; SPLIT(Hardwares!F2:F1000, "";""))},""♦""),""where "&amp;"Col1 is not null and Col2 is not null"",0))"),"8")</f>
        <v>8</v>
      </c>
      <c r="B2" s="141">
        <f>IFERROR(__xludf.DUMMYFUNCTION("""COMPUTED_VALUE"""),5.0)</f>
        <v>5</v>
      </c>
      <c r="C2" s="142" t="s">
        <v>313</v>
      </c>
    </row>
    <row r="3" ht="12.75" customHeight="1">
      <c r="A3" s="140" t="str">
        <f>IFERROR(__xludf.DUMMYFUNCTION("""COMPUTED_VALUE"""),"15")</f>
        <v>15</v>
      </c>
      <c r="B3" s="141">
        <f>IFERROR(__xludf.DUMMYFUNCTION("""COMPUTED_VALUE"""),6.0)</f>
        <v>6</v>
      </c>
      <c r="C3" s="143" t="s">
        <v>314</v>
      </c>
    </row>
    <row r="4" ht="12.75" customHeight="1">
      <c r="A4" s="140" t="str">
        <f>IFERROR(__xludf.DUMMYFUNCTION("""COMPUTED_VALUE"""),"15")</f>
        <v>15</v>
      </c>
      <c r="B4" s="141">
        <f>IFERROR(__xludf.DUMMYFUNCTION("""COMPUTED_VALUE"""),5.0)</f>
        <v>5</v>
      </c>
      <c r="C4" s="143" t="s">
        <v>315</v>
      </c>
    </row>
    <row r="5" ht="12.75" customHeight="1">
      <c r="A5" s="140" t="str">
        <f>IFERROR(__xludf.DUMMYFUNCTION("""COMPUTED_VALUE"""),"19")</f>
        <v>19</v>
      </c>
      <c r="B5" s="141">
        <f>IFERROR(__xludf.DUMMYFUNCTION("""COMPUTED_VALUE"""),14.0)</f>
        <v>14</v>
      </c>
      <c r="C5" s="143" t="s">
        <v>316</v>
      </c>
    </row>
    <row r="6" ht="12.75" customHeight="1">
      <c r="A6" s="140" t="str">
        <f>IFERROR(__xludf.DUMMYFUNCTION("""COMPUTED_VALUE"""),"19")</f>
        <v>19</v>
      </c>
      <c r="B6" s="141">
        <f>IFERROR(__xludf.DUMMYFUNCTION("""COMPUTED_VALUE"""),2.0)</f>
        <v>2</v>
      </c>
      <c r="C6" s="143" t="s">
        <v>317</v>
      </c>
    </row>
    <row r="7" ht="12.75" customHeight="1">
      <c r="A7" s="140" t="str">
        <f>IFERROR(__xludf.DUMMYFUNCTION("""COMPUTED_VALUE"""),"23")</f>
        <v>23</v>
      </c>
      <c r="B7" s="141">
        <f>IFERROR(__xludf.DUMMYFUNCTION("""COMPUTED_VALUE"""),5.0)</f>
        <v>5</v>
      </c>
      <c r="C7" s="144" t="s">
        <v>318</v>
      </c>
    </row>
    <row r="8" ht="12.75" customHeight="1">
      <c r="A8" s="140" t="str">
        <f>IFERROR(__xludf.DUMMYFUNCTION("""COMPUTED_VALUE"""),"23")</f>
        <v>23</v>
      </c>
      <c r="B8" s="141">
        <f>IFERROR(__xludf.DUMMYFUNCTION("""COMPUTED_VALUE"""),11.0)</f>
        <v>11</v>
      </c>
      <c r="C8" s="144" t="s">
        <v>319</v>
      </c>
    </row>
    <row r="9" ht="12.75" customHeight="1">
      <c r="A9" s="140" t="str">
        <f>IFERROR(__xludf.DUMMYFUNCTION("""COMPUTED_VALUE"""),"23")</f>
        <v>23</v>
      </c>
      <c r="B9" s="141">
        <f>IFERROR(__xludf.DUMMYFUNCTION("""COMPUTED_VALUE"""),17.0)</f>
        <v>17</v>
      </c>
      <c r="C9" s="144" t="s">
        <v>320</v>
      </c>
    </row>
    <row r="10" ht="12.75" customHeight="1">
      <c r="A10" s="140" t="str">
        <f>IFERROR(__xludf.DUMMYFUNCTION("""COMPUTED_VALUE"""),"27")</f>
        <v>27</v>
      </c>
      <c r="B10" s="141">
        <f>IFERROR(__xludf.DUMMYFUNCTION("""COMPUTED_VALUE"""),24.0)</f>
        <v>24</v>
      </c>
      <c r="C10" s="142" t="s">
        <v>321</v>
      </c>
    </row>
    <row r="11" ht="12.75" customHeight="1">
      <c r="A11" s="140" t="str">
        <f>IFERROR(__xludf.DUMMYFUNCTION("""COMPUTED_VALUE"""),"30")</f>
        <v>30</v>
      </c>
      <c r="B11" s="141">
        <f>IFERROR(__xludf.DUMMYFUNCTION("""COMPUTED_VALUE"""),29.0)</f>
        <v>29</v>
      </c>
      <c r="C11" s="143" t="s">
        <v>322</v>
      </c>
    </row>
    <row r="12" ht="12.75" customHeight="1">
      <c r="A12" s="140" t="str">
        <f>IFERROR(__xludf.DUMMYFUNCTION("""COMPUTED_VALUE"""),"30")</f>
        <v>30</v>
      </c>
      <c r="B12" s="141">
        <f>IFERROR(__xludf.DUMMYFUNCTION("""COMPUTED_VALUE"""),16.0)</f>
        <v>16</v>
      </c>
      <c r="C12" s="143" t="s">
        <v>323</v>
      </c>
    </row>
    <row r="13" ht="12.75" customHeight="1">
      <c r="A13" s="140" t="str">
        <f>IFERROR(__xludf.DUMMYFUNCTION("""COMPUTED_VALUE"""),"34")</f>
        <v>34</v>
      </c>
      <c r="B13" s="141">
        <f>IFERROR(__xludf.DUMMYFUNCTION("""COMPUTED_VALUE"""),25.0)</f>
        <v>25</v>
      </c>
      <c r="C13" s="142" t="s">
        <v>324</v>
      </c>
    </row>
    <row r="14" ht="12.75" customHeight="1">
      <c r="A14" s="140" t="str">
        <f>IFERROR(__xludf.DUMMYFUNCTION("""COMPUTED_VALUE"""),"36")</f>
        <v>36</v>
      </c>
      <c r="B14" s="141">
        <f>IFERROR(__xludf.DUMMYFUNCTION("""COMPUTED_VALUE"""),31.0)</f>
        <v>31</v>
      </c>
      <c r="C14" s="143" t="s">
        <v>325</v>
      </c>
    </row>
    <row r="15" ht="12.75" customHeight="1">
      <c r="A15" s="140" t="str">
        <f>IFERROR(__xludf.DUMMYFUNCTION("""COMPUTED_VALUE"""),"36")</f>
        <v>36</v>
      </c>
      <c r="B15" s="141">
        <f>IFERROR(__xludf.DUMMYFUNCTION("""COMPUTED_VALUE"""),28.0)</f>
        <v>28</v>
      </c>
      <c r="C15" s="143" t="s">
        <v>326</v>
      </c>
    </row>
    <row r="16" ht="12.75" customHeight="1">
      <c r="A16" s="140" t="str">
        <f>IFERROR(__xludf.DUMMYFUNCTION("""COMPUTED_VALUE"""),"39")</f>
        <v>39</v>
      </c>
      <c r="B16" s="141">
        <f>IFERROR(__xludf.DUMMYFUNCTION("""COMPUTED_VALUE"""),32.0)</f>
        <v>32</v>
      </c>
      <c r="C16" s="143" t="s">
        <v>327</v>
      </c>
    </row>
    <row r="17" ht="12.75" customHeight="1">
      <c r="A17" s="140" t="str">
        <f>IFERROR(__xludf.DUMMYFUNCTION("""COMPUTED_VALUE"""),"39")</f>
        <v>39</v>
      </c>
      <c r="B17" s="141">
        <f>IFERROR(__xludf.DUMMYFUNCTION("""COMPUTED_VALUE"""),9.0)</f>
        <v>9</v>
      </c>
      <c r="C17" s="143" t="s">
        <v>328</v>
      </c>
    </row>
    <row r="18" ht="12.75" customHeight="1">
      <c r="A18" s="140"/>
      <c r="B18" s="141"/>
    </row>
    <row r="19" ht="12.75" customHeight="1">
      <c r="A19" s="140"/>
      <c r="B19" s="141"/>
    </row>
    <row r="20" ht="12.75" customHeight="1">
      <c r="A20" s="140"/>
      <c r="B20" s="141"/>
    </row>
    <row r="21" ht="12.75" customHeight="1">
      <c r="A21" s="140"/>
      <c r="B21" s="141"/>
    </row>
    <row r="22" ht="12.75" customHeight="1">
      <c r="A22" s="140"/>
      <c r="B22" s="141"/>
    </row>
    <row r="23" ht="12.75" customHeight="1">
      <c r="A23" s="140"/>
      <c r="B23" s="141"/>
    </row>
    <row r="24" ht="12.75" customHeight="1">
      <c r="A24" s="140"/>
      <c r="B24" s="141"/>
    </row>
    <row r="25" ht="12.75" customHeight="1">
      <c r="A25" s="140"/>
      <c r="B25" s="141"/>
    </row>
    <row r="26" ht="12.75" customHeight="1">
      <c r="A26" s="140"/>
      <c r="B26" s="141"/>
    </row>
    <row r="27" ht="12.75" customHeight="1">
      <c r="A27" s="140"/>
      <c r="B27" s="141"/>
    </row>
    <row r="28" ht="12.75" customHeight="1">
      <c r="A28" s="140"/>
      <c r="B28" s="141"/>
    </row>
    <row r="29" ht="12.75" customHeight="1">
      <c r="A29" s="140"/>
      <c r="B29" s="141"/>
    </row>
    <row r="30" ht="12.75" customHeight="1">
      <c r="A30" s="140"/>
      <c r="B30" s="141"/>
    </row>
    <row r="31" ht="12.75" customHeight="1">
      <c r="A31" s="140"/>
      <c r="B31" s="141"/>
    </row>
    <row r="32" ht="12.75" customHeight="1">
      <c r="A32" s="140"/>
      <c r="B32" s="141"/>
    </row>
    <row r="33" ht="12.75" customHeight="1">
      <c r="A33" s="140"/>
      <c r="B33" s="141"/>
    </row>
    <row r="34" ht="12.75" customHeight="1">
      <c r="A34" s="140"/>
      <c r="B34" s="141"/>
    </row>
    <row r="35" ht="12.75" customHeight="1">
      <c r="A35" s="140"/>
      <c r="B35" s="141"/>
    </row>
    <row r="36" ht="12.75" customHeight="1">
      <c r="A36" s="140"/>
      <c r="B36" s="141"/>
    </row>
    <row r="37" ht="12.75" customHeight="1">
      <c r="A37" s="140"/>
      <c r="B37" s="141"/>
    </row>
    <row r="38" ht="12.75" customHeight="1">
      <c r="A38" s="140"/>
      <c r="B38" s="141"/>
    </row>
    <row r="39" ht="12.75" customHeight="1">
      <c r="A39" s="140"/>
      <c r="B39" s="141"/>
    </row>
    <row r="40" ht="12.75" customHeight="1">
      <c r="A40" s="140"/>
      <c r="B40" s="141"/>
    </row>
    <row r="41" ht="12.75" customHeight="1">
      <c r="A41" s="140"/>
      <c r="B41" s="141"/>
    </row>
    <row r="42" ht="12.75" customHeight="1">
      <c r="A42" s="140"/>
      <c r="B42" s="141"/>
    </row>
    <row r="43" ht="12.75" customHeight="1">
      <c r="A43" s="140"/>
      <c r="B43" s="141"/>
    </row>
    <row r="44" ht="12.75" customHeight="1">
      <c r="A44" s="140"/>
      <c r="B44" s="141"/>
    </row>
    <row r="45" ht="12.75" customHeight="1">
      <c r="A45" s="140"/>
      <c r="B45" s="141"/>
    </row>
    <row r="46" ht="12.75" customHeight="1">
      <c r="A46" s="140"/>
      <c r="B46" s="141"/>
    </row>
    <row r="47" ht="12.75" customHeight="1">
      <c r="A47" s="140"/>
      <c r="B47" s="141"/>
    </row>
    <row r="48" ht="12.75" customHeight="1">
      <c r="A48" s="140"/>
      <c r="B48" s="141"/>
    </row>
    <row r="49" ht="12.75" customHeight="1">
      <c r="A49" s="140"/>
      <c r="B49" s="141"/>
    </row>
    <row r="50" ht="12.75" customHeight="1">
      <c r="A50" s="140"/>
      <c r="B50" s="141"/>
    </row>
    <row r="51" ht="12.75" customHeight="1">
      <c r="A51" s="140"/>
      <c r="B51" s="141"/>
    </row>
    <row r="52" ht="12.75" customHeight="1">
      <c r="A52" s="140"/>
      <c r="B52" s="141"/>
    </row>
    <row r="53" ht="12.75" customHeight="1">
      <c r="A53" s="140"/>
      <c r="B53" s="141"/>
    </row>
    <row r="54" ht="12.75" customHeight="1">
      <c r="A54" s="140"/>
      <c r="B54" s="141"/>
    </row>
    <row r="55" ht="12.75" customHeight="1">
      <c r="A55" s="140"/>
      <c r="B55" s="141"/>
    </row>
    <row r="56" ht="12.75" customHeight="1">
      <c r="A56" s="140"/>
      <c r="B56" s="141"/>
    </row>
    <row r="57" ht="12.75" customHeight="1">
      <c r="A57" s="140"/>
      <c r="B57" s="141"/>
    </row>
    <row r="58" ht="12.75" customHeight="1">
      <c r="A58" s="140"/>
      <c r="B58" s="141"/>
    </row>
    <row r="59" ht="12.75" customHeight="1">
      <c r="A59" s="140"/>
      <c r="B59" s="141"/>
    </row>
    <row r="60" ht="12.75" customHeight="1">
      <c r="A60" s="140"/>
      <c r="B60" s="141"/>
    </row>
    <row r="61" ht="12.75" customHeight="1">
      <c r="A61" s="140"/>
      <c r="B61" s="141"/>
    </row>
    <row r="62" ht="12.75" customHeight="1">
      <c r="A62" s="140"/>
      <c r="B62" s="141"/>
    </row>
    <row r="63" ht="12.75" customHeight="1">
      <c r="A63" s="140"/>
      <c r="B63" s="141"/>
    </row>
    <row r="64" ht="12.75" customHeight="1">
      <c r="A64" s="140"/>
      <c r="B64" s="141"/>
    </row>
    <row r="65" ht="12.75" customHeight="1">
      <c r="A65" s="140"/>
      <c r="B65" s="141"/>
    </row>
    <row r="66" ht="12.75" customHeight="1">
      <c r="A66" s="140"/>
      <c r="B66" s="141"/>
    </row>
    <row r="67" ht="12.75" customHeight="1">
      <c r="A67" s="140"/>
      <c r="B67" s="141"/>
    </row>
    <row r="68" ht="12.75" customHeight="1">
      <c r="A68" s="140"/>
      <c r="B68" s="141"/>
    </row>
    <row r="69" ht="12.75" customHeight="1">
      <c r="A69" s="140"/>
      <c r="B69" s="141"/>
    </row>
    <row r="70" ht="12.75" customHeight="1">
      <c r="A70" s="140"/>
      <c r="B70" s="141"/>
    </row>
    <row r="71" ht="12.75" customHeight="1">
      <c r="A71" s="140"/>
      <c r="B71" s="141"/>
    </row>
    <row r="72" ht="12.75" customHeight="1">
      <c r="A72" s="140"/>
      <c r="B72" s="141"/>
    </row>
    <row r="73" ht="12.75" customHeight="1">
      <c r="A73" s="140"/>
      <c r="B73" s="141"/>
    </row>
    <row r="74" ht="12.75" customHeight="1">
      <c r="A74" s="140"/>
      <c r="B74" s="141"/>
    </row>
    <row r="75" ht="12.75" customHeight="1">
      <c r="A75" s="140"/>
      <c r="B75" s="141"/>
    </row>
    <row r="76" ht="12.75" customHeight="1">
      <c r="A76" s="140"/>
      <c r="B76" s="141"/>
    </row>
    <row r="77" ht="12.75" customHeight="1">
      <c r="A77" s="140"/>
      <c r="B77" s="141"/>
    </row>
    <row r="78" ht="12.75" customHeight="1">
      <c r="A78" s="140"/>
      <c r="B78" s="141"/>
    </row>
    <row r="79" ht="12.75" customHeight="1">
      <c r="A79" s="140"/>
      <c r="B79" s="141"/>
    </row>
    <row r="80" ht="12.75" customHeight="1">
      <c r="A80" s="140"/>
      <c r="B80" s="141"/>
    </row>
    <row r="81" ht="12.75" customHeight="1">
      <c r="A81" s="140"/>
      <c r="B81" s="141"/>
    </row>
    <row r="82" ht="12.75" customHeight="1">
      <c r="A82" s="140"/>
      <c r="B82" s="141"/>
    </row>
    <row r="83" ht="12.75" customHeight="1">
      <c r="A83" s="141"/>
      <c r="B83" s="54"/>
    </row>
    <row r="84" ht="12.75" customHeight="1">
      <c r="A84" s="54"/>
      <c r="B84" s="54"/>
    </row>
    <row r="85" ht="12.75" customHeight="1">
      <c r="A85" s="54"/>
      <c r="B85" s="54"/>
    </row>
    <row r="86" ht="12.75" customHeight="1">
      <c r="A86" s="54"/>
      <c r="B86" s="54"/>
    </row>
    <row r="87" ht="12.75" customHeight="1">
      <c r="A87" s="54"/>
      <c r="B87" s="54"/>
    </row>
    <row r="88" ht="12.75" customHeight="1">
      <c r="A88" s="54"/>
      <c r="B88" s="54"/>
    </row>
    <row r="89" ht="12.75" customHeight="1">
      <c r="A89" s="54"/>
      <c r="B89" s="54"/>
    </row>
    <row r="90" ht="12.75" customHeight="1">
      <c r="A90" s="54"/>
      <c r="B90" s="54"/>
    </row>
    <row r="91" ht="12.75" customHeight="1">
      <c r="A91" s="54"/>
      <c r="B91" s="54"/>
    </row>
    <row r="92" ht="12.75" customHeight="1">
      <c r="A92" s="54"/>
      <c r="B92" s="54"/>
    </row>
    <row r="93" ht="12.75" customHeight="1">
      <c r="A93" s="54"/>
      <c r="B93" s="54"/>
    </row>
    <row r="94" ht="12.75" customHeight="1">
      <c r="A94" s="54"/>
      <c r="B94" s="54"/>
    </row>
    <row r="95" ht="12.75" customHeight="1">
      <c r="A95" s="54"/>
      <c r="B95" s="54"/>
    </row>
    <row r="96" ht="12.75" customHeight="1">
      <c r="A96" s="54"/>
      <c r="B96" s="54"/>
    </row>
    <row r="97" ht="12.75" customHeight="1">
      <c r="A97" s="54"/>
      <c r="B97" s="54"/>
    </row>
    <row r="98" ht="12.75" customHeight="1">
      <c r="A98" s="54"/>
      <c r="B98" s="54"/>
    </row>
    <row r="99" ht="12.75" customHeight="1">
      <c r="A99" s="54"/>
      <c r="B99" s="54"/>
    </row>
    <row r="100" ht="12.75" customHeight="1">
      <c r="A100" s="54"/>
      <c r="B100" s="54"/>
    </row>
    <row r="101" ht="12.75" customHeight="1">
      <c r="A101" s="54"/>
      <c r="B101" s="54"/>
    </row>
    <row r="102" ht="12.75" customHeight="1">
      <c r="A102" s="54"/>
      <c r="B102" s="54"/>
    </row>
    <row r="103" ht="12.75" customHeight="1">
      <c r="A103" s="54"/>
      <c r="B103" s="54"/>
    </row>
    <row r="104" ht="12.75" customHeight="1">
      <c r="A104" s="54"/>
      <c r="B104" s="54"/>
    </row>
    <row r="105" ht="12.75" customHeight="1">
      <c r="A105" s="54"/>
      <c r="B105" s="54"/>
    </row>
    <row r="106" ht="12.75" customHeight="1">
      <c r="A106" s="54"/>
      <c r="B106" s="54"/>
    </row>
    <row r="107" ht="12.75" customHeight="1">
      <c r="A107" s="54"/>
      <c r="B107" s="54"/>
    </row>
    <row r="108" ht="12.75" customHeight="1">
      <c r="A108" s="54"/>
      <c r="B108" s="54"/>
    </row>
    <row r="109" ht="12.75" customHeight="1">
      <c r="A109" s="54"/>
      <c r="B109" s="54"/>
    </row>
    <row r="110" ht="12.75" customHeight="1">
      <c r="A110" s="54"/>
      <c r="B110" s="54"/>
    </row>
    <row r="111" ht="12.75" customHeight="1">
      <c r="A111" s="54"/>
      <c r="B111" s="54"/>
    </row>
    <row r="112" ht="12.75" customHeight="1">
      <c r="A112" s="54"/>
      <c r="B112" s="54"/>
    </row>
    <row r="113" ht="12.75" customHeight="1">
      <c r="A113" s="54"/>
      <c r="B113" s="54"/>
    </row>
    <row r="114" ht="12.75" customHeight="1">
      <c r="A114" s="54"/>
      <c r="B114" s="54"/>
    </row>
    <row r="115" ht="12.75" customHeight="1">
      <c r="A115" s="54"/>
      <c r="B115" s="54"/>
    </row>
    <row r="116" ht="12.75" customHeight="1">
      <c r="A116" s="54"/>
      <c r="B116" s="54"/>
    </row>
    <row r="117" ht="12.75" customHeight="1">
      <c r="A117" s="54"/>
      <c r="B117" s="54"/>
    </row>
    <row r="118" ht="12.75" customHeight="1">
      <c r="A118" s="54"/>
      <c r="B118" s="54"/>
    </row>
    <row r="119" ht="12.75" customHeight="1">
      <c r="A119" s="54"/>
      <c r="B119" s="54"/>
    </row>
    <row r="120" ht="12.75" customHeight="1">
      <c r="A120" s="54"/>
      <c r="B120" s="54"/>
    </row>
    <row r="121" ht="12.75" customHeight="1">
      <c r="A121" s="54"/>
      <c r="B121" s="54"/>
    </row>
    <row r="122" ht="12.75" customHeight="1">
      <c r="A122" s="54"/>
      <c r="B122" s="54"/>
    </row>
    <row r="123" ht="12.75" customHeight="1">
      <c r="A123" s="54"/>
      <c r="B123" s="54"/>
    </row>
    <row r="124" ht="12.75" customHeight="1">
      <c r="A124" s="54"/>
      <c r="B124" s="54"/>
    </row>
    <row r="125" ht="12.75" customHeight="1">
      <c r="A125" s="54"/>
      <c r="B125" s="54"/>
    </row>
    <row r="126" ht="12.75" customHeight="1">
      <c r="A126" s="54"/>
      <c r="B126" s="54"/>
    </row>
    <row r="127" ht="12.75" customHeight="1">
      <c r="A127" s="54"/>
      <c r="B127" s="54"/>
    </row>
    <row r="128" ht="12.75" customHeight="1">
      <c r="A128" s="54"/>
      <c r="B128" s="54"/>
    </row>
    <row r="129" ht="12.75" customHeight="1">
      <c r="A129" s="54"/>
      <c r="B129" s="54"/>
    </row>
    <row r="130" ht="12.75" customHeight="1">
      <c r="A130" s="54"/>
      <c r="B130" s="54"/>
    </row>
    <row r="131" ht="12.75" customHeight="1">
      <c r="A131" s="54"/>
      <c r="B131" s="54"/>
    </row>
    <row r="132" ht="12.75" customHeight="1">
      <c r="A132" s="54"/>
      <c r="B132" s="54"/>
    </row>
    <row r="133" ht="12.75" customHeight="1">
      <c r="A133" s="54"/>
      <c r="B133" s="54"/>
    </row>
    <row r="134" ht="12.75" customHeight="1">
      <c r="A134" s="54"/>
      <c r="B134" s="54"/>
    </row>
    <row r="135" ht="12.75" customHeight="1">
      <c r="A135" s="54"/>
      <c r="B135" s="54"/>
    </row>
    <row r="136" ht="12.75" customHeight="1">
      <c r="A136" s="54"/>
      <c r="B136" s="54"/>
    </row>
    <row r="137" ht="12.75" customHeight="1">
      <c r="A137" s="54"/>
      <c r="B137" s="54"/>
    </row>
    <row r="138" ht="12.75" customHeight="1">
      <c r="A138" s="54"/>
      <c r="B138" s="54"/>
    </row>
    <row r="139" ht="12.75" customHeight="1">
      <c r="A139" s="54"/>
      <c r="B139" s="54"/>
    </row>
    <row r="140" ht="12.75" customHeight="1">
      <c r="A140" s="54"/>
      <c r="B140" s="54"/>
    </row>
    <row r="141" ht="12.75" customHeight="1">
      <c r="A141" s="54"/>
      <c r="B141" s="54"/>
    </row>
    <row r="142" ht="12.75" customHeight="1">
      <c r="A142" s="54"/>
      <c r="B142" s="54"/>
    </row>
    <row r="143" ht="12.75" customHeight="1">
      <c r="A143" s="54"/>
      <c r="B143" s="54"/>
    </row>
    <row r="144" ht="12.75" customHeight="1">
      <c r="A144" s="54"/>
      <c r="B144" s="54"/>
    </row>
    <row r="145" ht="12.75" customHeight="1">
      <c r="A145" s="54"/>
      <c r="B145" s="54"/>
    </row>
    <row r="146" ht="12.75" customHeight="1">
      <c r="A146" s="54"/>
      <c r="B146" s="54"/>
    </row>
    <row r="147" ht="12.75" customHeight="1">
      <c r="A147" s="54"/>
      <c r="B147" s="54"/>
    </row>
    <row r="148" ht="12.75" customHeight="1">
      <c r="A148" s="54"/>
      <c r="B148" s="54"/>
    </row>
    <row r="149" ht="12.75" customHeight="1">
      <c r="A149" s="54"/>
      <c r="B149" s="54"/>
    </row>
    <row r="150" ht="12.75" customHeight="1">
      <c r="A150" s="54"/>
      <c r="B150" s="54"/>
    </row>
    <row r="151" ht="12.75" customHeight="1">
      <c r="A151" s="54"/>
      <c r="B151" s="54"/>
    </row>
    <row r="152" ht="12.75" customHeight="1">
      <c r="A152" s="54"/>
      <c r="B152" s="54"/>
    </row>
    <row r="153" ht="12.75" customHeight="1">
      <c r="A153" s="54"/>
      <c r="B153" s="54"/>
    </row>
    <row r="154" ht="12.75" customHeight="1">
      <c r="A154" s="54"/>
      <c r="B154" s="54"/>
    </row>
    <row r="155" ht="12.75" customHeight="1">
      <c r="A155" s="54"/>
      <c r="B155" s="54"/>
    </row>
    <row r="156" ht="12.75" customHeight="1">
      <c r="A156" s="54"/>
      <c r="B156" s="54"/>
    </row>
    <row r="157" ht="12.75" customHeight="1">
      <c r="A157" s="54"/>
      <c r="B157" s="54"/>
    </row>
    <row r="158" ht="12.75" customHeight="1">
      <c r="A158" s="54"/>
      <c r="B158" s="54"/>
    </row>
    <row r="159" ht="12.75" customHeight="1">
      <c r="A159" s="54"/>
      <c r="B159" s="54"/>
    </row>
    <row r="160" ht="12.75" customHeight="1">
      <c r="A160" s="54"/>
      <c r="B160" s="54"/>
    </row>
    <row r="161" ht="12.75" customHeight="1">
      <c r="A161" s="54"/>
      <c r="B161" s="54"/>
    </row>
    <row r="162" ht="12.75" customHeight="1">
      <c r="A162" s="54"/>
      <c r="B162" s="54"/>
    </row>
    <row r="163" ht="12.75" customHeight="1">
      <c r="A163" s="54"/>
      <c r="B163" s="54"/>
    </row>
    <row r="164" ht="12.75" customHeight="1">
      <c r="A164" s="54"/>
      <c r="B164" s="54"/>
    </row>
    <row r="165" ht="12.75" customHeight="1">
      <c r="A165" s="54"/>
      <c r="B165" s="54"/>
    </row>
    <row r="166" ht="12.75" customHeight="1">
      <c r="A166" s="54"/>
      <c r="B166" s="54"/>
    </row>
    <row r="167" ht="12.75" customHeight="1">
      <c r="A167" s="54"/>
      <c r="B167" s="54"/>
    </row>
    <row r="168" ht="12.75" customHeight="1">
      <c r="A168" s="54"/>
      <c r="B168" s="54"/>
    </row>
    <row r="169" ht="12.75" customHeight="1">
      <c r="A169" s="54"/>
      <c r="B169" s="54"/>
    </row>
    <row r="170" ht="12.75" customHeight="1">
      <c r="A170" s="54"/>
      <c r="B170" s="54"/>
    </row>
    <row r="171" ht="12.75" customHeight="1">
      <c r="A171" s="54"/>
      <c r="B171" s="54"/>
    </row>
    <row r="172" ht="12.75" customHeight="1">
      <c r="A172" s="54"/>
      <c r="B172" s="54"/>
    </row>
    <row r="173" ht="12.75" customHeight="1">
      <c r="A173" s="54"/>
      <c r="B173" s="54"/>
    </row>
    <row r="174" ht="12.75" customHeight="1">
      <c r="A174" s="54"/>
      <c r="B174" s="54"/>
    </row>
    <row r="175" ht="12.75" customHeight="1">
      <c r="A175" s="54"/>
      <c r="B175" s="54"/>
    </row>
    <row r="176" ht="12.75" customHeight="1">
      <c r="A176" s="54"/>
      <c r="B176" s="54"/>
    </row>
    <row r="177" ht="12.75" customHeight="1">
      <c r="A177" s="54"/>
      <c r="B177" s="54"/>
    </row>
    <row r="178" ht="12.75" customHeight="1">
      <c r="A178" s="54"/>
      <c r="B178" s="54"/>
    </row>
    <row r="179" ht="12.75" customHeight="1">
      <c r="A179" s="54"/>
      <c r="B179" s="54"/>
    </row>
    <row r="180" ht="12.75" customHeight="1">
      <c r="A180" s="54"/>
      <c r="B180" s="54"/>
    </row>
    <row r="181" ht="12.75" customHeight="1">
      <c r="A181" s="54"/>
      <c r="B181" s="54"/>
    </row>
    <row r="182" ht="12.75" customHeight="1">
      <c r="A182" s="54"/>
      <c r="B182" s="54"/>
    </row>
    <row r="183" ht="12.75" customHeight="1">
      <c r="A183" s="54"/>
      <c r="B183" s="54"/>
    </row>
    <row r="184" ht="12.75" customHeight="1">
      <c r="A184" s="54"/>
      <c r="B184" s="54"/>
    </row>
    <row r="185" ht="12.75" customHeight="1">
      <c r="A185" s="54"/>
      <c r="B185" s="54"/>
    </row>
    <row r="186" ht="12.75" customHeight="1">
      <c r="A186" s="54"/>
      <c r="B186" s="54"/>
    </row>
    <row r="187" ht="12.75" customHeight="1">
      <c r="A187" s="54"/>
      <c r="B187" s="54"/>
    </row>
    <row r="188" ht="12.75" customHeight="1">
      <c r="A188" s="54"/>
      <c r="B188" s="54"/>
    </row>
    <row r="189" ht="12.75" customHeight="1">
      <c r="A189" s="54"/>
      <c r="B189" s="54"/>
    </row>
    <row r="190" ht="12.75" customHeight="1">
      <c r="A190" s="54"/>
      <c r="B190" s="54"/>
    </row>
    <row r="191" ht="12.75" customHeight="1">
      <c r="A191" s="54"/>
      <c r="B191" s="54"/>
    </row>
    <row r="192" ht="12.75" customHeight="1">
      <c r="A192" s="54"/>
      <c r="B192" s="54"/>
    </row>
    <row r="193" ht="12.75" customHeight="1">
      <c r="A193" s="54"/>
      <c r="B193" s="54"/>
    </row>
    <row r="194" ht="12.75" customHeight="1">
      <c r="A194" s="54"/>
      <c r="B194" s="54"/>
    </row>
    <row r="195" ht="12.75" customHeight="1">
      <c r="A195" s="54"/>
      <c r="B195" s="54"/>
    </row>
    <row r="196" ht="12.75" customHeight="1">
      <c r="A196" s="54"/>
      <c r="B196" s="54"/>
    </row>
    <row r="197" ht="12.75" customHeight="1">
      <c r="A197" s="54"/>
      <c r="B197" s="54"/>
    </row>
    <row r="198" ht="12.75" customHeight="1">
      <c r="A198" s="54"/>
      <c r="B198" s="54"/>
    </row>
    <row r="199" ht="12.75" customHeight="1">
      <c r="A199" s="54"/>
      <c r="B199" s="54"/>
    </row>
    <row r="200" ht="12.75" customHeight="1">
      <c r="A200" s="54"/>
      <c r="B200" s="54"/>
    </row>
    <row r="201" ht="12.75" customHeight="1">
      <c r="A201" s="54"/>
      <c r="B201" s="54"/>
    </row>
    <row r="202" ht="12.75" customHeight="1">
      <c r="A202" s="54"/>
      <c r="B202" s="54"/>
    </row>
    <row r="203" ht="12.75" customHeight="1">
      <c r="A203" s="54"/>
      <c r="B203" s="54"/>
    </row>
    <row r="204" ht="12.75" customHeight="1">
      <c r="A204" s="54"/>
      <c r="B204" s="54"/>
    </row>
    <row r="205" ht="12.75" customHeight="1">
      <c r="A205" s="54"/>
      <c r="B205" s="54"/>
    </row>
    <row r="206" ht="12.75" customHeight="1">
      <c r="A206" s="54"/>
      <c r="B206" s="54"/>
    </row>
    <row r="207" ht="12.75" customHeight="1">
      <c r="A207" s="54"/>
      <c r="B207" s="54"/>
    </row>
    <row r="208" ht="12.75" customHeight="1">
      <c r="A208" s="54"/>
      <c r="B208" s="54"/>
    </row>
    <row r="209" ht="12.75" customHeight="1">
      <c r="A209" s="54"/>
      <c r="B209" s="54"/>
    </row>
    <row r="210" ht="12.75" customHeight="1">
      <c r="A210" s="54"/>
      <c r="B210" s="54"/>
    </row>
    <row r="211" ht="12.75" customHeight="1">
      <c r="A211" s="54"/>
      <c r="B211" s="54"/>
    </row>
    <row r="212" ht="12.75" customHeight="1">
      <c r="A212" s="54"/>
      <c r="B212" s="54"/>
    </row>
    <row r="213" ht="12.75" customHeight="1">
      <c r="A213" s="54"/>
      <c r="B213" s="54"/>
    </row>
    <row r="214" ht="12.75" customHeight="1">
      <c r="A214" s="54"/>
      <c r="B214" s="54"/>
    </row>
    <row r="215" ht="12.75" customHeight="1">
      <c r="A215" s="54"/>
      <c r="B215" s="54"/>
    </row>
    <row r="216" ht="12.75" customHeight="1">
      <c r="A216" s="54"/>
      <c r="B216" s="54"/>
    </row>
    <row r="217" ht="12.75" customHeight="1">
      <c r="A217" s="54"/>
      <c r="B217" s="54"/>
    </row>
    <row r="218" ht="12.75" customHeight="1">
      <c r="A218" s="54"/>
      <c r="B218" s="54"/>
    </row>
    <row r="219" ht="12.75" customHeight="1">
      <c r="A219" s="54"/>
      <c r="B219" s="54"/>
    </row>
    <row r="220" ht="12.75" customHeight="1">
      <c r="A220" s="54"/>
      <c r="B220" s="54"/>
    </row>
    <row r="221" ht="12.75" customHeight="1">
      <c r="A221" s="54"/>
      <c r="B221" s="54"/>
    </row>
    <row r="222" ht="12.75" customHeight="1">
      <c r="A222" s="54"/>
      <c r="B222" s="54"/>
    </row>
    <row r="223" ht="12.75" customHeight="1">
      <c r="A223" s="54"/>
      <c r="B223" s="54"/>
    </row>
    <row r="224" ht="12.75" customHeight="1">
      <c r="A224" s="54"/>
      <c r="B224" s="54"/>
    </row>
    <row r="225" ht="12.75" customHeight="1">
      <c r="A225" s="54"/>
      <c r="B225" s="54"/>
    </row>
    <row r="226" ht="12.75" customHeight="1">
      <c r="A226" s="54"/>
      <c r="B226" s="54"/>
    </row>
    <row r="227" ht="12.75" customHeight="1">
      <c r="A227" s="54"/>
      <c r="B227" s="54"/>
    </row>
    <row r="228" ht="12.75" customHeight="1">
      <c r="A228" s="54"/>
      <c r="B228" s="54"/>
    </row>
    <row r="229" ht="12.75" customHeight="1">
      <c r="A229" s="54"/>
      <c r="B229" s="54"/>
    </row>
    <row r="230" ht="12.75" customHeight="1">
      <c r="A230" s="54"/>
      <c r="B230" s="54"/>
    </row>
    <row r="231" ht="12.75" customHeight="1">
      <c r="A231" s="54"/>
      <c r="B231" s="54"/>
    </row>
    <row r="232" ht="12.75" customHeight="1">
      <c r="A232" s="54"/>
      <c r="B232" s="54"/>
    </row>
    <row r="233" ht="12.75" customHeight="1">
      <c r="A233" s="54"/>
      <c r="B233" s="54"/>
    </row>
    <row r="234" ht="12.75" customHeight="1">
      <c r="A234" s="54"/>
      <c r="B234" s="54"/>
    </row>
    <row r="235" ht="12.75" customHeight="1">
      <c r="A235" s="54"/>
      <c r="B235" s="54"/>
    </row>
    <row r="236" ht="12.75" customHeight="1">
      <c r="A236" s="54"/>
      <c r="B236" s="54"/>
    </row>
    <row r="237" ht="12.75" customHeight="1">
      <c r="A237" s="54"/>
      <c r="B237" s="54"/>
    </row>
    <row r="238" ht="12.75" customHeight="1">
      <c r="A238" s="54"/>
      <c r="B238" s="54"/>
    </row>
    <row r="239" ht="12.75" customHeight="1">
      <c r="A239" s="54"/>
      <c r="B239" s="54"/>
    </row>
    <row r="240" ht="12.75" customHeight="1">
      <c r="A240" s="54"/>
      <c r="B240" s="54"/>
    </row>
    <row r="241" ht="12.75" customHeight="1">
      <c r="A241" s="54"/>
      <c r="B241" s="54"/>
    </row>
    <row r="242" ht="12.75" customHeight="1">
      <c r="A242" s="54"/>
      <c r="B242" s="54"/>
    </row>
    <row r="243" ht="12.75" customHeight="1">
      <c r="A243" s="54"/>
      <c r="B243" s="54"/>
    </row>
    <row r="244" ht="12.75" customHeight="1">
      <c r="A244" s="54"/>
      <c r="B244" s="54"/>
    </row>
    <row r="245" ht="12.75" customHeight="1">
      <c r="A245" s="54"/>
      <c r="B245" s="54"/>
    </row>
    <row r="246" ht="12.75" customHeight="1">
      <c r="A246" s="54"/>
      <c r="B246" s="54"/>
    </row>
    <row r="247" ht="12.75" customHeight="1">
      <c r="A247" s="54"/>
      <c r="B247" s="54"/>
    </row>
    <row r="248" ht="12.75" customHeight="1">
      <c r="A248" s="54"/>
      <c r="B248" s="54"/>
    </row>
    <row r="249" ht="12.75" customHeight="1">
      <c r="A249" s="54"/>
      <c r="B249" s="54"/>
    </row>
    <row r="250" ht="12.75" customHeight="1">
      <c r="A250" s="54"/>
      <c r="B250" s="54"/>
    </row>
    <row r="251" ht="12.75" customHeight="1">
      <c r="A251" s="54"/>
      <c r="B251" s="54"/>
    </row>
    <row r="252" ht="12.75" customHeight="1">
      <c r="A252" s="54"/>
      <c r="B252" s="54"/>
    </row>
    <row r="253" ht="12.75" customHeight="1">
      <c r="A253" s="54"/>
      <c r="B253" s="54"/>
    </row>
    <row r="254" ht="12.75" customHeight="1">
      <c r="A254" s="54"/>
      <c r="B254" s="54"/>
    </row>
    <row r="255" ht="12.75" customHeight="1">
      <c r="A255" s="54"/>
      <c r="B255" s="54"/>
    </row>
    <row r="256" ht="12.75" customHeight="1">
      <c r="A256" s="54"/>
      <c r="B256" s="54"/>
    </row>
    <row r="257" ht="12.75" customHeight="1">
      <c r="A257" s="54"/>
      <c r="B257" s="54"/>
    </row>
    <row r="258" ht="12.75" customHeight="1">
      <c r="A258" s="54"/>
      <c r="B258" s="54"/>
    </row>
    <row r="259" ht="12.75" customHeight="1">
      <c r="A259" s="54"/>
      <c r="B259" s="54"/>
    </row>
    <row r="260" ht="12.75" customHeight="1">
      <c r="A260" s="54"/>
      <c r="B260" s="54"/>
    </row>
    <row r="261" ht="12.75" customHeight="1">
      <c r="A261" s="54"/>
      <c r="B261" s="54"/>
    </row>
    <row r="262" ht="12.75" customHeight="1">
      <c r="A262" s="54"/>
      <c r="B262" s="54"/>
    </row>
    <row r="263" ht="12.75" customHeight="1">
      <c r="A263" s="54"/>
      <c r="B263" s="54"/>
    </row>
    <row r="264" ht="12.75" customHeight="1">
      <c r="A264" s="54"/>
      <c r="B264" s="54"/>
    </row>
    <row r="265" ht="12.75" customHeight="1">
      <c r="A265" s="54"/>
      <c r="B265" s="54"/>
    </row>
    <row r="266" ht="12.75" customHeight="1">
      <c r="A266" s="54"/>
      <c r="B266" s="54"/>
    </row>
    <row r="267" ht="12.75" customHeight="1">
      <c r="A267" s="54"/>
      <c r="B267" s="54"/>
    </row>
    <row r="268" ht="12.75" customHeight="1">
      <c r="A268" s="54"/>
      <c r="B268" s="54"/>
    </row>
    <row r="269" ht="12.75" customHeight="1">
      <c r="A269" s="54"/>
      <c r="B269" s="54"/>
    </row>
    <row r="270" ht="12.75" customHeight="1">
      <c r="A270" s="54"/>
      <c r="B270" s="54"/>
    </row>
    <row r="271" ht="12.75" customHeight="1">
      <c r="A271" s="54"/>
      <c r="B271" s="54"/>
    </row>
    <row r="272" ht="12.75" customHeight="1">
      <c r="A272" s="54"/>
      <c r="B272" s="54"/>
    </row>
    <row r="273" ht="12.75" customHeight="1">
      <c r="A273" s="54"/>
      <c r="B273" s="54"/>
    </row>
    <row r="274" ht="12.75" customHeight="1">
      <c r="A274" s="54"/>
      <c r="B274" s="54"/>
    </row>
    <row r="275" ht="12.75" customHeight="1">
      <c r="A275" s="54"/>
      <c r="B275" s="54"/>
    </row>
    <row r="276" ht="12.75" customHeight="1">
      <c r="A276" s="54"/>
      <c r="B276" s="54"/>
    </row>
    <row r="277" ht="12.75" customHeight="1">
      <c r="A277" s="54"/>
      <c r="B277" s="54"/>
    </row>
    <row r="278" ht="12.75" customHeight="1">
      <c r="A278" s="54"/>
      <c r="B278" s="54"/>
    </row>
    <row r="279" ht="12.75" customHeight="1">
      <c r="A279" s="54"/>
      <c r="B279" s="54"/>
    </row>
    <row r="280" ht="12.75" customHeight="1">
      <c r="A280" s="54"/>
      <c r="B280" s="54"/>
    </row>
    <row r="281" ht="12.75" customHeight="1">
      <c r="A281" s="54"/>
      <c r="B281" s="54"/>
    </row>
    <row r="282" ht="12.75" customHeight="1">
      <c r="A282" s="54"/>
      <c r="B282" s="54"/>
    </row>
    <row r="283" ht="15.75" customHeight="1">
      <c r="A283" s="54"/>
      <c r="B283" s="54"/>
    </row>
    <row r="284" ht="15.75" customHeight="1">
      <c r="A284" s="54"/>
      <c r="B284" s="54"/>
    </row>
    <row r="285" ht="15.75" customHeight="1">
      <c r="A285" s="54"/>
      <c r="B285" s="54"/>
    </row>
    <row r="286" ht="15.75" customHeight="1">
      <c r="A286" s="54"/>
      <c r="B286" s="54"/>
    </row>
    <row r="287" ht="15.75" customHeight="1">
      <c r="A287" s="54"/>
      <c r="B287" s="54"/>
    </row>
    <row r="288" ht="15.75" customHeight="1">
      <c r="A288" s="54"/>
      <c r="B288" s="54"/>
    </row>
    <row r="289" ht="15.75" customHeight="1">
      <c r="A289" s="54"/>
      <c r="B289" s="54"/>
    </row>
    <row r="290" ht="15.75" customHeight="1">
      <c r="A290" s="54"/>
      <c r="B290" s="54"/>
    </row>
    <row r="291" ht="15.75" customHeight="1">
      <c r="A291" s="54"/>
      <c r="B291" s="54"/>
    </row>
    <row r="292" ht="15.75" customHeight="1">
      <c r="A292" s="54"/>
      <c r="B292" s="54"/>
    </row>
    <row r="293" ht="15.75" customHeight="1">
      <c r="A293" s="54"/>
      <c r="B293" s="54"/>
    </row>
    <row r="294" ht="15.75" customHeight="1">
      <c r="A294" s="54"/>
      <c r="B294" s="54"/>
    </row>
    <row r="295" ht="15.75" customHeight="1">
      <c r="A295" s="54"/>
      <c r="B295" s="54"/>
    </row>
    <row r="296" ht="15.75" customHeight="1">
      <c r="A296" s="54"/>
      <c r="B296" s="54"/>
    </row>
    <row r="297" ht="15.75" customHeight="1">
      <c r="A297" s="54"/>
      <c r="B297" s="54"/>
    </row>
    <row r="298" ht="15.75" customHeight="1">
      <c r="A298" s="54"/>
      <c r="B298" s="54"/>
    </row>
    <row r="299" ht="15.75" customHeight="1">
      <c r="A299" s="54"/>
      <c r="B299" s="54"/>
    </row>
    <row r="300" ht="15.75" customHeight="1">
      <c r="A300" s="54"/>
      <c r="B300" s="54"/>
    </row>
    <row r="301" ht="15.75" customHeight="1">
      <c r="A301" s="54"/>
      <c r="B301" s="54"/>
    </row>
    <row r="302" ht="15.75" customHeight="1">
      <c r="A302" s="54"/>
      <c r="B302" s="54"/>
    </row>
    <row r="303" ht="15.75" customHeight="1">
      <c r="A303" s="54"/>
      <c r="B303" s="54"/>
    </row>
    <row r="304" ht="15.75" customHeight="1">
      <c r="A304" s="54"/>
      <c r="B304" s="54"/>
    </row>
    <row r="305" ht="15.75" customHeight="1">
      <c r="A305" s="54"/>
      <c r="B305" s="54"/>
    </row>
    <row r="306" ht="15.75" customHeight="1">
      <c r="A306" s="54"/>
      <c r="B306" s="54"/>
    </row>
    <row r="307" ht="15.75" customHeight="1">
      <c r="A307" s="54"/>
      <c r="B307" s="54"/>
    </row>
    <row r="308" ht="15.75" customHeight="1">
      <c r="A308" s="54"/>
      <c r="B308" s="54"/>
    </row>
    <row r="309" ht="15.75" customHeight="1">
      <c r="A309" s="54"/>
      <c r="B309" s="54"/>
    </row>
    <row r="310" ht="15.75" customHeight="1">
      <c r="A310" s="54"/>
      <c r="B310" s="54"/>
    </row>
    <row r="311" ht="15.75" customHeight="1">
      <c r="A311" s="54"/>
      <c r="B311" s="54"/>
    </row>
    <row r="312" ht="15.75" customHeight="1">
      <c r="A312" s="54"/>
      <c r="B312" s="54"/>
    </row>
    <row r="313" ht="15.75" customHeight="1">
      <c r="A313" s="54"/>
      <c r="B313" s="54"/>
    </row>
    <row r="314" ht="15.75" customHeight="1">
      <c r="A314" s="54"/>
      <c r="B314" s="54"/>
    </row>
    <row r="315" ht="15.75" customHeight="1">
      <c r="A315" s="54"/>
      <c r="B315" s="54"/>
    </row>
    <row r="316" ht="15.75" customHeight="1">
      <c r="A316" s="54"/>
      <c r="B316" s="54"/>
    </row>
    <row r="317" ht="15.75" customHeight="1">
      <c r="A317" s="54"/>
      <c r="B317" s="54"/>
    </row>
    <row r="318" ht="15.75" customHeight="1">
      <c r="A318" s="54"/>
      <c r="B318" s="54"/>
    </row>
    <row r="319" ht="15.75" customHeight="1">
      <c r="A319" s="54"/>
      <c r="B319" s="54"/>
    </row>
    <row r="320" ht="15.75" customHeight="1">
      <c r="A320" s="54"/>
      <c r="B320" s="54"/>
    </row>
    <row r="321" ht="15.75" customHeight="1">
      <c r="A321" s="54"/>
      <c r="B321" s="54"/>
    </row>
    <row r="322" ht="15.75" customHeight="1">
      <c r="A322" s="54"/>
      <c r="B322" s="54"/>
    </row>
    <row r="323" ht="15.75" customHeight="1">
      <c r="A323" s="54"/>
      <c r="B323" s="54"/>
    </row>
    <row r="324" ht="15.75" customHeight="1">
      <c r="A324" s="54"/>
      <c r="B324" s="54"/>
    </row>
    <row r="325" ht="15.75" customHeight="1">
      <c r="A325" s="54"/>
      <c r="B325" s="54"/>
    </row>
    <row r="326" ht="15.75" customHeight="1">
      <c r="A326" s="54"/>
      <c r="B326" s="54"/>
    </row>
    <row r="327" ht="15.75" customHeight="1">
      <c r="A327" s="54"/>
      <c r="B327" s="54"/>
    </row>
    <row r="328" ht="15.75" customHeight="1">
      <c r="A328" s="54"/>
      <c r="B328" s="54"/>
    </row>
    <row r="329" ht="15.75" customHeight="1">
      <c r="A329" s="54"/>
      <c r="B329" s="54"/>
    </row>
    <row r="330" ht="15.75" customHeight="1">
      <c r="A330" s="54"/>
      <c r="B330" s="54"/>
    </row>
    <row r="331" ht="15.75" customHeight="1">
      <c r="A331" s="54"/>
      <c r="B331" s="54"/>
    </row>
    <row r="332" ht="15.75" customHeight="1">
      <c r="A332" s="54"/>
      <c r="B332" s="54"/>
    </row>
    <row r="333" ht="15.75" customHeight="1">
      <c r="A333" s="54"/>
      <c r="B333" s="54"/>
    </row>
    <row r="334" ht="15.75" customHeight="1">
      <c r="A334" s="54"/>
      <c r="B334" s="54"/>
    </row>
    <row r="335" ht="15.75" customHeight="1">
      <c r="A335" s="54"/>
      <c r="B335" s="54"/>
    </row>
    <row r="336" ht="15.75" customHeight="1">
      <c r="A336" s="54"/>
      <c r="B336" s="54"/>
    </row>
    <row r="337" ht="15.75" customHeight="1">
      <c r="A337" s="54"/>
      <c r="B337" s="54"/>
    </row>
    <row r="338" ht="15.75" customHeight="1">
      <c r="A338" s="54"/>
      <c r="B338" s="54"/>
    </row>
    <row r="339" ht="15.75" customHeight="1">
      <c r="A339" s="54"/>
      <c r="B339" s="54"/>
    </row>
    <row r="340" ht="15.75" customHeight="1">
      <c r="A340" s="54"/>
      <c r="B340" s="54"/>
    </row>
    <row r="341" ht="15.75" customHeight="1">
      <c r="A341" s="54"/>
      <c r="B341" s="54"/>
    </row>
    <row r="342" ht="15.75" customHeight="1">
      <c r="A342" s="54"/>
      <c r="B342" s="54"/>
    </row>
    <row r="343" ht="15.75" customHeight="1">
      <c r="A343" s="54"/>
      <c r="B343" s="54"/>
    </row>
    <row r="344" ht="15.75" customHeight="1">
      <c r="A344" s="54"/>
      <c r="B344" s="54"/>
    </row>
    <row r="345" ht="15.75" customHeight="1">
      <c r="A345" s="54"/>
      <c r="B345" s="54"/>
    </row>
    <row r="346" ht="15.75" customHeight="1">
      <c r="A346" s="54"/>
      <c r="B346" s="54"/>
    </row>
    <row r="347" ht="15.75" customHeight="1">
      <c r="A347" s="54"/>
      <c r="B347" s="54"/>
    </row>
    <row r="348" ht="15.75" customHeight="1">
      <c r="A348" s="54"/>
      <c r="B348" s="54"/>
    </row>
    <row r="349" ht="15.75" customHeight="1">
      <c r="A349" s="54"/>
      <c r="B349" s="54"/>
    </row>
    <row r="350" ht="15.75" customHeight="1">
      <c r="A350" s="54"/>
      <c r="B350" s="54"/>
    </row>
    <row r="351" ht="15.75" customHeight="1">
      <c r="A351" s="54"/>
      <c r="B351" s="54"/>
    </row>
    <row r="352" ht="15.75" customHeight="1">
      <c r="A352" s="54"/>
      <c r="B352" s="54"/>
    </row>
    <row r="353" ht="15.75" customHeight="1">
      <c r="A353" s="54"/>
      <c r="B353" s="54"/>
    </row>
    <row r="354" ht="15.75" customHeight="1">
      <c r="A354" s="54"/>
      <c r="B354" s="54"/>
    </row>
    <row r="355" ht="15.75" customHeight="1">
      <c r="A355" s="54"/>
      <c r="B355" s="54"/>
    </row>
    <row r="356" ht="15.75" customHeight="1">
      <c r="A356" s="54"/>
      <c r="B356" s="54"/>
    </row>
    <row r="357" ht="15.75" customHeight="1">
      <c r="A357" s="54"/>
      <c r="B357" s="54"/>
    </row>
    <row r="358" ht="15.75" customHeight="1">
      <c r="A358" s="54"/>
      <c r="B358" s="54"/>
    </row>
    <row r="359" ht="15.75" customHeight="1">
      <c r="A359" s="54"/>
      <c r="B359" s="54"/>
    </row>
    <row r="360" ht="15.75" customHeight="1">
      <c r="A360" s="54"/>
      <c r="B360" s="54"/>
    </row>
    <row r="361" ht="15.75" customHeight="1">
      <c r="A361" s="54"/>
      <c r="B361" s="54"/>
    </row>
    <row r="362" ht="15.75" customHeight="1">
      <c r="A362" s="54"/>
      <c r="B362" s="54"/>
    </row>
    <row r="363" ht="15.75" customHeight="1">
      <c r="A363" s="54"/>
      <c r="B363" s="54"/>
    </row>
    <row r="364" ht="15.75" customHeight="1">
      <c r="A364" s="54"/>
      <c r="B364" s="54"/>
    </row>
    <row r="365" ht="15.75" customHeight="1">
      <c r="A365" s="54"/>
      <c r="B365" s="54"/>
    </row>
    <row r="366" ht="15.75" customHeight="1">
      <c r="A366" s="54"/>
      <c r="B366" s="54"/>
    </row>
    <row r="367" ht="15.75" customHeight="1">
      <c r="A367" s="54"/>
      <c r="B367" s="54"/>
    </row>
    <row r="368" ht="15.75" customHeight="1">
      <c r="A368" s="54"/>
      <c r="B368" s="54"/>
    </row>
    <row r="369" ht="15.75" customHeight="1">
      <c r="A369" s="54"/>
      <c r="B369" s="54"/>
    </row>
    <row r="370" ht="15.75" customHeight="1">
      <c r="A370" s="54"/>
      <c r="B370" s="54"/>
    </row>
    <row r="371" ht="15.75" customHeight="1">
      <c r="A371" s="54"/>
      <c r="B371" s="54"/>
    </row>
    <row r="372" ht="15.75" customHeight="1">
      <c r="A372" s="54"/>
      <c r="B372" s="54"/>
    </row>
    <row r="373" ht="15.75" customHeight="1">
      <c r="A373" s="54"/>
      <c r="B373" s="54"/>
    </row>
    <row r="374" ht="15.75" customHeight="1">
      <c r="A374" s="54"/>
      <c r="B374" s="54"/>
    </row>
    <row r="375" ht="15.75" customHeight="1">
      <c r="A375" s="54"/>
      <c r="B375" s="54"/>
    </row>
    <row r="376" ht="15.75" customHeight="1">
      <c r="A376" s="54"/>
      <c r="B376" s="54"/>
    </row>
    <row r="377" ht="15.75" customHeight="1">
      <c r="A377" s="54"/>
      <c r="B377" s="54"/>
    </row>
    <row r="378" ht="15.75" customHeight="1">
      <c r="A378" s="54"/>
      <c r="B378" s="54"/>
    </row>
    <row r="379" ht="15.75" customHeight="1">
      <c r="A379" s="54"/>
      <c r="B379" s="54"/>
    </row>
    <row r="380" ht="15.75" customHeight="1">
      <c r="A380" s="54"/>
      <c r="B380" s="54"/>
    </row>
    <row r="381" ht="15.75" customHeight="1">
      <c r="A381" s="54"/>
      <c r="B381" s="54"/>
    </row>
    <row r="382" ht="15.75" customHeight="1">
      <c r="A382" s="54"/>
      <c r="B382" s="54"/>
    </row>
    <row r="383" ht="15.75" customHeight="1">
      <c r="A383" s="54"/>
      <c r="B383" s="54"/>
    </row>
    <row r="384" ht="15.75" customHeight="1">
      <c r="A384" s="54"/>
      <c r="B384" s="54"/>
    </row>
    <row r="385" ht="15.75" customHeight="1">
      <c r="A385" s="54"/>
      <c r="B385" s="54"/>
    </row>
    <row r="386" ht="15.75" customHeight="1">
      <c r="A386" s="54"/>
      <c r="B386" s="54"/>
    </row>
    <row r="387" ht="15.75" customHeight="1">
      <c r="A387" s="54"/>
      <c r="B387" s="54"/>
    </row>
    <row r="388" ht="15.75" customHeight="1">
      <c r="A388" s="54"/>
      <c r="B388" s="54"/>
    </row>
    <row r="389" ht="15.75" customHeight="1">
      <c r="A389" s="54"/>
      <c r="B389" s="54"/>
    </row>
    <row r="390" ht="15.75" customHeight="1">
      <c r="A390" s="54"/>
      <c r="B390" s="54"/>
    </row>
    <row r="391" ht="15.75" customHeight="1">
      <c r="A391" s="54"/>
      <c r="B391" s="54"/>
    </row>
    <row r="392" ht="15.75" customHeight="1">
      <c r="A392" s="54"/>
      <c r="B392" s="54"/>
    </row>
    <row r="393" ht="15.75" customHeight="1">
      <c r="A393" s="54"/>
      <c r="B393" s="54"/>
    </row>
    <row r="394" ht="15.75" customHeight="1">
      <c r="A394" s="54"/>
      <c r="B394" s="54"/>
    </row>
    <row r="395" ht="15.75" customHeight="1">
      <c r="A395" s="54"/>
      <c r="B395" s="54"/>
    </row>
    <row r="396" ht="15.75" customHeight="1">
      <c r="A396" s="54"/>
      <c r="B396" s="54"/>
    </row>
    <row r="397" ht="15.75" customHeight="1">
      <c r="A397" s="54"/>
      <c r="B397" s="54"/>
    </row>
    <row r="398" ht="15.75" customHeight="1">
      <c r="A398" s="54"/>
      <c r="B398" s="54"/>
    </row>
    <row r="399" ht="15.75" customHeight="1">
      <c r="A399" s="54"/>
      <c r="B399" s="54"/>
    </row>
    <row r="400" ht="15.75" customHeight="1">
      <c r="A400" s="54"/>
      <c r="B400" s="54"/>
    </row>
    <row r="401" ht="15.75" customHeight="1">
      <c r="A401" s="54"/>
      <c r="B401" s="54"/>
    </row>
    <row r="402" ht="15.75" customHeight="1">
      <c r="A402" s="54"/>
      <c r="B402" s="54"/>
    </row>
    <row r="403" ht="15.75" customHeight="1">
      <c r="A403" s="54"/>
      <c r="B403" s="54"/>
    </row>
    <row r="404" ht="15.75" customHeight="1">
      <c r="A404" s="54"/>
      <c r="B404" s="54"/>
    </row>
    <row r="405" ht="15.75" customHeight="1">
      <c r="A405" s="54"/>
      <c r="B405" s="54"/>
    </row>
    <row r="406" ht="15.75" customHeight="1">
      <c r="A406" s="54"/>
      <c r="B406" s="54"/>
    </row>
    <row r="407" ht="15.75" customHeight="1">
      <c r="A407" s="54"/>
      <c r="B407" s="54"/>
    </row>
    <row r="408" ht="15.75" customHeight="1">
      <c r="A408" s="54"/>
      <c r="B408" s="54"/>
    </row>
    <row r="409" ht="15.75" customHeight="1">
      <c r="A409" s="54"/>
      <c r="B409" s="54"/>
    </row>
    <row r="410" ht="15.75" customHeight="1">
      <c r="A410" s="54"/>
      <c r="B410" s="54"/>
    </row>
    <row r="411" ht="15.75" customHeight="1">
      <c r="A411" s="54"/>
      <c r="B411" s="54"/>
    </row>
    <row r="412" ht="15.75" customHeight="1">
      <c r="A412" s="54"/>
      <c r="B412" s="54"/>
    </row>
    <row r="413" ht="15.75" customHeight="1">
      <c r="A413" s="54"/>
      <c r="B413" s="54"/>
    </row>
    <row r="414" ht="15.75" customHeight="1">
      <c r="A414" s="54"/>
      <c r="B414" s="54"/>
    </row>
    <row r="415" ht="15.75" customHeight="1">
      <c r="A415" s="54"/>
      <c r="B415" s="54"/>
    </row>
    <row r="416" ht="15.75" customHeight="1">
      <c r="A416" s="54"/>
      <c r="B416" s="54"/>
    </row>
    <row r="417" ht="15.75" customHeight="1">
      <c r="A417" s="54"/>
      <c r="B417" s="54"/>
    </row>
    <row r="418" ht="15.75" customHeight="1">
      <c r="A418" s="54"/>
      <c r="B418" s="54"/>
    </row>
    <row r="419" ht="15.75" customHeight="1">
      <c r="A419" s="54"/>
      <c r="B419" s="54"/>
    </row>
    <row r="420" ht="15.75" customHeight="1">
      <c r="A420" s="54"/>
      <c r="B420" s="54"/>
    </row>
    <row r="421" ht="15.75" customHeight="1">
      <c r="A421" s="54"/>
      <c r="B421" s="54"/>
    </row>
    <row r="422" ht="15.75" customHeight="1">
      <c r="A422" s="54"/>
      <c r="B422" s="54"/>
    </row>
    <row r="423" ht="15.75" customHeight="1">
      <c r="A423" s="54"/>
      <c r="B423" s="54"/>
    </row>
    <row r="424" ht="15.75" customHeight="1">
      <c r="A424" s="54"/>
      <c r="B424" s="54"/>
    </row>
    <row r="425" ht="15.75" customHeight="1">
      <c r="A425" s="54"/>
      <c r="B425" s="54"/>
    </row>
    <row r="426" ht="15.75" customHeight="1">
      <c r="A426" s="54"/>
      <c r="B426" s="54"/>
    </row>
    <row r="427" ht="15.75" customHeight="1">
      <c r="A427" s="54"/>
      <c r="B427" s="54"/>
    </row>
    <row r="428" ht="15.75" customHeight="1">
      <c r="A428" s="54"/>
      <c r="B428" s="54"/>
    </row>
    <row r="429" ht="15.75" customHeight="1">
      <c r="A429" s="54"/>
      <c r="B429" s="54"/>
    </row>
    <row r="430" ht="15.75" customHeight="1">
      <c r="A430" s="54"/>
      <c r="B430" s="54"/>
    </row>
    <row r="431" ht="15.75" customHeight="1">
      <c r="A431" s="54"/>
      <c r="B431" s="54"/>
    </row>
    <row r="432" ht="15.75" customHeight="1">
      <c r="A432" s="54"/>
      <c r="B432" s="54"/>
    </row>
    <row r="433" ht="15.75" customHeight="1">
      <c r="A433" s="54"/>
      <c r="B433" s="54"/>
    </row>
    <row r="434" ht="15.75" customHeight="1">
      <c r="A434" s="54"/>
      <c r="B434" s="54"/>
    </row>
    <row r="435" ht="15.75" customHeight="1">
      <c r="A435" s="54"/>
      <c r="B435" s="54"/>
    </row>
    <row r="436" ht="15.75" customHeight="1">
      <c r="A436" s="54"/>
      <c r="B436" s="54"/>
    </row>
    <row r="437" ht="15.75" customHeight="1">
      <c r="A437" s="54"/>
      <c r="B437" s="54"/>
    </row>
    <row r="438" ht="15.75" customHeight="1">
      <c r="A438" s="54"/>
      <c r="B438" s="54"/>
    </row>
    <row r="439" ht="15.75" customHeight="1">
      <c r="A439" s="54"/>
      <c r="B439" s="54"/>
    </row>
    <row r="440" ht="15.75" customHeight="1">
      <c r="A440" s="54"/>
      <c r="B440" s="54"/>
    </row>
    <row r="441" ht="15.75" customHeight="1">
      <c r="A441" s="54"/>
      <c r="B441" s="54"/>
    </row>
    <row r="442" ht="15.75" customHeight="1">
      <c r="A442" s="54"/>
      <c r="B442" s="54"/>
    </row>
    <row r="443" ht="15.75" customHeight="1">
      <c r="A443" s="54"/>
      <c r="B443" s="54"/>
    </row>
    <row r="444" ht="15.75" customHeight="1">
      <c r="A444" s="54"/>
      <c r="B444" s="54"/>
    </row>
    <row r="445" ht="15.75" customHeight="1">
      <c r="A445" s="54"/>
      <c r="B445" s="54"/>
    </row>
    <row r="446" ht="15.75" customHeight="1">
      <c r="A446" s="54"/>
      <c r="B446" s="54"/>
    </row>
    <row r="447" ht="15.75" customHeight="1">
      <c r="A447" s="54"/>
      <c r="B447" s="54"/>
    </row>
    <row r="448" ht="15.75" customHeight="1">
      <c r="A448" s="54"/>
      <c r="B448" s="54"/>
    </row>
    <row r="449" ht="15.75" customHeight="1">
      <c r="A449" s="54"/>
      <c r="B449" s="54"/>
    </row>
    <row r="450" ht="15.75" customHeight="1">
      <c r="A450" s="54"/>
      <c r="B450" s="54"/>
    </row>
    <row r="451" ht="15.75" customHeight="1">
      <c r="A451" s="54"/>
      <c r="B451" s="54"/>
    </row>
    <row r="452" ht="15.75" customHeight="1">
      <c r="A452" s="54"/>
      <c r="B452" s="54"/>
    </row>
    <row r="453" ht="15.75" customHeight="1">
      <c r="A453" s="54"/>
      <c r="B453" s="54"/>
    </row>
    <row r="454" ht="15.75" customHeight="1">
      <c r="A454" s="54"/>
      <c r="B454" s="54"/>
    </row>
    <row r="455" ht="15.75" customHeight="1">
      <c r="A455" s="54"/>
      <c r="B455" s="54"/>
    </row>
    <row r="456" ht="15.75" customHeight="1">
      <c r="A456" s="54"/>
      <c r="B456" s="54"/>
    </row>
    <row r="457" ht="15.75" customHeight="1">
      <c r="A457" s="54"/>
      <c r="B457" s="54"/>
    </row>
    <row r="458" ht="15.75" customHeight="1">
      <c r="A458" s="54"/>
      <c r="B458" s="54"/>
    </row>
    <row r="459" ht="15.75" customHeight="1">
      <c r="A459" s="54"/>
      <c r="B459" s="54"/>
    </row>
    <row r="460" ht="15.75" customHeight="1">
      <c r="A460" s="54"/>
      <c r="B460" s="54"/>
    </row>
    <row r="461" ht="15.75" customHeight="1">
      <c r="A461" s="54"/>
      <c r="B461" s="54"/>
    </row>
    <row r="462" ht="15.75" customHeight="1">
      <c r="A462" s="54"/>
      <c r="B462" s="54"/>
    </row>
    <row r="463" ht="15.75" customHeight="1">
      <c r="A463" s="54"/>
      <c r="B463" s="54"/>
    </row>
    <row r="464" ht="15.75" customHeight="1">
      <c r="A464" s="54"/>
      <c r="B464" s="54"/>
    </row>
    <row r="465" ht="15.75" customHeight="1">
      <c r="A465" s="54"/>
      <c r="B465" s="54"/>
    </row>
    <row r="466" ht="15.75" customHeight="1">
      <c r="A466" s="54"/>
      <c r="B466" s="54"/>
    </row>
    <row r="467" ht="15.75" customHeight="1">
      <c r="A467" s="54"/>
      <c r="B467" s="54"/>
    </row>
    <row r="468" ht="15.75" customHeight="1">
      <c r="A468" s="54"/>
      <c r="B468" s="54"/>
    </row>
    <row r="469" ht="15.75" customHeight="1">
      <c r="A469" s="54"/>
      <c r="B469" s="54"/>
    </row>
    <row r="470" ht="15.75" customHeight="1">
      <c r="A470" s="54"/>
      <c r="B470" s="54"/>
    </row>
    <row r="471" ht="15.75" customHeight="1">
      <c r="A471" s="54"/>
      <c r="B471" s="54"/>
    </row>
    <row r="472" ht="15.75" customHeight="1">
      <c r="A472" s="54"/>
      <c r="B472" s="54"/>
    </row>
    <row r="473" ht="15.75" customHeight="1">
      <c r="A473" s="54"/>
      <c r="B473" s="54"/>
    </row>
    <row r="474" ht="15.75" customHeight="1">
      <c r="A474" s="54"/>
      <c r="B474" s="54"/>
    </row>
    <row r="475" ht="15.75" customHeight="1">
      <c r="A475" s="54"/>
      <c r="B475" s="54"/>
    </row>
    <row r="476" ht="15.75" customHeight="1">
      <c r="A476" s="54"/>
      <c r="B476" s="54"/>
    </row>
    <row r="477" ht="15.75" customHeight="1">
      <c r="A477" s="54"/>
      <c r="B477" s="54"/>
    </row>
    <row r="478" ht="15.75" customHeight="1">
      <c r="A478" s="54"/>
      <c r="B478" s="54"/>
    </row>
    <row r="479" ht="15.75" customHeight="1">
      <c r="A479" s="54"/>
      <c r="B479" s="54"/>
    </row>
    <row r="480" ht="15.75" customHeight="1">
      <c r="A480" s="54"/>
      <c r="B480" s="54"/>
    </row>
    <row r="481" ht="15.75" customHeight="1">
      <c r="A481" s="54"/>
      <c r="B481" s="54"/>
    </row>
    <row r="482" ht="15.75" customHeight="1">
      <c r="A482" s="54"/>
      <c r="B482" s="54"/>
    </row>
    <row r="483" ht="15.75" customHeight="1">
      <c r="A483" s="54"/>
      <c r="B483" s="54"/>
    </row>
    <row r="484" ht="15.75" customHeight="1">
      <c r="A484" s="54"/>
      <c r="B484" s="54"/>
    </row>
    <row r="485" ht="15.75" customHeight="1">
      <c r="A485" s="54"/>
      <c r="B485" s="54"/>
    </row>
    <row r="486" ht="15.75" customHeight="1">
      <c r="A486" s="54"/>
      <c r="B486" s="54"/>
    </row>
    <row r="487" ht="15.75" customHeight="1">
      <c r="A487" s="54"/>
      <c r="B487" s="54"/>
    </row>
    <row r="488" ht="15.75" customHeight="1">
      <c r="A488" s="54"/>
      <c r="B488" s="54"/>
    </row>
    <row r="489" ht="15.75" customHeight="1">
      <c r="A489" s="54"/>
      <c r="B489" s="54"/>
    </row>
    <row r="490" ht="15.75" customHeight="1">
      <c r="A490" s="54"/>
      <c r="B490" s="54"/>
    </row>
    <row r="491" ht="15.75" customHeight="1">
      <c r="A491" s="54"/>
      <c r="B491" s="54"/>
    </row>
    <row r="492" ht="15.75" customHeight="1">
      <c r="A492" s="54"/>
      <c r="B492" s="54"/>
    </row>
    <row r="493" ht="15.75" customHeight="1">
      <c r="A493" s="54"/>
      <c r="B493" s="54"/>
    </row>
    <row r="494" ht="15.75" customHeight="1">
      <c r="A494" s="54"/>
      <c r="B494" s="54"/>
    </row>
    <row r="495" ht="15.75" customHeight="1">
      <c r="A495" s="54"/>
      <c r="B495" s="54"/>
    </row>
    <row r="496" ht="15.75" customHeight="1">
      <c r="A496" s="54"/>
      <c r="B496" s="54"/>
    </row>
    <row r="497" ht="15.75" customHeight="1">
      <c r="A497" s="54"/>
      <c r="B497" s="54"/>
    </row>
    <row r="498" ht="15.75" customHeight="1">
      <c r="A498" s="54"/>
      <c r="B498" s="54"/>
    </row>
    <row r="499" ht="15.75" customHeight="1">
      <c r="A499" s="54"/>
      <c r="B499" s="54"/>
    </row>
    <row r="500" ht="15.75" customHeight="1">
      <c r="A500" s="54"/>
      <c r="B500" s="54"/>
    </row>
    <row r="501" ht="15.75" customHeight="1">
      <c r="A501" s="54"/>
      <c r="B501" s="54"/>
    </row>
    <row r="502" ht="15.75" customHeight="1">
      <c r="A502" s="54"/>
      <c r="B502" s="54"/>
    </row>
    <row r="503" ht="15.75" customHeight="1">
      <c r="A503" s="54"/>
      <c r="B503" s="54"/>
    </row>
    <row r="504" ht="15.75" customHeight="1">
      <c r="A504" s="54"/>
      <c r="B504" s="54"/>
    </row>
    <row r="505" ht="15.75" customHeight="1">
      <c r="A505" s="54"/>
      <c r="B505" s="54"/>
    </row>
    <row r="506" ht="15.75" customHeight="1">
      <c r="A506" s="54"/>
      <c r="B506" s="54"/>
    </row>
    <row r="507" ht="15.75" customHeight="1">
      <c r="A507" s="54"/>
      <c r="B507" s="54"/>
    </row>
    <row r="508" ht="15.75" customHeight="1">
      <c r="A508" s="54"/>
      <c r="B508" s="54"/>
    </row>
    <row r="509" ht="15.75" customHeight="1">
      <c r="A509" s="54"/>
      <c r="B509" s="54"/>
    </row>
    <row r="510" ht="15.75" customHeight="1">
      <c r="A510" s="54"/>
      <c r="B510" s="54"/>
    </row>
    <row r="511" ht="15.75" customHeight="1">
      <c r="A511" s="54"/>
      <c r="B511" s="54"/>
    </row>
    <row r="512" ht="15.75" customHeight="1">
      <c r="A512" s="54"/>
      <c r="B512" s="54"/>
    </row>
    <row r="513" ht="15.75" customHeight="1">
      <c r="A513" s="54"/>
      <c r="B513" s="54"/>
    </row>
    <row r="514" ht="15.75" customHeight="1">
      <c r="A514" s="54"/>
      <c r="B514" s="54"/>
    </row>
    <row r="515" ht="15.75" customHeight="1">
      <c r="A515" s="54"/>
      <c r="B515" s="54"/>
    </row>
    <row r="516" ht="15.75" customHeight="1">
      <c r="A516" s="54"/>
      <c r="B516" s="54"/>
    </row>
    <row r="517" ht="15.75" customHeight="1">
      <c r="A517" s="54"/>
      <c r="B517" s="54"/>
    </row>
    <row r="518" ht="15.75" customHeight="1">
      <c r="A518" s="54"/>
      <c r="B518" s="54"/>
    </row>
    <row r="519" ht="15.75" customHeight="1">
      <c r="A519" s="54"/>
      <c r="B519" s="54"/>
    </row>
    <row r="520" ht="15.75" customHeight="1">
      <c r="A520" s="54"/>
      <c r="B520" s="54"/>
    </row>
    <row r="521" ht="15.75" customHeight="1">
      <c r="A521" s="54"/>
      <c r="B521" s="54"/>
    </row>
    <row r="522" ht="15.75" customHeight="1">
      <c r="A522" s="54"/>
      <c r="B522" s="54"/>
    </row>
    <row r="523" ht="15.75" customHeight="1">
      <c r="A523" s="54"/>
      <c r="B523" s="54"/>
    </row>
    <row r="524" ht="15.75" customHeight="1">
      <c r="A524" s="54"/>
      <c r="B524" s="54"/>
    </row>
    <row r="525" ht="15.75" customHeight="1">
      <c r="A525" s="54"/>
      <c r="B525" s="54"/>
    </row>
    <row r="526" ht="15.75" customHeight="1">
      <c r="A526" s="54"/>
      <c r="B526" s="54"/>
    </row>
    <row r="527" ht="15.75" customHeight="1">
      <c r="A527" s="54"/>
      <c r="B527" s="54"/>
    </row>
    <row r="528" ht="15.75" customHeight="1">
      <c r="A528" s="54"/>
      <c r="B528" s="54"/>
    </row>
    <row r="529" ht="15.75" customHeight="1">
      <c r="A529" s="54"/>
      <c r="B529" s="54"/>
    </row>
    <row r="530" ht="15.75" customHeight="1">
      <c r="A530" s="54"/>
      <c r="B530" s="54"/>
    </row>
    <row r="531" ht="15.75" customHeight="1">
      <c r="A531" s="54"/>
      <c r="B531" s="54"/>
    </row>
    <row r="532" ht="15.75" customHeight="1">
      <c r="A532" s="54"/>
      <c r="B532" s="54"/>
    </row>
    <row r="533" ht="15.75" customHeight="1">
      <c r="A533" s="54"/>
      <c r="B533" s="54"/>
    </row>
    <row r="534" ht="15.75" customHeight="1">
      <c r="A534" s="54"/>
      <c r="B534" s="54"/>
    </row>
    <row r="535" ht="15.75" customHeight="1">
      <c r="A535" s="54"/>
      <c r="B535" s="54"/>
    </row>
    <row r="536" ht="15.75" customHeight="1">
      <c r="A536" s="54"/>
      <c r="B536" s="54"/>
    </row>
    <row r="537" ht="15.75" customHeight="1">
      <c r="A537" s="54"/>
      <c r="B537" s="54"/>
    </row>
    <row r="538" ht="15.75" customHeight="1">
      <c r="A538" s="54"/>
      <c r="B538" s="54"/>
    </row>
    <row r="539" ht="15.75" customHeight="1">
      <c r="A539" s="54"/>
      <c r="B539" s="54"/>
    </row>
    <row r="540" ht="15.75" customHeight="1">
      <c r="A540" s="54"/>
      <c r="B540" s="54"/>
    </row>
    <row r="541" ht="15.75" customHeight="1">
      <c r="A541" s="54"/>
      <c r="B541" s="54"/>
    </row>
    <row r="542" ht="15.75" customHeight="1">
      <c r="A542" s="54"/>
      <c r="B542" s="54"/>
    </row>
    <row r="543" ht="15.75" customHeight="1">
      <c r="A543" s="54"/>
      <c r="B543" s="54"/>
    </row>
    <row r="544" ht="15.75" customHeight="1">
      <c r="A544" s="54"/>
      <c r="B544" s="54"/>
    </row>
    <row r="545" ht="15.75" customHeight="1">
      <c r="A545" s="54"/>
      <c r="B545" s="54"/>
    </row>
    <row r="546" ht="15.75" customHeight="1">
      <c r="A546" s="54"/>
      <c r="B546" s="54"/>
    </row>
    <row r="547" ht="15.75" customHeight="1">
      <c r="A547" s="54"/>
      <c r="B547" s="54"/>
    </row>
    <row r="548" ht="15.75" customHeight="1">
      <c r="A548" s="54"/>
      <c r="B548" s="54"/>
    </row>
    <row r="549" ht="15.75" customHeight="1">
      <c r="A549" s="54"/>
      <c r="B549" s="54"/>
    </row>
    <row r="550" ht="15.75" customHeight="1">
      <c r="A550" s="54"/>
      <c r="B550" s="54"/>
    </row>
    <row r="551" ht="15.75" customHeight="1">
      <c r="A551" s="54"/>
      <c r="B551" s="54"/>
    </row>
    <row r="552" ht="15.75" customHeight="1">
      <c r="A552" s="54"/>
      <c r="B552" s="54"/>
    </row>
    <row r="553" ht="15.75" customHeight="1">
      <c r="A553" s="54"/>
      <c r="B553" s="54"/>
    </row>
    <row r="554" ht="15.75" customHeight="1">
      <c r="A554" s="54"/>
      <c r="B554" s="54"/>
    </row>
    <row r="555" ht="15.75" customHeight="1">
      <c r="A555" s="54"/>
      <c r="B555" s="54"/>
    </row>
    <row r="556" ht="15.75" customHeight="1">
      <c r="A556" s="54"/>
      <c r="B556" s="54"/>
    </row>
    <row r="557" ht="15.75" customHeight="1">
      <c r="A557" s="54"/>
      <c r="B557" s="54"/>
    </row>
    <row r="558" ht="15.75" customHeight="1">
      <c r="A558" s="54"/>
      <c r="B558" s="54"/>
    </row>
    <row r="559" ht="15.75" customHeight="1">
      <c r="A559" s="54"/>
      <c r="B559" s="54"/>
    </row>
    <row r="560" ht="15.75" customHeight="1">
      <c r="A560" s="54"/>
      <c r="B560" s="54"/>
    </row>
    <row r="561" ht="15.75" customHeight="1">
      <c r="A561" s="54"/>
      <c r="B561" s="54"/>
    </row>
    <row r="562" ht="15.75" customHeight="1">
      <c r="A562" s="54"/>
      <c r="B562" s="54"/>
    </row>
    <row r="563" ht="15.75" customHeight="1">
      <c r="A563" s="54"/>
      <c r="B563" s="54"/>
    </row>
    <row r="564" ht="15.75" customHeight="1">
      <c r="A564" s="54"/>
      <c r="B564" s="54"/>
    </row>
    <row r="565" ht="15.75" customHeight="1">
      <c r="A565" s="54"/>
      <c r="B565" s="54"/>
    </row>
    <row r="566" ht="15.75" customHeight="1">
      <c r="A566" s="54"/>
      <c r="B566" s="54"/>
    </row>
    <row r="567" ht="15.75" customHeight="1">
      <c r="A567" s="54"/>
      <c r="B567" s="54"/>
    </row>
    <row r="568" ht="15.75" customHeight="1">
      <c r="A568" s="54"/>
      <c r="B568" s="54"/>
    </row>
    <row r="569" ht="15.75" customHeight="1">
      <c r="A569" s="54"/>
      <c r="B569" s="54"/>
    </row>
    <row r="570" ht="15.75" customHeight="1">
      <c r="A570" s="54"/>
      <c r="B570" s="54"/>
    </row>
    <row r="571" ht="15.75" customHeight="1">
      <c r="A571" s="54"/>
      <c r="B571" s="54"/>
    </row>
    <row r="572" ht="15.75" customHeight="1">
      <c r="A572" s="54"/>
      <c r="B572" s="54"/>
    </row>
    <row r="573" ht="15.75" customHeight="1">
      <c r="A573" s="54"/>
      <c r="B573" s="54"/>
    </row>
    <row r="574" ht="15.75" customHeight="1">
      <c r="A574" s="54"/>
      <c r="B574" s="54"/>
    </row>
    <row r="575" ht="15.75" customHeight="1">
      <c r="A575" s="54"/>
      <c r="B575" s="54"/>
    </row>
    <row r="576" ht="15.75" customHeight="1">
      <c r="A576" s="54"/>
      <c r="B576" s="54"/>
    </row>
    <row r="577" ht="15.75" customHeight="1">
      <c r="A577" s="54"/>
      <c r="B577" s="54"/>
    </row>
    <row r="578" ht="15.75" customHeight="1">
      <c r="A578" s="54"/>
      <c r="B578" s="54"/>
    </row>
    <row r="579" ht="15.75" customHeight="1">
      <c r="A579" s="54"/>
      <c r="B579" s="54"/>
    </row>
    <row r="580" ht="15.75" customHeight="1">
      <c r="A580" s="54"/>
      <c r="B580" s="54"/>
    </row>
    <row r="581" ht="15.75" customHeight="1">
      <c r="A581" s="54"/>
      <c r="B581" s="54"/>
    </row>
    <row r="582" ht="15.75" customHeight="1">
      <c r="A582" s="54"/>
      <c r="B582" s="54"/>
    </row>
    <row r="583" ht="15.75" customHeight="1">
      <c r="A583" s="54"/>
      <c r="B583" s="54"/>
    </row>
    <row r="584" ht="15.75" customHeight="1">
      <c r="A584" s="54"/>
      <c r="B584" s="54"/>
    </row>
    <row r="585" ht="15.75" customHeight="1">
      <c r="A585" s="54"/>
      <c r="B585" s="54"/>
    </row>
    <row r="586" ht="15.75" customHeight="1">
      <c r="A586" s="54"/>
      <c r="B586" s="54"/>
    </row>
    <row r="587" ht="15.75" customHeight="1">
      <c r="A587" s="54"/>
      <c r="B587" s="54"/>
    </row>
    <row r="588" ht="15.75" customHeight="1">
      <c r="A588" s="54"/>
      <c r="B588" s="54"/>
    </row>
    <row r="589" ht="15.75" customHeight="1">
      <c r="A589" s="54"/>
      <c r="B589" s="54"/>
    </row>
    <row r="590" ht="15.75" customHeight="1">
      <c r="A590" s="54"/>
      <c r="B590" s="54"/>
    </row>
    <row r="591" ht="15.75" customHeight="1">
      <c r="A591" s="54"/>
      <c r="B591" s="54"/>
    </row>
    <row r="592" ht="15.75" customHeight="1">
      <c r="A592" s="54"/>
      <c r="B592" s="54"/>
    </row>
    <row r="593" ht="15.75" customHeight="1">
      <c r="A593" s="54"/>
      <c r="B593" s="54"/>
    </row>
    <row r="594" ht="15.75" customHeight="1">
      <c r="A594" s="54"/>
      <c r="B594" s="54"/>
    </row>
    <row r="595" ht="15.75" customHeight="1">
      <c r="A595" s="54"/>
      <c r="B595" s="54"/>
    </row>
    <row r="596" ht="15.75" customHeight="1">
      <c r="A596" s="54"/>
      <c r="B596" s="54"/>
    </row>
    <row r="597" ht="15.75" customHeight="1">
      <c r="A597" s="54"/>
      <c r="B597" s="54"/>
    </row>
    <row r="598" ht="15.75" customHeight="1">
      <c r="A598" s="54"/>
      <c r="B598" s="54"/>
    </row>
    <row r="599" ht="15.75" customHeight="1">
      <c r="A599" s="54"/>
      <c r="B599" s="54"/>
    </row>
    <row r="600" ht="15.75" customHeight="1">
      <c r="A600" s="54"/>
      <c r="B600" s="54"/>
    </row>
    <row r="601" ht="15.75" customHeight="1">
      <c r="A601" s="54"/>
      <c r="B601" s="54"/>
    </row>
    <row r="602" ht="15.75" customHeight="1">
      <c r="A602" s="54"/>
      <c r="B602" s="54"/>
    </row>
    <row r="603" ht="15.75" customHeight="1">
      <c r="A603" s="54"/>
      <c r="B603" s="54"/>
    </row>
    <row r="604" ht="15.75" customHeight="1">
      <c r="A604" s="54"/>
      <c r="B604" s="54"/>
    </row>
    <row r="605" ht="15.75" customHeight="1">
      <c r="A605" s="54"/>
      <c r="B605" s="54"/>
    </row>
    <row r="606" ht="15.75" customHeight="1">
      <c r="A606" s="54"/>
      <c r="B606" s="54"/>
    </row>
    <row r="607" ht="15.75" customHeight="1">
      <c r="A607" s="54"/>
      <c r="B607" s="54"/>
    </row>
    <row r="608" ht="15.75" customHeight="1">
      <c r="A608" s="54"/>
      <c r="B608" s="54"/>
    </row>
    <row r="609" ht="15.75" customHeight="1">
      <c r="A609" s="54"/>
      <c r="B609" s="54"/>
    </row>
    <row r="610" ht="15.75" customHeight="1">
      <c r="A610" s="54"/>
      <c r="B610" s="54"/>
    </row>
    <row r="611" ht="15.75" customHeight="1">
      <c r="A611" s="54"/>
      <c r="B611" s="54"/>
    </row>
    <row r="612" ht="15.75" customHeight="1">
      <c r="A612" s="54"/>
      <c r="B612" s="54"/>
    </row>
    <row r="613" ht="15.75" customHeight="1">
      <c r="A613" s="54"/>
      <c r="B613" s="54"/>
    </row>
    <row r="614" ht="15.75" customHeight="1">
      <c r="A614" s="54"/>
      <c r="B614" s="54"/>
    </row>
    <row r="615" ht="15.75" customHeight="1">
      <c r="A615" s="54"/>
      <c r="B615" s="54"/>
    </row>
    <row r="616" ht="15.75" customHeight="1">
      <c r="A616" s="54"/>
      <c r="B616" s="54"/>
    </row>
    <row r="617" ht="15.75" customHeight="1">
      <c r="A617" s="54"/>
      <c r="B617" s="54"/>
    </row>
    <row r="618" ht="15.75" customHeight="1">
      <c r="A618" s="54"/>
      <c r="B618" s="54"/>
    </row>
    <row r="619" ht="15.75" customHeight="1">
      <c r="A619" s="54"/>
      <c r="B619" s="54"/>
    </row>
    <row r="620" ht="15.75" customHeight="1">
      <c r="A620" s="54"/>
      <c r="B620" s="54"/>
    </row>
    <row r="621" ht="15.75" customHeight="1">
      <c r="A621" s="54"/>
      <c r="B621" s="54"/>
    </row>
    <row r="622" ht="15.75" customHeight="1">
      <c r="A622" s="54"/>
      <c r="B622" s="54"/>
    </row>
    <row r="623" ht="15.75" customHeight="1">
      <c r="A623" s="54"/>
      <c r="B623" s="54"/>
    </row>
    <row r="624" ht="15.75" customHeight="1">
      <c r="A624" s="54"/>
      <c r="B624" s="54"/>
    </row>
    <row r="625" ht="15.75" customHeight="1">
      <c r="A625" s="54"/>
      <c r="B625" s="54"/>
    </row>
    <row r="626" ht="15.75" customHeight="1">
      <c r="A626" s="54"/>
      <c r="B626" s="54"/>
    </row>
    <row r="627" ht="15.75" customHeight="1">
      <c r="A627" s="54"/>
      <c r="B627" s="54"/>
    </row>
    <row r="628" ht="15.75" customHeight="1">
      <c r="A628" s="54"/>
      <c r="B628" s="54"/>
    </row>
    <row r="629" ht="15.75" customHeight="1">
      <c r="A629" s="54"/>
      <c r="B629" s="54"/>
    </row>
    <row r="630" ht="15.75" customHeight="1">
      <c r="A630" s="54"/>
      <c r="B630" s="54"/>
    </row>
    <row r="631" ht="15.75" customHeight="1">
      <c r="A631" s="54"/>
      <c r="B631" s="54"/>
    </row>
    <row r="632" ht="15.75" customHeight="1">
      <c r="A632" s="54"/>
      <c r="B632" s="54"/>
    </row>
    <row r="633" ht="15.75" customHeight="1">
      <c r="A633" s="54"/>
      <c r="B633" s="54"/>
    </row>
    <row r="634" ht="15.75" customHeight="1">
      <c r="A634" s="54"/>
      <c r="B634" s="54"/>
    </row>
    <row r="635" ht="15.75" customHeight="1">
      <c r="A635" s="54"/>
      <c r="B635" s="54"/>
    </row>
    <row r="636" ht="15.75" customHeight="1">
      <c r="A636" s="54"/>
      <c r="B636" s="54"/>
    </row>
    <row r="637" ht="15.75" customHeight="1">
      <c r="A637" s="54"/>
      <c r="B637" s="54"/>
    </row>
    <row r="638" ht="15.75" customHeight="1">
      <c r="A638" s="54"/>
      <c r="B638" s="54"/>
    </row>
    <row r="639" ht="15.75" customHeight="1">
      <c r="A639" s="54"/>
      <c r="B639" s="54"/>
    </row>
    <row r="640" ht="15.75" customHeight="1">
      <c r="A640" s="54"/>
      <c r="B640" s="54"/>
    </row>
    <row r="641" ht="15.75" customHeight="1">
      <c r="A641" s="54"/>
      <c r="B641" s="54"/>
    </row>
    <row r="642" ht="15.75" customHeight="1">
      <c r="A642" s="54"/>
      <c r="B642" s="54"/>
    </row>
    <row r="643" ht="15.75" customHeight="1">
      <c r="A643" s="54"/>
      <c r="B643" s="54"/>
    </row>
    <row r="644" ht="15.75" customHeight="1">
      <c r="A644" s="54"/>
      <c r="B644" s="54"/>
    </row>
    <row r="645" ht="15.75" customHeight="1">
      <c r="A645" s="54"/>
      <c r="B645" s="54"/>
    </row>
    <row r="646" ht="15.75" customHeight="1">
      <c r="A646" s="54"/>
      <c r="B646" s="54"/>
    </row>
    <row r="647" ht="15.75" customHeight="1">
      <c r="A647" s="54"/>
      <c r="B647" s="54"/>
    </row>
    <row r="648" ht="15.75" customHeight="1">
      <c r="A648" s="54"/>
      <c r="B648" s="54"/>
    </row>
    <row r="649" ht="15.75" customHeight="1">
      <c r="A649" s="54"/>
      <c r="B649" s="54"/>
    </row>
    <row r="650" ht="15.75" customHeight="1">
      <c r="A650" s="54"/>
      <c r="B650" s="54"/>
    </row>
    <row r="651" ht="15.75" customHeight="1">
      <c r="A651" s="54"/>
      <c r="B651" s="54"/>
    </row>
    <row r="652" ht="15.75" customHeight="1">
      <c r="A652" s="54"/>
      <c r="B652" s="54"/>
    </row>
    <row r="653" ht="15.75" customHeight="1">
      <c r="A653" s="54"/>
      <c r="B653" s="54"/>
    </row>
    <row r="654" ht="15.75" customHeight="1">
      <c r="A654" s="54"/>
      <c r="B654" s="54"/>
    </row>
    <row r="655" ht="15.75" customHeight="1">
      <c r="A655" s="54"/>
      <c r="B655" s="54"/>
    </row>
    <row r="656" ht="15.75" customHeight="1">
      <c r="A656" s="54"/>
      <c r="B656" s="54"/>
    </row>
    <row r="657" ht="15.75" customHeight="1">
      <c r="A657" s="54"/>
      <c r="B657" s="54"/>
    </row>
    <row r="658" ht="15.75" customHeight="1">
      <c r="A658" s="54"/>
      <c r="B658" s="54"/>
    </row>
    <row r="659" ht="15.75" customHeight="1">
      <c r="A659" s="54"/>
      <c r="B659" s="54"/>
    </row>
    <row r="660" ht="15.75" customHeight="1">
      <c r="A660" s="54"/>
      <c r="B660" s="54"/>
    </row>
    <row r="661" ht="15.75" customHeight="1">
      <c r="A661" s="54"/>
      <c r="B661" s="54"/>
    </row>
    <row r="662" ht="15.75" customHeight="1">
      <c r="A662" s="54"/>
      <c r="B662" s="54"/>
    </row>
    <row r="663" ht="15.75" customHeight="1">
      <c r="A663" s="54"/>
      <c r="B663" s="54"/>
    </row>
    <row r="664" ht="15.75" customHeight="1">
      <c r="A664" s="54"/>
      <c r="B664" s="54"/>
    </row>
    <row r="665" ht="15.75" customHeight="1">
      <c r="A665" s="54"/>
      <c r="B665" s="54"/>
    </row>
    <row r="666" ht="15.75" customHeight="1">
      <c r="A666" s="54"/>
      <c r="B666" s="54"/>
    </row>
    <row r="667" ht="15.75" customHeight="1">
      <c r="A667" s="54"/>
      <c r="B667" s="54"/>
    </row>
    <row r="668" ht="15.75" customHeight="1">
      <c r="A668" s="54"/>
      <c r="B668" s="54"/>
    </row>
    <row r="669" ht="15.75" customHeight="1">
      <c r="A669" s="54"/>
      <c r="B669" s="54"/>
    </row>
    <row r="670" ht="15.75" customHeight="1">
      <c r="A670" s="54"/>
      <c r="B670" s="54"/>
    </row>
    <row r="671" ht="15.75" customHeight="1">
      <c r="A671" s="54"/>
      <c r="B671" s="54"/>
    </row>
    <row r="672" ht="15.75" customHeight="1">
      <c r="A672" s="54"/>
      <c r="B672" s="54"/>
    </row>
    <row r="673" ht="15.75" customHeight="1">
      <c r="A673" s="54"/>
      <c r="B673" s="54"/>
    </row>
    <row r="674" ht="15.75" customHeight="1">
      <c r="A674" s="54"/>
      <c r="B674" s="54"/>
    </row>
    <row r="675" ht="15.75" customHeight="1">
      <c r="A675" s="54"/>
      <c r="B675" s="54"/>
    </row>
    <row r="676" ht="15.75" customHeight="1">
      <c r="A676" s="54"/>
      <c r="B676" s="54"/>
    </row>
    <row r="677" ht="15.75" customHeight="1">
      <c r="A677" s="54"/>
      <c r="B677" s="54"/>
    </row>
    <row r="678" ht="15.75" customHeight="1">
      <c r="A678" s="54"/>
      <c r="B678" s="54"/>
    </row>
    <row r="679" ht="15.75" customHeight="1">
      <c r="A679" s="54"/>
      <c r="B679" s="54"/>
    </row>
    <row r="680" ht="15.75" customHeight="1">
      <c r="A680" s="54"/>
      <c r="B680" s="54"/>
    </row>
    <row r="681" ht="15.75" customHeight="1">
      <c r="A681" s="54"/>
      <c r="B681" s="54"/>
    </row>
    <row r="682" ht="15.75" customHeight="1">
      <c r="A682" s="54"/>
      <c r="B682" s="54"/>
    </row>
    <row r="683" ht="15.75" customHeight="1">
      <c r="A683" s="54"/>
      <c r="B683" s="54"/>
    </row>
    <row r="684" ht="15.75" customHeight="1">
      <c r="A684" s="54"/>
      <c r="B684" s="54"/>
    </row>
    <row r="685" ht="15.75" customHeight="1">
      <c r="A685" s="54"/>
      <c r="B685" s="54"/>
    </row>
    <row r="686" ht="15.75" customHeight="1">
      <c r="A686" s="54"/>
      <c r="B686" s="54"/>
    </row>
    <row r="687" ht="15.75" customHeight="1">
      <c r="A687" s="54"/>
      <c r="B687" s="54"/>
    </row>
    <row r="688" ht="15.75" customHeight="1">
      <c r="A688" s="54"/>
      <c r="B688" s="54"/>
    </row>
    <row r="689" ht="15.75" customHeight="1">
      <c r="A689" s="54"/>
      <c r="B689" s="54"/>
    </row>
    <row r="690" ht="15.75" customHeight="1">
      <c r="A690" s="54"/>
      <c r="B690" s="54"/>
    </row>
    <row r="691" ht="15.75" customHeight="1">
      <c r="A691" s="54"/>
      <c r="B691" s="54"/>
    </row>
    <row r="692" ht="15.75" customHeight="1">
      <c r="A692" s="54"/>
      <c r="B692" s="54"/>
    </row>
    <row r="693" ht="15.75" customHeight="1">
      <c r="A693" s="54"/>
      <c r="B693" s="54"/>
    </row>
    <row r="694" ht="15.75" customHeight="1">
      <c r="A694" s="54"/>
      <c r="B694" s="54"/>
    </row>
    <row r="695" ht="15.75" customHeight="1">
      <c r="A695" s="54"/>
      <c r="B695" s="54"/>
    </row>
    <row r="696" ht="15.75" customHeight="1">
      <c r="A696" s="54"/>
      <c r="B696" s="54"/>
    </row>
    <row r="697" ht="15.75" customHeight="1">
      <c r="A697" s="54"/>
      <c r="B697" s="54"/>
    </row>
    <row r="698" ht="15.75" customHeight="1">
      <c r="A698" s="54"/>
      <c r="B698" s="54"/>
    </row>
    <row r="699" ht="15.75" customHeight="1">
      <c r="A699" s="54"/>
      <c r="B699" s="54"/>
    </row>
    <row r="700" ht="15.75" customHeight="1">
      <c r="A700" s="54"/>
      <c r="B700" s="54"/>
    </row>
    <row r="701" ht="15.75" customHeight="1">
      <c r="A701" s="54"/>
      <c r="B701" s="54"/>
    </row>
    <row r="702" ht="15.75" customHeight="1">
      <c r="A702" s="54"/>
      <c r="B702" s="54"/>
    </row>
    <row r="703" ht="15.75" customHeight="1">
      <c r="A703" s="54"/>
      <c r="B703" s="54"/>
    </row>
    <row r="704" ht="15.75" customHeight="1">
      <c r="A704" s="54"/>
      <c r="B704" s="54"/>
    </row>
    <row r="705" ht="15.75" customHeight="1">
      <c r="A705" s="54"/>
      <c r="B705" s="54"/>
    </row>
    <row r="706" ht="15.75" customHeight="1">
      <c r="A706" s="54"/>
      <c r="B706" s="54"/>
    </row>
    <row r="707" ht="15.75" customHeight="1">
      <c r="A707" s="54"/>
      <c r="B707" s="54"/>
    </row>
    <row r="708" ht="15.75" customHeight="1">
      <c r="A708" s="54"/>
      <c r="B708" s="54"/>
    </row>
    <row r="709" ht="15.75" customHeight="1">
      <c r="A709" s="54"/>
      <c r="B709" s="54"/>
    </row>
    <row r="710" ht="15.75" customHeight="1">
      <c r="A710" s="54"/>
      <c r="B710" s="54"/>
    </row>
    <row r="711" ht="15.75" customHeight="1">
      <c r="A711" s="54"/>
      <c r="B711" s="54"/>
    </row>
    <row r="712" ht="15.75" customHeight="1">
      <c r="A712" s="54"/>
      <c r="B712" s="54"/>
    </row>
    <row r="713" ht="15.75" customHeight="1">
      <c r="A713" s="54"/>
      <c r="B713" s="54"/>
    </row>
    <row r="714" ht="15.75" customHeight="1">
      <c r="A714" s="54"/>
      <c r="B714" s="54"/>
    </row>
    <row r="715" ht="15.75" customHeight="1">
      <c r="A715" s="54"/>
      <c r="B715" s="54"/>
    </row>
    <row r="716" ht="15.75" customHeight="1">
      <c r="A716" s="54"/>
      <c r="B716" s="54"/>
    </row>
    <row r="717" ht="15.75" customHeight="1">
      <c r="A717" s="54"/>
      <c r="B717" s="54"/>
    </row>
    <row r="718" ht="15.75" customHeight="1">
      <c r="A718" s="54"/>
      <c r="B718" s="54"/>
    </row>
    <row r="719" ht="15.75" customHeight="1">
      <c r="A719" s="54"/>
      <c r="B719" s="54"/>
    </row>
    <row r="720" ht="15.75" customHeight="1">
      <c r="A720" s="54"/>
      <c r="B720" s="54"/>
    </row>
    <row r="721" ht="15.75" customHeight="1">
      <c r="A721" s="54"/>
      <c r="B721" s="54"/>
    </row>
    <row r="722" ht="15.75" customHeight="1">
      <c r="A722" s="54"/>
      <c r="B722" s="54"/>
    </row>
    <row r="723" ht="15.75" customHeight="1">
      <c r="A723" s="54"/>
      <c r="B723" s="54"/>
    </row>
    <row r="724" ht="15.75" customHeight="1">
      <c r="A724" s="54"/>
      <c r="B724" s="54"/>
    </row>
    <row r="725" ht="15.75" customHeight="1">
      <c r="A725" s="54"/>
      <c r="B725" s="54"/>
    </row>
    <row r="726" ht="15.75" customHeight="1">
      <c r="A726" s="54"/>
      <c r="B726" s="54"/>
    </row>
    <row r="727" ht="15.75" customHeight="1">
      <c r="A727" s="54"/>
      <c r="B727" s="54"/>
    </row>
    <row r="728" ht="15.75" customHeight="1">
      <c r="A728" s="54"/>
      <c r="B728" s="54"/>
    </row>
    <row r="729" ht="15.75" customHeight="1">
      <c r="A729" s="54"/>
      <c r="B729" s="54"/>
    </row>
    <row r="730" ht="15.75" customHeight="1">
      <c r="A730" s="54"/>
      <c r="B730" s="54"/>
    </row>
    <row r="731" ht="15.75" customHeight="1">
      <c r="A731" s="54"/>
      <c r="B731" s="54"/>
    </row>
    <row r="732" ht="15.75" customHeight="1">
      <c r="A732" s="54"/>
      <c r="B732" s="54"/>
    </row>
    <row r="733" ht="15.75" customHeight="1">
      <c r="A733" s="54"/>
      <c r="B733" s="54"/>
    </row>
    <row r="734" ht="15.75" customHeight="1">
      <c r="A734" s="54"/>
      <c r="B734" s="54"/>
    </row>
    <row r="735" ht="15.75" customHeight="1">
      <c r="A735" s="54"/>
      <c r="B735" s="54"/>
    </row>
    <row r="736" ht="15.75" customHeight="1">
      <c r="A736" s="54"/>
      <c r="B736" s="54"/>
    </row>
    <row r="737" ht="15.75" customHeight="1">
      <c r="A737" s="54"/>
      <c r="B737" s="54"/>
    </row>
    <row r="738" ht="15.75" customHeight="1">
      <c r="A738" s="54"/>
      <c r="B738" s="54"/>
    </row>
    <row r="739" ht="15.75" customHeight="1">
      <c r="A739" s="54"/>
      <c r="B739" s="54"/>
    </row>
    <row r="740" ht="15.75" customHeight="1">
      <c r="A740" s="54"/>
      <c r="B740" s="54"/>
    </row>
    <row r="741" ht="15.75" customHeight="1">
      <c r="A741" s="54"/>
      <c r="B741" s="54"/>
    </row>
    <row r="742" ht="15.75" customHeight="1">
      <c r="A742" s="54"/>
      <c r="B742" s="54"/>
    </row>
    <row r="743" ht="15.75" customHeight="1">
      <c r="A743" s="54"/>
      <c r="B743" s="54"/>
    </row>
    <row r="744" ht="15.75" customHeight="1">
      <c r="A744" s="54"/>
      <c r="B744" s="54"/>
    </row>
    <row r="745" ht="15.75" customHeight="1">
      <c r="A745" s="54"/>
      <c r="B745" s="54"/>
    </row>
    <row r="746" ht="15.75" customHeight="1">
      <c r="A746" s="54"/>
      <c r="B746" s="54"/>
    </row>
    <row r="747" ht="15.75" customHeight="1">
      <c r="A747" s="54"/>
      <c r="B747" s="54"/>
    </row>
    <row r="748" ht="15.75" customHeight="1">
      <c r="A748" s="54"/>
      <c r="B748" s="54"/>
    </row>
    <row r="749" ht="15.75" customHeight="1">
      <c r="A749" s="54"/>
      <c r="B749" s="54"/>
    </row>
    <row r="750" ht="15.75" customHeight="1">
      <c r="A750" s="54"/>
      <c r="B750" s="54"/>
    </row>
    <row r="751" ht="15.75" customHeight="1">
      <c r="A751" s="54"/>
      <c r="B751" s="54"/>
    </row>
    <row r="752" ht="15.75" customHeight="1">
      <c r="A752" s="54"/>
      <c r="B752" s="54"/>
    </row>
    <row r="753" ht="15.75" customHeight="1">
      <c r="A753" s="54"/>
      <c r="B753" s="54"/>
    </row>
    <row r="754" ht="15.75" customHeight="1">
      <c r="A754" s="54"/>
      <c r="B754" s="54"/>
    </row>
    <row r="755" ht="15.75" customHeight="1">
      <c r="A755" s="54"/>
      <c r="B755" s="54"/>
    </row>
    <row r="756" ht="15.75" customHeight="1">
      <c r="A756" s="54"/>
      <c r="B756" s="54"/>
    </row>
    <row r="757" ht="15.75" customHeight="1">
      <c r="A757" s="54"/>
      <c r="B757" s="54"/>
    </row>
    <row r="758" ht="15.75" customHeight="1">
      <c r="A758" s="54"/>
      <c r="B758" s="54"/>
    </row>
    <row r="759" ht="15.75" customHeight="1">
      <c r="A759" s="54"/>
      <c r="B759" s="54"/>
    </row>
    <row r="760" ht="15.75" customHeight="1">
      <c r="A760" s="54"/>
      <c r="B760" s="54"/>
    </row>
    <row r="761" ht="15.75" customHeight="1">
      <c r="A761" s="54"/>
      <c r="B761" s="54"/>
    </row>
    <row r="762" ht="15.75" customHeight="1">
      <c r="A762" s="54"/>
      <c r="B762" s="54"/>
    </row>
    <row r="763" ht="15.75" customHeight="1">
      <c r="A763" s="54"/>
      <c r="B763" s="54"/>
    </row>
    <row r="764" ht="15.75" customHeight="1">
      <c r="A764" s="54"/>
      <c r="B764" s="54"/>
    </row>
    <row r="765" ht="15.75" customHeight="1">
      <c r="A765" s="54"/>
      <c r="B765" s="54"/>
    </row>
    <row r="766" ht="15.75" customHeight="1">
      <c r="A766" s="54"/>
      <c r="B766" s="54"/>
    </row>
    <row r="767" ht="15.75" customHeight="1">
      <c r="A767" s="54"/>
      <c r="B767" s="54"/>
    </row>
    <row r="768" ht="15.75" customHeight="1">
      <c r="A768" s="54"/>
      <c r="B768" s="54"/>
    </row>
    <row r="769" ht="15.75" customHeight="1">
      <c r="A769" s="54"/>
      <c r="B769" s="54"/>
    </row>
    <row r="770" ht="15.75" customHeight="1">
      <c r="A770" s="54"/>
      <c r="B770" s="54"/>
    </row>
    <row r="771" ht="15.75" customHeight="1">
      <c r="A771" s="54"/>
      <c r="B771" s="54"/>
    </row>
    <row r="772" ht="15.75" customHeight="1">
      <c r="A772" s="54"/>
      <c r="B772" s="54"/>
    </row>
    <row r="773" ht="15.75" customHeight="1">
      <c r="A773" s="54"/>
      <c r="B773" s="54"/>
    </row>
    <row r="774" ht="15.75" customHeight="1">
      <c r="A774" s="54"/>
      <c r="B774" s="54"/>
    </row>
    <row r="775" ht="15.75" customHeight="1">
      <c r="A775" s="54"/>
      <c r="B775" s="54"/>
    </row>
    <row r="776" ht="15.75" customHeight="1">
      <c r="A776" s="54"/>
      <c r="B776" s="54"/>
    </row>
    <row r="777" ht="15.75" customHeight="1">
      <c r="A777" s="54"/>
      <c r="B777" s="54"/>
    </row>
    <row r="778" ht="15.75" customHeight="1">
      <c r="A778" s="54"/>
      <c r="B778" s="54"/>
    </row>
    <row r="779" ht="15.75" customHeight="1">
      <c r="A779" s="54"/>
      <c r="B779" s="54"/>
    </row>
    <row r="780" ht="15.75" customHeight="1">
      <c r="A780" s="54"/>
      <c r="B780" s="54"/>
    </row>
    <row r="781" ht="15.75" customHeight="1">
      <c r="A781" s="54"/>
      <c r="B781" s="54"/>
    </row>
    <row r="782" ht="15.75" customHeight="1">
      <c r="A782" s="54"/>
      <c r="B782" s="54"/>
    </row>
    <row r="783" ht="15.75" customHeight="1">
      <c r="A783" s="54"/>
      <c r="B783" s="54"/>
    </row>
    <row r="784" ht="15.75" customHeight="1">
      <c r="A784" s="54"/>
      <c r="B784" s="54"/>
    </row>
    <row r="785" ht="15.75" customHeight="1">
      <c r="A785" s="54"/>
      <c r="B785" s="54"/>
    </row>
    <row r="786" ht="15.75" customHeight="1">
      <c r="A786" s="54"/>
      <c r="B786" s="54"/>
    </row>
    <row r="787" ht="15.75" customHeight="1">
      <c r="A787" s="54"/>
      <c r="B787" s="54"/>
    </row>
    <row r="788" ht="15.75" customHeight="1">
      <c r="A788" s="54"/>
      <c r="B788" s="54"/>
    </row>
    <row r="789" ht="15.75" customHeight="1">
      <c r="A789" s="54"/>
      <c r="B789" s="54"/>
    </row>
    <row r="790" ht="15.75" customHeight="1">
      <c r="A790" s="54"/>
      <c r="B790" s="54"/>
    </row>
    <row r="791" ht="15.75" customHeight="1">
      <c r="A791" s="54"/>
      <c r="B791" s="54"/>
    </row>
    <row r="792" ht="15.75" customHeight="1">
      <c r="A792" s="54"/>
      <c r="B792" s="54"/>
    </row>
    <row r="793" ht="15.75" customHeight="1">
      <c r="A793" s="54"/>
      <c r="B793" s="54"/>
    </row>
    <row r="794" ht="15.75" customHeight="1">
      <c r="A794" s="54"/>
      <c r="B794" s="54"/>
    </row>
    <row r="795" ht="15.75" customHeight="1">
      <c r="A795" s="54"/>
      <c r="B795" s="54"/>
    </row>
    <row r="796" ht="15.75" customHeight="1">
      <c r="A796" s="54"/>
      <c r="B796" s="54"/>
    </row>
    <row r="797" ht="15.75" customHeight="1">
      <c r="A797" s="54"/>
      <c r="B797" s="54"/>
    </row>
    <row r="798" ht="15.75" customHeight="1">
      <c r="A798" s="54"/>
      <c r="B798" s="54"/>
    </row>
    <row r="799" ht="15.75" customHeight="1">
      <c r="A799" s="54"/>
      <c r="B799" s="54"/>
    </row>
    <row r="800" ht="15.75" customHeight="1">
      <c r="A800" s="54"/>
      <c r="B800" s="54"/>
    </row>
    <row r="801" ht="15.75" customHeight="1">
      <c r="A801" s="54"/>
      <c r="B801" s="54"/>
    </row>
    <row r="802" ht="15.75" customHeight="1">
      <c r="A802" s="54"/>
      <c r="B802" s="54"/>
    </row>
    <row r="803" ht="15.75" customHeight="1">
      <c r="A803" s="54"/>
      <c r="B803" s="54"/>
    </row>
    <row r="804" ht="15.75" customHeight="1">
      <c r="A804" s="54"/>
      <c r="B804" s="54"/>
    </row>
    <row r="805" ht="15.75" customHeight="1">
      <c r="A805" s="54"/>
      <c r="B805" s="54"/>
    </row>
    <row r="806" ht="15.75" customHeight="1">
      <c r="A806" s="54"/>
      <c r="B806" s="54"/>
    </row>
    <row r="807" ht="15.75" customHeight="1">
      <c r="A807" s="54"/>
      <c r="B807" s="54"/>
    </row>
    <row r="808" ht="15.75" customHeight="1">
      <c r="A808" s="54"/>
      <c r="B808" s="54"/>
    </row>
    <row r="809" ht="15.75" customHeight="1">
      <c r="A809" s="54"/>
      <c r="B809" s="54"/>
    </row>
    <row r="810" ht="15.75" customHeight="1">
      <c r="A810" s="54"/>
      <c r="B810" s="54"/>
    </row>
    <row r="811" ht="15.75" customHeight="1">
      <c r="A811" s="54"/>
      <c r="B811" s="54"/>
    </row>
    <row r="812" ht="15.75" customHeight="1">
      <c r="A812" s="54"/>
      <c r="B812" s="54"/>
    </row>
    <row r="813" ht="15.75" customHeight="1">
      <c r="A813" s="54"/>
      <c r="B813" s="54"/>
    </row>
    <row r="814" ht="15.75" customHeight="1">
      <c r="A814" s="54"/>
      <c r="B814" s="54"/>
    </row>
    <row r="815" ht="15.75" customHeight="1">
      <c r="A815" s="54"/>
      <c r="B815" s="54"/>
    </row>
    <row r="816" ht="15.75" customHeight="1">
      <c r="A816" s="54"/>
      <c r="B816" s="54"/>
    </row>
    <row r="817" ht="15.75" customHeight="1">
      <c r="A817" s="54"/>
      <c r="B817" s="54"/>
    </row>
    <row r="818" ht="15.75" customHeight="1">
      <c r="A818" s="54"/>
      <c r="B818" s="54"/>
    </row>
    <row r="819" ht="15.75" customHeight="1">
      <c r="A819" s="54"/>
      <c r="B819" s="54"/>
    </row>
    <row r="820" ht="15.75" customHeight="1">
      <c r="A820" s="54"/>
      <c r="B820" s="54"/>
    </row>
    <row r="821" ht="15.75" customHeight="1">
      <c r="A821" s="54"/>
      <c r="B821" s="54"/>
    </row>
    <row r="822" ht="15.75" customHeight="1">
      <c r="A822" s="54"/>
      <c r="B822" s="54"/>
    </row>
    <row r="823" ht="15.75" customHeight="1">
      <c r="A823" s="54"/>
      <c r="B823" s="54"/>
    </row>
    <row r="824" ht="15.75" customHeight="1">
      <c r="A824" s="54"/>
      <c r="B824" s="54"/>
    </row>
    <row r="825" ht="15.75" customHeight="1">
      <c r="A825" s="54"/>
      <c r="B825" s="54"/>
    </row>
    <row r="826" ht="15.75" customHeight="1">
      <c r="A826" s="54"/>
      <c r="B826" s="54"/>
    </row>
    <row r="827" ht="15.75" customHeight="1">
      <c r="A827" s="54"/>
      <c r="B827" s="54"/>
    </row>
    <row r="828" ht="15.75" customHeight="1">
      <c r="A828" s="54"/>
      <c r="B828" s="54"/>
    </row>
    <row r="829" ht="15.75" customHeight="1">
      <c r="A829" s="54"/>
      <c r="B829" s="54"/>
    </row>
    <row r="830" ht="15.75" customHeight="1">
      <c r="A830" s="54"/>
      <c r="B830" s="54"/>
    </row>
    <row r="831" ht="15.75" customHeight="1">
      <c r="A831" s="54"/>
      <c r="B831" s="54"/>
    </row>
    <row r="832" ht="15.75" customHeight="1">
      <c r="A832" s="54"/>
      <c r="B832" s="54"/>
    </row>
    <row r="833" ht="15.75" customHeight="1">
      <c r="A833" s="54"/>
      <c r="B833" s="54"/>
    </row>
    <row r="834" ht="15.75" customHeight="1">
      <c r="A834" s="54"/>
      <c r="B834" s="54"/>
    </row>
    <row r="835" ht="15.75" customHeight="1">
      <c r="A835" s="54"/>
      <c r="B835" s="54"/>
    </row>
    <row r="836" ht="15.75" customHeight="1">
      <c r="A836" s="54"/>
      <c r="B836" s="54"/>
    </row>
    <row r="837" ht="15.75" customHeight="1">
      <c r="A837" s="54"/>
      <c r="B837" s="54"/>
    </row>
    <row r="838" ht="15.75" customHeight="1">
      <c r="A838" s="54"/>
      <c r="B838" s="54"/>
    </row>
    <row r="839" ht="15.75" customHeight="1">
      <c r="A839" s="54"/>
      <c r="B839" s="54"/>
    </row>
    <row r="840" ht="15.75" customHeight="1">
      <c r="A840" s="54"/>
      <c r="B840" s="54"/>
    </row>
    <row r="841" ht="15.75" customHeight="1">
      <c r="A841" s="54"/>
      <c r="B841" s="54"/>
    </row>
    <row r="842" ht="15.75" customHeight="1">
      <c r="A842" s="54"/>
      <c r="B842" s="54"/>
    </row>
    <row r="843" ht="15.75" customHeight="1">
      <c r="A843" s="54"/>
      <c r="B843" s="54"/>
    </row>
    <row r="844" ht="15.75" customHeight="1">
      <c r="A844" s="54"/>
      <c r="B844" s="54"/>
    </row>
    <row r="845" ht="15.75" customHeight="1">
      <c r="A845" s="54"/>
      <c r="B845" s="54"/>
    </row>
    <row r="846" ht="15.75" customHeight="1">
      <c r="A846" s="54"/>
      <c r="B846" s="54"/>
    </row>
    <row r="847" ht="15.75" customHeight="1">
      <c r="A847" s="54"/>
      <c r="B847" s="54"/>
    </row>
    <row r="848" ht="15.75" customHeight="1">
      <c r="A848" s="54"/>
      <c r="B848" s="54"/>
    </row>
    <row r="849" ht="15.75" customHeight="1">
      <c r="A849" s="54"/>
      <c r="B849" s="54"/>
    </row>
    <row r="850" ht="15.75" customHeight="1">
      <c r="A850" s="54"/>
      <c r="B850" s="54"/>
    </row>
    <row r="851" ht="15.75" customHeight="1">
      <c r="A851" s="54"/>
      <c r="B851" s="54"/>
    </row>
    <row r="852" ht="15.75" customHeight="1">
      <c r="A852" s="54"/>
      <c r="B852" s="54"/>
    </row>
    <row r="853" ht="15.75" customHeight="1">
      <c r="A853" s="54"/>
      <c r="B853" s="54"/>
    </row>
    <row r="854" ht="15.75" customHeight="1">
      <c r="A854" s="54"/>
      <c r="B854" s="54"/>
    </row>
    <row r="855" ht="15.75" customHeight="1">
      <c r="A855" s="54"/>
      <c r="B855" s="54"/>
    </row>
    <row r="856" ht="15.75" customHeight="1">
      <c r="A856" s="54"/>
      <c r="B856" s="54"/>
    </row>
    <row r="857" ht="15.75" customHeight="1">
      <c r="A857" s="54"/>
      <c r="B857" s="54"/>
    </row>
    <row r="858" ht="15.75" customHeight="1">
      <c r="A858" s="54"/>
      <c r="B858" s="54"/>
    </row>
    <row r="859" ht="15.75" customHeight="1">
      <c r="A859" s="54"/>
      <c r="B859" s="54"/>
    </row>
    <row r="860" ht="15.75" customHeight="1">
      <c r="A860" s="54"/>
      <c r="B860" s="54"/>
    </row>
    <row r="861" ht="15.75" customHeight="1">
      <c r="A861" s="54"/>
      <c r="B861" s="54"/>
    </row>
    <row r="862" ht="15.75" customHeight="1">
      <c r="A862" s="54"/>
      <c r="B862" s="54"/>
    </row>
    <row r="863" ht="15.75" customHeight="1">
      <c r="A863" s="54"/>
      <c r="B863" s="54"/>
    </row>
    <row r="864" ht="15.75" customHeight="1">
      <c r="A864" s="54"/>
      <c r="B864" s="54"/>
    </row>
    <row r="865" ht="15.75" customHeight="1">
      <c r="A865" s="54"/>
      <c r="B865" s="54"/>
    </row>
    <row r="866" ht="15.75" customHeight="1">
      <c r="A866" s="54"/>
      <c r="B866" s="54"/>
    </row>
    <row r="867" ht="15.75" customHeight="1">
      <c r="A867" s="54"/>
      <c r="B867" s="54"/>
    </row>
    <row r="868" ht="15.75" customHeight="1">
      <c r="A868" s="54"/>
      <c r="B868" s="54"/>
    </row>
    <row r="869" ht="15.75" customHeight="1">
      <c r="A869" s="54"/>
      <c r="B869" s="54"/>
    </row>
    <row r="870" ht="15.75" customHeight="1">
      <c r="A870" s="54"/>
      <c r="B870" s="54"/>
    </row>
    <row r="871" ht="15.75" customHeight="1">
      <c r="A871" s="54"/>
      <c r="B871" s="54"/>
    </row>
    <row r="872" ht="15.75" customHeight="1">
      <c r="A872" s="54"/>
      <c r="B872" s="54"/>
    </row>
    <row r="873" ht="15.75" customHeight="1">
      <c r="A873" s="54"/>
      <c r="B873" s="54"/>
    </row>
    <row r="874" ht="15.75" customHeight="1">
      <c r="A874" s="54"/>
      <c r="B874" s="54"/>
    </row>
    <row r="875" ht="15.75" customHeight="1">
      <c r="A875" s="54"/>
      <c r="B875" s="54"/>
    </row>
    <row r="876" ht="15.75" customHeight="1">
      <c r="A876" s="54"/>
      <c r="B876" s="54"/>
    </row>
    <row r="877" ht="15.75" customHeight="1">
      <c r="A877" s="54"/>
      <c r="B877" s="54"/>
    </row>
    <row r="878" ht="15.75" customHeight="1">
      <c r="A878" s="54"/>
      <c r="B878" s="54"/>
    </row>
    <row r="879" ht="15.75" customHeight="1">
      <c r="A879" s="54"/>
      <c r="B879" s="54"/>
    </row>
    <row r="880" ht="15.75" customHeight="1">
      <c r="A880" s="54"/>
      <c r="B880" s="54"/>
    </row>
    <row r="881" ht="15.75" customHeight="1">
      <c r="A881" s="54"/>
      <c r="B881" s="54"/>
    </row>
    <row r="882" ht="15.75" customHeight="1">
      <c r="A882" s="54"/>
      <c r="B882" s="54"/>
    </row>
    <row r="883" ht="15.75" customHeight="1">
      <c r="A883" s="54"/>
      <c r="B883" s="54"/>
    </row>
    <row r="884" ht="15.75" customHeight="1">
      <c r="A884" s="54"/>
      <c r="B884" s="54"/>
    </row>
    <row r="885" ht="15.75" customHeight="1">
      <c r="A885" s="54"/>
      <c r="B885" s="54"/>
    </row>
    <row r="886" ht="15.75" customHeight="1">
      <c r="A886" s="54"/>
      <c r="B886" s="54"/>
    </row>
    <row r="887" ht="15.75" customHeight="1">
      <c r="A887" s="54"/>
      <c r="B887" s="54"/>
    </row>
    <row r="888" ht="15.75" customHeight="1">
      <c r="A888" s="54"/>
      <c r="B888" s="54"/>
    </row>
    <row r="889" ht="15.75" customHeight="1">
      <c r="A889" s="54"/>
      <c r="B889" s="54"/>
    </row>
    <row r="890" ht="15.75" customHeight="1">
      <c r="A890" s="54"/>
      <c r="B890" s="54"/>
    </row>
    <row r="891" ht="15.75" customHeight="1">
      <c r="A891" s="54"/>
      <c r="B891" s="54"/>
    </row>
    <row r="892" ht="15.75" customHeight="1">
      <c r="A892" s="54"/>
      <c r="B892" s="54"/>
    </row>
    <row r="893" ht="15.75" customHeight="1">
      <c r="A893" s="54"/>
      <c r="B893" s="54"/>
    </row>
    <row r="894" ht="15.75" customHeight="1">
      <c r="A894" s="54"/>
      <c r="B894" s="54"/>
    </row>
    <row r="895" ht="15.75" customHeight="1">
      <c r="A895" s="54"/>
      <c r="B895" s="54"/>
    </row>
    <row r="896" ht="15.75" customHeight="1">
      <c r="A896" s="54"/>
      <c r="B896" s="54"/>
    </row>
    <row r="897" ht="15.75" customHeight="1">
      <c r="A897" s="54"/>
      <c r="B897" s="54"/>
    </row>
    <row r="898" ht="15.75" customHeight="1">
      <c r="A898" s="54"/>
      <c r="B898" s="54"/>
    </row>
    <row r="899" ht="15.75" customHeight="1">
      <c r="A899" s="54"/>
      <c r="B899" s="54"/>
    </row>
    <row r="900" ht="15.75" customHeight="1">
      <c r="A900" s="54"/>
      <c r="B900" s="54"/>
    </row>
    <row r="901" ht="15.75" customHeight="1">
      <c r="A901" s="54"/>
      <c r="B901" s="54"/>
    </row>
    <row r="902" ht="15.75" customHeight="1">
      <c r="A902" s="54"/>
      <c r="B902" s="54"/>
    </row>
    <row r="903" ht="15.75" customHeight="1">
      <c r="A903" s="54"/>
      <c r="B903" s="54"/>
    </row>
    <row r="904" ht="15.75" customHeight="1">
      <c r="A904" s="54"/>
      <c r="B904" s="54"/>
    </row>
    <row r="905" ht="15.75" customHeight="1">
      <c r="A905" s="54"/>
      <c r="B905" s="54"/>
    </row>
    <row r="906" ht="15.75" customHeight="1">
      <c r="A906" s="54"/>
      <c r="B906" s="54"/>
    </row>
    <row r="907" ht="15.75" customHeight="1">
      <c r="A907" s="54"/>
      <c r="B907" s="54"/>
    </row>
    <row r="908" ht="15.75" customHeight="1">
      <c r="A908" s="54"/>
      <c r="B908" s="54"/>
    </row>
    <row r="909" ht="15.75" customHeight="1">
      <c r="A909" s="54"/>
      <c r="B909" s="54"/>
    </row>
    <row r="910" ht="15.75" customHeight="1">
      <c r="A910" s="54"/>
      <c r="B910" s="54"/>
    </row>
    <row r="911" ht="15.75" customHeight="1">
      <c r="A911" s="54"/>
      <c r="B911" s="54"/>
    </row>
    <row r="912" ht="15.75" customHeight="1">
      <c r="A912" s="54"/>
      <c r="B912" s="54"/>
    </row>
    <row r="913" ht="15.75" customHeight="1">
      <c r="A913" s="54"/>
      <c r="B913" s="54"/>
    </row>
    <row r="914" ht="15.75" customHeight="1">
      <c r="A914" s="54"/>
      <c r="B914" s="54"/>
    </row>
    <row r="915" ht="15.75" customHeight="1">
      <c r="A915" s="54"/>
      <c r="B915" s="54"/>
    </row>
    <row r="916" ht="15.75" customHeight="1">
      <c r="A916" s="54"/>
      <c r="B916" s="54"/>
    </row>
    <row r="917" ht="15.75" customHeight="1">
      <c r="A917" s="54"/>
      <c r="B917" s="54"/>
    </row>
    <row r="918" ht="15.75" customHeight="1">
      <c r="A918" s="54"/>
      <c r="B918" s="54"/>
    </row>
    <row r="919" ht="15.75" customHeight="1">
      <c r="A919" s="54"/>
      <c r="B919" s="54"/>
    </row>
    <row r="920" ht="15.75" customHeight="1">
      <c r="A920" s="54"/>
      <c r="B920" s="54"/>
    </row>
    <row r="921" ht="15.75" customHeight="1">
      <c r="A921" s="54"/>
      <c r="B921" s="54"/>
    </row>
    <row r="922" ht="15.75" customHeight="1">
      <c r="A922" s="54"/>
      <c r="B922" s="54"/>
    </row>
    <row r="923" ht="15.75" customHeight="1">
      <c r="A923" s="54"/>
      <c r="B923" s="54"/>
    </row>
    <row r="924" ht="15.75" customHeight="1">
      <c r="A924" s="54"/>
      <c r="B924" s="54"/>
    </row>
    <row r="925" ht="15.75" customHeight="1">
      <c r="A925" s="54"/>
      <c r="B925" s="54"/>
    </row>
    <row r="926" ht="15.75" customHeight="1">
      <c r="A926" s="54"/>
      <c r="B926" s="54"/>
    </row>
    <row r="927" ht="15.75" customHeight="1">
      <c r="A927" s="54"/>
      <c r="B927" s="54"/>
    </row>
    <row r="928" ht="15.75" customHeight="1">
      <c r="A928" s="54"/>
      <c r="B928" s="54"/>
    </row>
    <row r="929" ht="15.75" customHeight="1">
      <c r="A929" s="54"/>
      <c r="B929" s="54"/>
    </row>
    <row r="930" ht="15.75" customHeight="1">
      <c r="A930" s="54"/>
      <c r="B930" s="54"/>
    </row>
    <row r="931" ht="15.75" customHeight="1">
      <c r="A931" s="54"/>
      <c r="B931" s="54"/>
    </row>
    <row r="932" ht="15.75" customHeight="1">
      <c r="A932" s="54"/>
      <c r="B932" s="54"/>
    </row>
    <row r="933" ht="15.75" customHeight="1">
      <c r="A933" s="54"/>
      <c r="B933" s="54"/>
    </row>
    <row r="934" ht="15.75" customHeight="1">
      <c r="A934" s="54"/>
      <c r="B934" s="54"/>
    </row>
    <row r="935" ht="15.75" customHeight="1">
      <c r="A935" s="54"/>
      <c r="B935" s="54"/>
    </row>
    <row r="936" ht="15.75" customHeight="1">
      <c r="A936" s="54"/>
      <c r="B936" s="54"/>
    </row>
    <row r="937" ht="15.75" customHeight="1">
      <c r="A937" s="54"/>
      <c r="B937" s="54"/>
    </row>
    <row r="938" ht="15.75" customHeight="1">
      <c r="A938" s="54"/>
      <c r="B938" s="54"/>
    </row>
    <row r="939" ht="15.75" customHeight="1">
      <c r="A939" s="54"/>
      <c r="B939" s="54"/>
    </row>
    <row r="940" ht="15.75" customHeight="1">
      <c r="A940" s="54"/>
      <c r="B940" s="54"/>
    </row>
    <row r="941" ht="15.75" customHeight="1">
      <c r="A941" s="54"/>
      <c r="B941" s="54"/>
    </row>
    <row r="942" ht="15.75" customHeight="1">
      <c r="A942" s="54"/>
      <c r="B942" s="54"/>
    </row>
    <row r="943" ht="15.75" customHeight="1">
      <c r="A943" s="54"/>
      <c r="B943" s="54"/>
    </row>
    <row r="944" ht="15.75" customHeight="1">
      <c r="A944" s="54"/>
      <c r="B944" s="54"/>
    </row>
    <row r="945" ht="15.75" customHeight="1">
      <c r="A945" s="54"/>
      <c r="B945" s="54"/>
    </row>
    <row r="946" ht="15.75" customHeight="1">
      <c r="A946" s="54"/>
      <c r="B946" s="54"/>
    </row>
    <row r="947" ht="15.75" customHeight="1">
      <c r="A947" s="54"/>
      <c r="B947" s="54"/>
    </row>
    <row r="948" ht="15.75" customHeight="1">
      <c r="A948" s="54"/>
      <c r="B948" s="54"/>
    </row>
    <row r="949" ht="15.75" customHeight="1">
      <c r="A949" s="54"/>
      <c r="B949" s="54"/>
    </row>
    <row r="950" ht="15.75" customHeight="1">
      <c r="A950" s="54"/>
      <c r="B950" s="54"/>
    </row>
    <row r="951" ht="15.75" customHeight="1">
      <c r="A951" s="54"/>
      <c r="B951" s="54"/>
    </row>
    <row r="952" ht="15.75" customHeight="1">
      <c r="A952" s="54"/>
      <c r="B952" s="54"/>
    </row>
    <row r="953" ht="15.75" customHeight="1">
      <c r="A953" s="54"/>
      <c r="B953" s="54"/>
    </row>
    <row r="954" ht="15.75" customHeight="1">
      <c r="A954" s="54"/>
      <c r="B954" s="54"/>
    </row>
    <row r="955" ht="15.75" customHeight="1">
      <c r="A955" s="54"/>
      <c r="B955" s="54"/>
    </row>
    <row r="956" ht="15.75" customHeight="1">
      <c r="A956" s="54"/>
      <c r="B956" s="54"/>
    </row>
    <row r="957" ht="15.75" customHeight="1">
      <c r="A957" s="54"/>
      <c r="B957" s="54"/>
    </row>
    <row r="958" ht="15.75" customHeight="1">
      <c r="A958" s="54"/>
      <c r="B958" s="54"/>
    </row>
    <row r="959" ht="15.75" customHeight="1">
      <c r="A959" s="54"/>
      <c r="B959" s="54"/>
    </row>
    <row r="960" ht="15.75" customHeight="1">
      <c r="A960" s="54"/>
      <c r="B960" s="54"/>
    </row>
    <row r="961" ht="15.75" customHeight="1">
      <c r="A961" s="54"/>
      <c r="B961" s="54"/>
    </row>
    <row r="962" ht="15.75" customHeight="1">
      <c r="A962" s="54"/>
      <c r="B962" s="54"/>
    </row>
    <row r="963" ht="15.75" customHeight="1">
      <c r="A963" s="54"/>
      <c r="B963" s="54"/>
    </row>
    <row r="964" ht="15.75" customHeight="1">
      <c r="A964" s="54"/>
      <c r="B964" s="54"/>
    </row>
    <row r="965" ht="15.75" customHeight="1">
      <c r="A965" s="54"/>
      <c r="B965" s="54"/>
    </row>
    <row r="966" ht="15.75" customHeight="1">
      <c r="A966" s="54"/>
      <c r="B966" s="54"/>
    </row>
    <row r="967" ht="15.75" customHeight="1">
      <c r="A967" s="54"/>
      <c r="B967" s="54"/>
    </row>
    <row r="968" ht="15.75" customHeight="1">
      <c r="A968" s="54"/>
      <c r="B968" s="54"/>
    </row>
    <row r="969" ht="15.75" customHeight="1">
      <c r="A969" s="54"/>
      <c r="B969" s="54"/>
    </row>
    <row r="970" ht="15.75" customHeight="1">
      <c r="A970" s="54"/>
      <c r="B970" s="54"/>
    </row>
    <row r="971" ht="15.75" customHeight="1">
      <c r="A971" s="54"/>
      <c r="B971" s="54"/>
    </row>
    <row r="972" ht="15.75" customHeight="1">
      <c r="A972" s="54"/>
      <c r="B972" s="54"/>
    </row>
    <row r="973" ht="15.75" customHeight="1">
      <c r="A973" s="54"/>
      <c r="B973" s="54"/>
    </row>
    <row r="974" ht="15.75" customHeight="1">
      <c r="A974" s="54"/>
      <c r="B974" s="54"/>
    </row>
    <row r="975" ht="15.75" customHeight="1">
      <c r="A975" s="54"/>
      <c r="B975" s="54"/>
    </row>
    <row r="976" ht="15.75" customHeight="1">
      <c r="A976" s="54"/>
      <c r="B976" s="54"/>
    </row>
    <row r="977" ht="15.75" customHeight="1">
      <c r="A977" s="54"/>
      <c r="B977" s="54"/>
    </row>
    <row r="978" ht="15.75" customHeight="1">
      <c r="A978" s="54"/>
      <c r="B978" s="54"/>
    </row>
    <row r="979" ht="15.75" customHeight="1">
      <c r="A979" s="54"/>
      <c r="B979" s="54"/>
    </row>
    <row r="980" ht="15.75" customHeight="1">
      <c r="A980" s="54"/>
      <c r="B980" s="54"/>
    </row>
    <row r="981" ht="15.75" customHeight="1">
      <c r="A981" s="54"/>
      <c r="B981" s="54"/>
    </row>
    <row r="982" ht="15.75" customHeight="1">
      <c r="A982" s="54"/>
      <c r="B982" s="54"/>
    </row>
    <row r="983" ht="15.75" customHeight="1">
      <c r="A983" s="54"/>
      <c r="B983" s="54"/>
    </row>
    <row r="984" ht="15.75" customHeight="1">
      <c r="A984" s="54"/>
      <c r="B984" s="54"/>
    </row>
    <row r="985" ht="15.75" customHeight="1">
      <c r="A985" s="54"/>
      <c r="B985" s="54"/>
    </row>
    <row r="986" ht="15.75" customHeight="1">
      <c r="A986" s="54"/>
      <c r="B986" s="54"/>
    </row>
    <row r="987" ht="15.75" customHeight="1">
      <c r="A987" s="54"/>
      <c r="B987" s="54"/>
    </row>
    <row r="988" ht="15.75" customHeight="1">
      <c r="A988" s="54"/>
      <c r="B988" s="54"/>
    </row>
    <row r="989" ht="15.75" customHeight="1">
      <c r="A989" s="54"/>
      <c r="B989" s="54"/>
    </row>
    <row r="990" ht="15.75" customHeight="1">
      <c r="A990" s="54"/>
      <c r="B990" s="54"/>
    </row>
    <row r="991" ht="15.75" customHeight="1">
      <c r="A991" s="54"/>
      <c r="B991" s="54"/>
    </row>
    <row r="992" ht="15.75" customHeight="1">
      <c r="A992" s="54"/>
      <c r="B992" s="54"/>
    </row>
    <row r="993" ht="15.75" customHeight="1">
      <c r="A993" s="54"/>
      <c r="B993" s="54"/>
    </row>
    <row r="994" ht="15.75" customHeight="1">
      <c r="A994" s="54"/>
      <c r="B994" s="54"/>
    </row>
    <row r="995" ht="15.75" customHeight="1">
      <c r="A995" s="54"/>
      <c r="B995" s="54"/>
    </row>
    <row r="996" ht="15.75" customHeight="1">
      <c r="A996" s="54"/>
      <c r="B996" s="54"/>
    </row>
    <row r="997" ht="15.75" customHeight="1">
      <c r="A997" s="54"/>
      <c r="B997" s="54"/>
    </row>
    <row r="998" ht="15.75" customHeight="1">
      <c r="A998" s="54"/>
      <c r="B998" s="54"/>
    </row>
    <row r="999" ht="15.75" customHeight="1">
      <c r="A999" s="54"/>
      <c r="B999" s="54"/>
    </row>
    <row r="1000" ht="15.75" customHeight="1">
      <c r="A1000" s="54"/>
      <c r="B1000" s="54"/>
    </row>
  </sheetData>
  <printOptions/>
  <pageMargins bottom="0.75" footer="0.0" header="0.0" left="0.7" right="0.7" top="0.75"/>
  <pageSetup orientation="landscape"/>
  <drawing r:id="rId1"/>
</worksheet>
</file>